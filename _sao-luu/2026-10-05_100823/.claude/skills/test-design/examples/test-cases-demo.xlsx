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Tổng hợp" sheetId="2" state="visible" r:id="rId4"/>
    <sheet name="Hướng dẫn" sheetId="3" state="visible" r:id="rId5"/>
  </sheets>
  <definedNames>
    <definedName function="false" hidden="true" localSheetId="0" name="_xlnm._FilterDatabase" vbProcedure="false">'Test cases'!$A$1:$U$51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<sst xmlns="http://schemas.openxmlformats.org/spreadsheetml/2006/main" count="742" uniqueCount="337">
  <si>
    <t xml:space="preserve">STT</t>
  </si>
  <si>
    <t xml:space="preserve">UC</t>
  </si>
  <si>
    <t xml:space="preserve">TC ID</t>
  </si>
  <si>
    <t xml:space="preserve">Nhóm</t>
  </si>
  <si>
    <t xml:space="preserve">Tiêu đề</t>
  </si>
  <si>
    <t xml:space="preserve">Loại</t>
  </si>
  <si>
    <t xml:space="preserve">Ưu tiên</t>
  </si>
  <si>
    <t xml:space="preserve">Kỹ thuật</t>
  </si>
  <si>
    <t xml:space="preserve">Nguồn</t>
  </si>
  <si>
    <t xml:space="preserve">Tiền điều kiện</t>
  </si>
  <si>
    <t xml:space="preserve">Dữ liệu</t>
  </si>
  <si>
    <t xml:space="preserve">Bước</t>
  </si>
  <si>
    <t xml:space="preserve">Kết quả mong đợi</t>
  </si>
  <si>
    <t xml:space="preserve">Tag</t>
  </si>
  <si>
    <t xml:space="preserve">Tự động hóa</t>
  </si>
  <si>
    <t xml:space="preserve">Kết quả thực tế</t>
  </si>
  <si>
    <t xml:space="preserve">Trạng thái chạy</t>
  </si>
  <si>
    <t xml:space="preserve">Ngày chạy</t>
  </si>
  <si>
    <t xml:space="preserve">Người chạy</t>
  </si>
  <si>
    <t xml:space="preserve">Bug ID</t>
  </si>
  <si>
    <t xml:space="preserve">Ghi chú</t>
  </si>
  <si>
    <t xml:space="preserve">UC-DEMO-001 · Tạo người dùng và gửi lời mời</t>
  </si>
  <si>
    <t xml:space="preserve">I. REDIRECT</t>
  </si>
  <si>
    <t xml:space="preserve">UC-DEMO-001</t>
  </si>
  <si>
    <t xml:space="preserve">UC-DEMO-001-TC-R01</t>
  </si>
  <si>
    <t xml:space="preserve">Redirect</t>
  </si>
  <si>
    <t xml:space="preserve">Admin mở form từ nút Tạo người dùng</t>
  </si>
  <si>
    <t xml:space="preserve">Positive</t>
  </si>
  <si>
    <t xml:space="preserve">P1</t>
  </si>
  <si>
    <t xml:space="preserve">Điều hướng</t>
  </si>
  <si>
    <t xml:space="preserve">UC-DEMO-001-NV-01, PM-USER-01</t>
  </si>
  <si>
    <t xml:space="preserve">Đăng nhập admin1@t1.demo.test (Admin, T1)
đang ở /users</t>
  </si>
  <si>
    <t xml:space="preserve">1) Bấm nút "Tạo người dùng"</t>
  </si>
  <si>
    <t xml:space="preserve">- Mở màn hình có tiêu đề "Tạo người dùng"
- URL là /users/new</t>
  </si>
  <si>
    <t xml:space="preserve">@UC-DEMO-001 @redirect @positive @P1 @smoke</t>
  </si>
  <si>
    <t xml:space="preserve">Có</t>
  </si>
  <si>
    <t xml:space="preserve">Not Run</t>
  </si>
  <si>
    <t xml:space="preserve">UC-DEMO-001-TC-R02</t>
  </si>
  <si>
    <t xml:space="preserve">Admin mở form bằng URL trực tiếp</t>
  </si>
  <si>
    <t xml:space="preserve">P2</t>
  </si>
  <si>
    <t xml:space="preserve">UC-DEMO-001-NV-02</t>
  </si>
  <si>
    <t xml:space="preserve">Đăng nhập admin1@t1.demo.test (Admin, T1)</t>
  </si>
  <si>
    <t xml:space="preserve">1) Nhập /users/new vào thanh địa chỉ</t>
  </si>
  <si>
    <t xml:space="preserve">- Mở màn hình có tiêu đề "Tạo người dùng"
- URL giữ nguyên /users/new</t>
  </si>
  <si>
    <t xml:space="preserve">@UC-DEMO-001 @redirect @positive @P2</t>
  </si>
  <si>
    <t xml:space="preserve">UC-DEMO-001-TC-R03</t>
  </si>
  <si>
    <t xml:space="preserve">Chưa đăng nhập mở URL tạo người dùng thì phải đăng nhập rồi quay lại</t>
  </si>
  <si>
    <t xml:space="preserve">Negative</t>
  </si>
  <si>
    <t xml:space="preserve">UC-DEMO-001-NV-03</t>
  </si>
  <si>
    <t xml:space="preserve">Chưa đăng nhập (không có cookie phiên)</t>
  </si>
  <si>
    <t xml:space="preserve">1) Mở /users/new
2) Đăng nhập admin1@t1.demo.test</t>
  </si>
  <si>
    <t xml:space="preserve">- Sau bước 1 URL là /login
- sau bước 2 URL là /users/new và hiện tiêu đề "Tạo người dùng"</t>
  </si>
  <si>
    <t xml:space="preserve">@UC-DEMO-001 @redirect @negative @P1</t>
  </si>
  <si>
    <t xml:space="preserve">UC-DEMO-001-TC-R04</t>
  </si>
  <si>
    <t xml:space="preserve">Member mở URL tạo người dùng bị chặn</t>
  </si>
  <si>
    <t xml:space="preserve">Phân quyền</t>
  </si>
  <si>
    <t xml:space="preserve">UC-DEMO-001-NV-04, PM-USER-02</t>
  </si>
  <si>
    <t xml:space="preserve">Đăng nhập member1@t1.demo.test (Member, T1)</t>
  </si>
  <si>
    <t xml:space="preserve">1) Mở /users/new</t>
  </si>
  <si>
    <t xml:space="preserve">- Hiện trang 403 với text "Bạn không có quyền truy cập trang này."
- không hiện form "Tạo người dùng"</t>
  </si>
  <si>
    <t xml:space="preserve">UC-DEMO-001-TC-R05</t>
  </si>
  <si>
    <t xml:space="preserve">Member không thấy nút Tạo người dùng</t>
  </si>
  <si>
    <t xml:space="preserve">PM-USER-02</t>
  </si>
  <si>
    <t xml:space="preserve">Đăng nhập member1@t1.demo.test (Member, T1)
đang ở /users</t>
  </si>
  <si>
    <t xml:space="preserve">1) Quan sát màn hình "Người dùng"</t>
  </si>
  <si>
    <t xml:space="preserve">Không có nút "Tạo người dùng" trên màn hình</t>
  </si>
  <si>
    <t xml:space="preserve">UC-DEMO-001-TC-R06</t>
  </si>
  <si>
    <t xml:space="preserve">Gửi lời mời thành công thì về danh sách kèm thông báo</t>
  </si>
  <si>
    <t xml:space="preserve">UC-DEMO-001-NV-05, UC-DEMO-001-MS-07</t>
  </si>
  <si>
    <t xml:space="preserve">Đăng nhập admin1@t1.demo.test (Admin, tenant T1)
đang ở màn hình "Tạo người dùng"</t>
  </si>
  <si>
    <t xml:space="preserve">Họ và tên = "Trần Minh"
Email = "r06@demo.test"
Vai trò = Member</t>
  </si>
  <si>
    <t xml:space="preserve">1) Nhập dữ liệu
2) Bấm "Gửi lời mời"</t>
  </si>
  <si>
    <t xml:space="preserve">- URL là /users
- hiện toast "Đã gửi lời mời đến r06@demo.test."</t>
  </si>
  <si>
    <t xml:space="preserve">@UC-DEMO-001 @redirect @positive @P1</t>
  </si>
  <si>
    <t xml:space="preserve">UC-DEMO-001-TC-R07</t>
  </si>
  <si>
    <t xml:space="preserve">Hủy khi đã nhập và chọn Bỏ thay đổi</t>
  </si>
  <si>
    <t xml:space="preserve">UC-DEMO-001-NV-06, UC-DEMO-001-MS-12</t>
  </si>
  <si>
    <t xml:space="preserve">Họ và tên = "Trần Minh"</t>
  </si>
  <si>
    <t xml:space="preserve">1) Nhập Họ và tên
2) Bấm "Hủy"
3) Chọn "Bỏ thay đổi"</t>
  </si>
  <si>
    <t xml:space="preserve">- Sau bước 2 hiện hộp thoại "Bỏ các thay đổi chưa lưu?" có nút "Bỏ thay đổi" và "Ở lại"
- sau bước 3 URL là /users
- danh sách không có người dùng "Trần Minh"</t>
  </si>
  <si>
    <t xml:space="preserve">UC-DEMO-001-TC-R08</t>
  </si>
  <si>
    <t xml:space="preserve">Hủy khi đã nhập và chọn Ở lại</t>
  </si>
  <si>
    <t xml:space="preserve">P3</t>
  </si>
  <si>
    <t xml:space="preserve">1) Nhập Họ và tên
2) Bấm "Hủy"
3) Chọn "Ở lại"</t>
  </si>
  <si>
    <t xml:space="preserve">- Hộp thoại đóng
- vẫn ở /users/new
- "Họ và tên" vẫn là "Trần Minh"</t>
  </si>
  <si>
    <t xml:space="preserve">@UC-DEMO-001 @redirect @positive @P3</t>
  </si>
  <si>
    <t xml:space="preserve">UC-DEMO-001-TC-R09</t>
  </si>
  <si>
    <t xml:space="preserve">Trạng thái form khi vừa mở</t>
  </si>
  <si>
    <t xml:space="preserve">UC-DEMO-001-NV-07, UC-DEMO-001-FD-03</t>
  </si>
  <si>
    <t xml:space="preserve">- Tiêu đề "Tạo người dùng"
- "Họ và tên" và "Email" trống
- "Vai trò" = "Member"
- con trỏ ở "Họ và tên"
- nút "Gửi lời mời" bật</t>
  </si>
  <si>
    <t xml:space="preserve">II. VALIDATION</t>
  </si>
  <si>
    <t xml:space="preserve">UC-DEMO-001-TC-V01</t>
  </si>
  <si>
    <t xml:space="preserve">Validation</t>
  </si>
  <si>
    <t xml:space="preserve">Họ và tên có dấu tiếng Việt được chấp nhận và lưu đúng</t>
  </si>
  <si>
    <t xml:space="preserve">EP</t>
  </si>
  <si>
    <t xml:space="preserve">UC-DEMO-001-FD-01, UC-DEMO-001-EP-01</t>
  </si>
  <si>
    <t xml:space="preserve">Họ và tên = "Nguyễn Thị Ánh"
Email = "v01@demo.test"
Vai trò = Member</t>
  </si>
  <si>
    <t xml:space="preserve">- Hiện toast "Đã gửi lời mời đến v01@demo.test."
- dòng v01@demo.test trong danh sách có Họ và tên "Nguyễn Thị Ánh"</t>
  </si>
  <si>
    <t xml:space="preserve">@UC-DEMO-001 @validation @positive @P2</t>
  </si>
  <si>
    <t xml:space="preserve">UC-DEMO-001-TC-V02</t>
  </si>
  <si>
    <t xml:space="preserve">Họ và tên có dấu ' và - được chấp nhận</t>
  </si>
  <si>
    <t xml:space="preserve">UC-DEMO-001-FD-01, UC-DEMO-001-EP-02</t>
  </si>
  <si>
    <t xml:space="preserve">Họ và tên = "Anne-Marie O'Neil"
Email = "v02@demo.test"
Vai trò = Member</t>
  </si>
  <si>
    <t xml:space="preserve">- Hiện toast "Đã gửi lời mời đến v02@demo.test."
- dòng v02@demo.test có Họ và tên "Anne-Marie O'Neil"</t>
  </si>
  <si>
    <t xml:space="preserve">@UC-DEMO-001 @validation @positive @P3</t>
  </si>
  <si>
    <t xml:space="preserve">UC-DEMO-001-TC-V03</t>
  </si>
  <si>
    <t xml:space="preserve">Họ và tên để trống bị từ chối</t>
  </si>
  <si>
    <t xml:space="preserve">UC-DEMO-001-FD-01, UC-DEMO-001-EP-03, UC-DEMO-001-MS-01</t>
  </si>
  <si>
    <t xml:space="preserve">Họ và tên = ""
Email = "v03@demo.test"
Vai trò = Member</t>
  </si>
  <si>
    <t xml:space="preserve">- Dưới "Họ và tên" hiện "Vui lòng nhập họ và tên."
- không tạo người dùng
- vẫn ở /users/new</t>
  </si>
  <si>
    <t xml:space="preserve">@UC-DEMO-001 @validation @negative @P2</t>
  </si>
  <si>
    <t xml:space="preserve">UC-DEMO-001-TC-V04</t>
  </si>
  <si>
    <t xml:space="preserve">Họ và tên chỉ có khoảng trắng bị từ chối</t>
  </si>
  <si>
    <t xml:space="preserve">UC-DEMO-001-FD-01, UC-DEMO-001-EP-04, UC-DEMO-001-MS-01</t>
  </si>
  <si>
    <t xml:space="preserve">Họ và tên = "   "
Email = "v04@demo.test"
Vai trò = Member</t>
  </si>
  <si>
    <t xml:space="preserve">UC-DEMO-001-TC-V05</t>
  </si>
  <si>
    <t xml:space="preserve">Họ và tên 1 ký tự bị từ chối</t>
  </si>
  <si>
    <t xml:space="preserve">BVA</t>
  </si>
  <si>
    <t xml:space="preserve">UC-DEMO-001-FD-01, UC-DEMO-001-BV-01, UC-DEMO-001-MS-02</t>
  </si>
  <si>
    <t xml:space="preserve">Họ và tên = "A"
Email = "v05@demo.test"
Vai trò = Member</t>
  </si>
  <si>
    <t xml:space="preserve">- Dưới "Họ và tên" hiện "Họ và tên từ 2 đến 50 ký tự."
- không tạo người dùng
- vẫn ở /users/new</t>
  </si>
  <si>
    <t xml:space="preserve">UC-DEMO-001-TC-V06</t>
  </si>
  <si>
    <t xml:space="preserve">Họ và tên 2 ký tự được chấp nhận</t>
  </si>
  <si>
    <t xml:space="preserve">UC-DEMO-001-FD-01, UC-DEMO-001-BV-02</t>
  </si>
  <si>
    <t xml:space="preserve">Họ và tên = "An"
Email = "v06@demo.test"
Vai trò = Member</t>
  </si>
  <si>
    <t xml:space="preserve">- Hiện toast "Đã gửi lời mời đến v06@demo.test."
- dòng v06@demo.test có Họ và tên "An"</t>
  </si>
  <si>
    <t xml:space="preserve">UC-DEMO-001-TC-V07</t>
  </si>
  <si>
    <t xml:space="preserve">Họ và tên 50 ký tự được chấp nhận và không bị cắt</t>
  </si>
  <si>
    <t xml:space="preserve">UC-DEMO-001-FD-01, UC-DEMO-001-BV-03</t>
  </si>
  <si>
    <t xml:space="preserve">Họ và tên = "Nguyen " + 43 chữ "a" (50 ký tự)
Email = "v07@demo.test"
Vai trò = Member</t>
  </si>
  <si>
    <t xml:space="preserve">- Hiện toast "Đã gửi lời mời đến v07@demo.test."
- dòng v07@demo.test hiển thị đủ 50 ký tự của Họ và tên</t>
  </si>
  <si>
    <t xml:space="preserve">UC-DEMO-001-TC-V08</t>
  </si>
  <si>
    <t xml:space="preserve">Họ và tên 51 ký tự bị từ chối</t>
  </si>
  <si>
    <t xml:space="preserve">UC-DEMO-001-FD-01, UC-DEMO-001-BV-04, UC-DEMO-001-MS-02</t>
  </si>
  <si>
    <t xml:space="preserve">Họ và tên = "Nguyen " + 44 chữ "a" (51 ký tự)
Email = "v08@demo.test"
Vai trò = Member</t>
  </si>
  <si>
    <t xml:space="preserve">UC-DEMO-001-TC-V09</t>
  </si>
  <si>
    <t xml:space="preserve">Họ và tên còn 1 ký tự sau khi trim bị từ chối</t>
  </si>
  <si>
    <t xml:space="preserve">UC-DEMO-001-FD-01, UC-DEMO-001-BV-05, UC-DEMO-001-MS-02</t>
  </si>
  <si>
    <t xml:space="preserve">Họ và tên = " A "
Email = "v09@demo.test"
Vai trò = Member</t>
  </si>
  <si>
    <t xml:space="preserve">@UC-DEMO-001 @validation @negative @P3</t>
  </si>
  <si>
    <t xml:space="preserve">UC-DEMO-001-TC-V10</t>
  </si>
  <si>
    <t xml:space="preserve">Họ và tên có chữ số bị từ chối</t>
  </si>
  <si>
    <t xml:space="preserve">UC-DEMO-001-FD-01, UC-DEMO-001-EP-05, UC-DEMO-001-MS-03</t>
  </si>
  <si>
    <t xml:space="preserve">Họ và tên = "An3"
Email = "v10@demo.test"
Vai trò = Member</t>
  </si>
  <si>
    <t xml:space="preserve">- Dưới "Họ và tên" hiện "Họ và tên chỉ gồm chữ, khoảng trắng, dấu ' và -."
- không tạo người dùng
- vẫn ở /users/new</t>
  </si>
  <si>
    <t xml:space="preserve">UC-DEMO-001-TC-V11</t>
  </si>
  <si>
    <t xml:space="preserve">Họ và tên chứa script bị từ chối và không thực thi</t>
  </si>
  <si>
    <t xml:space="preserve">UC-DEMO-001-FD-01, UC-DEMO-001-EP-06, UC-DEMO-001-MS-03</t>
  </si>
  <si>
    <t xml:space="preserve">Họ và tên = "&lt;script&gt;alert(1)&lt;/script&gt;"
Email = "v11@demo.test"
Vai trò = Member</t>
  </si>
  <si>
    <t xml:space="preserve">- Dưới "Họ và tên" hiện "Họ và tên chỉ gồm chữ, khoảng trắng, dấu ' và -."
- không có hộp thoại alert nào xuất hiện
- không tạo người dùng
- vẫn ở /users/new</t>
  </si>
  <si>
    <t xml:space="preserve">@UC-DEMO-001 @validation @negative @P1</t>
  </si>
  <si>
    <t xml:space="preserve">UC-DEMO-001-TC-V12</t>
  </si>
  <si>
    <t xml:space="preserve">Họ và tên có khoảng trắng đầu cuối được trim khi lưu</t>
  </si>
  <si>
    <t xml:space="preserve">UC-DEMO-001-FD-01, UC-DEMO-001-EP-07</t>
  </si>
  <si>
    <t xml:space="preserve">Họ và tên = "  Lan  "
Email = "v12@demo.test"
Vai trò = Member</t>
  </si>
  <si>
    <t xml:space="preserve">- Hiện toast "Đã gửi lời mời đến v12@demo.test."
- dòng v12@demo.test có Họ và tên "Lan", không có khoảng trắng đầu/cuối</t>
  </si>
  <si>
    <t xml:space="preserve">UC-DEMO-001-TC-V13</t>
  </si>
  <si>
    <t xml:space="preserve">Email để trống bị từ chối</t>
  </si>
  <si>
    <t xml:space="preserve">UC-DEMO-001-FD-02, UC-DEMO-001-EP-09, UC-DEMO-001-MS-04</t>
  </si>
  <si>
    <t xml:space="preserve">Họ và tên = "Trần Minh"
Email = ""
Vai trò = Member</t>
  </si>
  <si>
    <t xml:space="preserve">- Dưới "Email" hiện "Vui lòng nhập email."
- không tạo người dùng
- vẫn ở /users/new</t>
  </si>
  <si>
    <t xml:space="preserve">UC-DEMO-001-TC-V14</t>
  </si>
  <si>
    <t xml:space="preserve">Email thiếu @ bị từ chối</t>
  </si>
  <si>
    <t xml:space="preserve">UC-DEMO-001-FD-02, UC-DEMO-001-EP-10, UC-DEMO-001-MS-05</t>
  </si>
  <si>
    <t xml:space="preserve">Họ và tên = "Trần Minh"
Email = "lan.demo.test"
Vai trò = Member</t>
  </si>
  <si>
    <t xml:space="preserve">- Dưới "Email" hiện "Email không đúng định dạng."
- không tạo người dùng
- vẫn ở /users/new</t>
  </si>
  <si>
    <t xml:space="preserve">UC-DEMO-001-TC-V15</t>
  </si>
  <si>
    <t xml:space="preserve">Email thiếu tên miền bị từ chối</t>
  </si>
  <si>
    <t xml:space="preserve">UC-DEMO-001-FD-02, UC-DEMO-001-EP-11, UC-DEMO-001-MS-05</t>
  </si>
  <si>
    <t xml:space="preserve">Họ và tên = "Trần Minh"
Email = "lan@"
Vai trò = Member</t>
  </si>
  <si>
    <t xml:space="preserve">UC-DEMO-001-TC-V16</t>
  </si>
  <si>
    <t xml:space="preserve">Email có khoảng trắng ở giữa bị từ chối</t>
  </si>
  <si>
    <t xml:space="preserve">UC-DEMO-001-FD-02, UC-DEMO-001-EP-12, UC-DEMO-001-MS-05</t>
  </si>
  <si>
    <t xml:space="preserve">Họ và tên = "Trần Minh"
Email = "lan nguyen@demo.test"
Vai trò = Member</t>
  </si>
  <si>
    <t xml:space="preserve">UC-DEMO-001-TC-V17</t>
  </si>
  <si>
    <t xml:space="preserve">Email có khoảng trắng đầu cuối và chữ hoa được chuẩn hóa khi lưu</t>
  </si>
  <si>
    <t xml:space="preserve">UC-DEMO-001-FD-02, UC-DEMO-001-EP-13, UC-DEMO-001-EP-14</t>
  </si>
  <si>
    <t xml:space="preserve">Họ và tên = "Trần Minh"
Email = "  V17@DEMO.TEST  "
Vai trò = Member</t>
  </si>
  <si>
    <t xml:space="preserve">- Hiện toast "Đã gửi lời mời đến v17@demo.test."
- danh sách có dòng email "v17@demo.test" (chữ thường, không khoảng trắng)</t>
  </si>
  <si>
    <t xml:space="preserve">UC-DEMO-001-TC-V18</t>
  </si>
  <si>
    <t xml:space="preserve">Email 254 ký tự được chấp nhận</t>
  </si>
  <si>
    <t xml:space="preserve">UC-DEMO-001-FD-02, UC-DEMO-001-BV-06</t>
  </si>
  <si>
    <t xml:space="preserve">Họ và tên = "Trần Minh"
Email = 64 ký tự + "@" + tên miền 189 ký tự, mỗi nhãn ≤ 63 (tổng 254)
Vai trò = Member</t>
  </si>
  <si>
    <t xml:space="preserve">- Hiện toast "Đã gửi lời mời đến &lt;email&gt;." với đủ 254 ký tự
- danh sách hiển thị đủ email</t>
  </si>
  <si>
    <t xml:space="preserve">UC-DEMO-001-TC-V19</t>
  </si>
  <si>
    <t xml:space="preserve">Email 255 ký tự bị từ chối</t>
  </si>
  <si>
    <t xml:space="preserve">UC-DEMO-001-FD-02, UC-DEMO-001-BV-07, UC-DEMO-001-MS-05</t>
  </si>
  <si>
    <t xml:space="preserve">Họ và tên = "Trần Minh"
Email = 64 ký tự + "@" + tên miền 190 ký tự, mỗi nhãn ≤ 63 (tổng 255)
Vai trò = Member</t>
  </si>
  <si>
    <t xml:space="preserve">UC-DEMO-001-TC-V20</t>
  </si>
  <si>
    <t xml:space="preserve">API từ chối vai trò ngoài danh sách</t>
  </si>
  <si>
    <t xml:space="preserve">UC-DEMO-001-FD-03, UC-DEMO-001-EP-17, UC-DEMO-001-MS-13</t>
  </si>
  <si>
    <t xml:space="preserve">Có token của admin1@t1.demo.test (Admin, T1)</t>
  </si>
  <si>
    <t xml:space="preserve">body {"name": "Trần Minh", "email": "v20@demo.test", "role": "Owner"}</t>
  </si>
  <si>
    <t xml:space="preserve">1) Gửi POST /api/users với body ở cột Dữ liệu
2) Gửi GET /api/users?email=v20@demo.test</t>
  </si>
  <si>
    <t xml:space="preserve">- Bước 1 trả HTTP 400, body {"error": "INVALID_ROLE"}
- bước 2 trả danh sách rỗng</t>
  </si>
  <si>
    <t xml:space="preserve">UC-DEMO-001-TC-V21</t>
  </si>
  <si>
    <t xml:space="preserve">API từ chối Họ và tên 51 ký tự khi bỏ qua kiểm tra trên UI</t>
  </si>
  <si>
    <t xml:space="preserve">UC-DEMO-001-FD-01, UC-DEMO-001-BV-04, UC-DEMO-001-MS-14</t>
  </si>
  <si>
    <t xml:space="preserve">body {"name": "Nguyen " + 44 chữ "a", "email": "v21@demo.test", "role": "Member"}</t>
  </si>
  <si>
    <t xml:space="preserve">1) Gửi POST /api/users với body ở cột Dữ liệu
2) Gửi GET /api/users?email=v21@demo.test</t>
  </si>
  <si>
    <t xml:space="preserve">- Bước 1 trả HTTP 400, body có "error": "VALIDATION" và "fields" chứa "name"
- bước 2 trả danh sách rỗng</t>
  </si>
  <si>
    <t xml:space="preserve">III. FUNCTION</t>
  </si>
  <si>
    <t xml:space="preserve">UC-DEMO-001-TC-F01</t>
  </si>
  <si>
    <t xml:space="preserve">Function</t>
  </si>
  <si>
    <t xml:space="preserve">Admin tạo Member mới thành công</t>
  </si>
  <si>
    <t xml:space="preserve">Kịch bản</t>
  </si>
  <si>
    <t xml:space="preserve">UC-DEMO-001-MF-01, UC-DEMO-001-MF-02, UC-DEMO-001-MF-03, UC-DEMO-001-MF-04, UC-DEMO-001-DT-01-R1, UC-DEMO-001-BR-01, ST-USER-01, UC-DEMO-001-SE-01, PM-USER-01, UC-DEMO-001-EP-08, UC-DEMO-001-EP-16</t>
  </si>
  <si>
    <t xml:space="preserve">Họ và tên = "Phạm Hoa"
Email = "f01@demo.test"
Vai trò = Member</t>
  </si>
  <si>
    <t xml:space="preserve">1) Nhập Họ và tên và Email, giữ Vai trò mặc định
2) Bấm "Gửi lời mời"</t>
  </si>
  <si>
    <t xml:space="preserve">- Hiện toast "Đã gửi lời mời đến f01@demo.test."
- URL là /users
- dòng đầu danh sách là f01@demo.test, Vai trò "Member", Trạng thái "Đã mời"</t>
  </si>
  <si>
    <t xml:space="preserve">@UC-DEMO-001 @function @positive @P1 @smoke</t>
  </si>
  <si>
    <t xml:space="preserve">UC-DEMO-001-TC-F02</t>
  </si>
  <si>
    <t xml:space="preserve">Admin tạo Admin khi tenant đang có 4 Admin</t>
  </si>
  <si>
    <t xml:space="preserve">Bảng quyết định</t>
  </si>
  <si>
    <t xml:space="preserve">UC-DEMO-001-DT-01-R2, UC-DEMO-001-BR-02, UC-DEMO-001-EP-15</t>
  </si>
  <si>
    <t xml:space="preserve">Đăng nhập admin1@t1.demo.test (Admin, tenant T1)
đang ở màn hình "Tạo người dùng"
T1 có đúng 4 Admin</t>
  </si>
  <si>
    <t xml:space="preserve">Họ và tên = "Lê Quang"
Email = "f02@demo.test"
Vai trò = Admin</t>
  </si>
  <si>
    <t xml:space="preserve">- Hiện toast "Đã gửi lời mời đến f02@demo.test."
- dòng f02@demo.test có Vai trò "Admin", Trạng thái "Đã mời"</t>
  </si>
  <si>
    <t xml:space="preserve">@UC-DEMO-001 @function @positive @P1</t>
  </si>
  <si>
    <t xml:space="preserve">UC-DEMO-001-TC-F03</t>
  </si>
  <si>
    <t xml:space="preserve">Tạo Admin thứ 6 bị từ chối, Admin đang Invited vẫn được tính</t>
  </si>
  <si>
    <t xml:space="preserve">UC-DEMO-001-DT-01-R3, UC-DEMO-001-BR-02, UC-DEMO-001-MS-10</t>
  </si>
  <si>
    <t xml:space="preserve">Đăng nhập admin1@t3.demo.test (Admin, T3)
T3 có đúng 5 Admin, trong đó 1 người Invited
đang ở màn hình "Tạo người dùng"</t>
  </si>
  <si>
    <t xml:space="preserve">Họ và tên = "Lê Quang"
Email = "f03@demo.test"
Vai trò = Admin</t>
  </si>
  <si>
    <t xml:space="preserve">- Dưới "Vai trò" hiện "Tổ chức đã có tối đa 5 Admin."
- không tạo người dùng
- vẫn ở /users/new
- T3 vẫn có 5 Admin</t>
  </si>
  <si>
    <t xml:space="preserve">@UC-DEMO-001 @function @negative @P1</t>
  </si>
  <si>
    <t xml:space="preserve">UC-DEMO-001-TC-F04</t>
  </si>
  <si>
    <t xml:space="preserve">Email trùng khác hoa thường trong tenant bị từ chối</t>
  </si>
  <si>
    <t xml:space="preserve">UC-DEMO-001-DT-01-R4, UC-DEMO-001-BR-01, UC-DEMO-001-MS-06</t>
  </si>
  <si>
    <t xml:space="preserve">Đăng nhập admin1@t1.demo.test (Admin, tenant T1)
đang ở màn hình "Tạo người dùng"
T1 có lan@demo.test (Active)</t>
  </si>
  <si>
    <t xml:space="preserve">Họ và tên = "Nguyễn Lan"
Email = "LAN@DEMO.TEST"
Vai trò = Member</t>
  </si>
  <si>
    <t xml:space="preserve">- Dưới "Email" hiện "Email đã tồn tại trong tổ chức."
- không tạo người dùng
- vẫn ở /users/new
- T1 vẫn chỉ có một lan@demo.test</t>
  </si>
  <si>
    <t xml:space="preserve">UC-DEMO-001-TC-F05</t>
  </si>
  <si>
    <t xml:space="preserve">Email đã có ở tenant khác vẫn tạo được</t>
  </si>
  <si>
    <t xml:space="preserve">UC-DEMO-001-DT-01-R1, UC-DEMO-001-BR-01</t>
  </si>
  <si>
    <t xml:space="preserve">Đăng nhập admin1@t1.demo.test (Admin, tenant T1)
đang ở màn hình "Tạo người dùng"
minh@demo.test chỉ tồn tại ở T2</t>
  </si>
  <si>
    <t xml:space="preserve">Họ và tên = "Hoàng Minh"
Email = "minh@demo.test"
Vai trò = Member</t>
  </si>
  <si>
    <t xml:space="preserve">- Hiện toast "Đã gửi lời mời đến minh@demo.test."
- T1 có dòng minh@demo.test Trạng thái "Đã mời"
- người dùng minh@demo.test ở T2 không đổi</t>
  </si>
  <si>
    <t xml:space="preserve">@UC-DEMO-001 @function @positive @P2</t>
  </si>
  <si>
    <t xml:space="preserve">UC-DEMO-001-TC-F06</t>
  </si>
  <si>
    <t xml:space="preserve">Email của người dùng đã vô hiệu hóa không tạo mới</t>
  </si>
  <si>
    <t xml:space="preserve">UC-DEMO-001-AF-01, UC-DEMO-001-DT-01-R5, UC-DEMO-001-BR-01, UC-DEMO-001-MS-08</t>
  </si>
  <si>
    <t xml:space="preserve">Đăng nhập admin1@t1.demo.test (Admin, tenant T1)
đang ở màn hình "Tạo người dùng"
T1 có old.user@demo.test (Deactivated)</t>
  </si>
  <si>
    <t xml:space="preserve">Họ và tên = "Người Cũ"
Email = "old.user@demo.test"
Vai trò = Member</t>
  </si>
  <si>
    <t xml:space="preserve">- Hiện hộp thông báo "Người dùng này đã bị vô hiệu hóa. Hãy kích hoạt lại thay vì tạo mới."
- không tạo người dùng mới
- old.user@demo.test vẫn ở trạng thái Deactivated</t>
  </si>
  <si>
    <t xml:space="preserve">@UC-DEMO-001 @function @negative @P2</t>
  </si>
  <si>
    <t xml:space="preserve">UC-DEMO-001-TC-F07</t>
  </si>
  <si>
    <t xml:space="preserve">Dịch vụ email lỗi vẫn tạo người dùng và cảnh báo</t>
  </si>
  <si>
    <t xml:space="preserve">Abnormal</t>
  </si>
  <si>
    <t xml:space="preserve">UC-DEMO-001-EF-01, UC-DEMO-001-MS-09</t>
  </si>
  <si>
    <t xml:space="preserve">Đăng nhập admin1@t1.demo.test (Admin, tenant T1)
đang ở màn hình "Tạo người dùng"
mock email bật chế độ lỗi</t>
  </si>
  <si>
    <t xml:space="preserve">Họ và tên = "Đỗ Hà"
Email = "f07@demo.test"
Vai trò = Member</t>
  </si>
  <si>
    <t xml:space="preserve">- Hiện toast "Đã tạo người dùng nhưng chưa gửi được email. Bạn có thể gửi lại lời mời sau."
- danh sách có f07@demo.test Trạng thái "Đã mời"
- hộp thư test không có email tới f07@demo.test</t>
  </si>
  <si>
    <t xml:space="preserve">@UC-DEMO-001 @function @abnormal @P2</t>
  </si>
  <si>
    <t xml:space="preserve">UC-DEMO-001-TC-F08</t>
  </si>
  <si>
    <t xml:space="preserve">Mất kết nối khi gửi thì giữ dữ liệu và không tạo</t>
  </si>
  <si>
    <t xml:space="preserve">UC-DEMO-001-EF-02, UC-DEMO-001-MS-11</t>
  </si>
  <si>
    <t xml:space="preserve">Họ và tên = "Đỗ Hà"
Email = "f08@demo.test"
Vai trò = Member</t>
  </si>
  <si>
    <t xml:space="preserve">1) Nhập dữ liệu
2) Chặn request POST /api/users (mô phỏng mất mạng)
3) Bấm "Gửi lời mời"</t>
  </si>
  <si>
    <t xml:space="preserve">- Hiện toast "Không kết nối được máy chủ. Vui lòng thử lại."
- "Họ và tên" và "Email" giữ nguyên giá trị đã nhập
- GET /api/users?email=f08@demo.test (sau khi có mạng lại) trả danh sách rỗng</t>
  </si>
  <si>
    <t xml:space="preserve">UC-DEMO-001-TC-F09</t>
  </si>
  <si>
    <t xml:space="preserve">Member gọi API tạo người dùng bị từ chối</t>
  </si>
  <si>
    <t xml:space="preserve">Có token của member1@t1.demo.test (Member, T1) và của admin1@t1.demo.test</t>
  </si>
  <si>
    <t xml:space="preserve">body {"name": "Trần Minh", "email": "f09@demo.test", "role": "Member"}</t>
  </si>
  <si>
    <t xml:space="preserve">1) Dùng token Member gửi POST /api/users với body ở cột Dữ liệu
2) Dùng token Admin gửi GET /api/users?email=f09@demo.test</t>
  </si>
  <si>
    <t xml:space="preserve">- Bước 1 trả HTTP 403
- bước 2 trả danh sách rỗng</t>
  </si>
  <si>
    <t xml:space="preserve">UC-DEMO-001-TC-F10</t>
  </si>
  <si>
    <t xml:space="preserve">Admin tạo người dùng sang tenant khác qua API bị từ chối</t>
  </si>
  <si>
    <t xml:space="preserve">PM-USER-03</t>
  </si>
  <si>
    <t xml:space="preserve">Có token của admin1@t1.demo.test (T1) và admin1@t2.demo.test (T2)</t>
  </si>
  <si>
    <t xml:space="preserve">body {"name": "Trần Minh", "email": "f10@demo.test", "role": "Member", "tenantId": "T2"}</t>
  </si>
  <si>
    <t xml:space="preserve">1) Dùng token Admin T1 gửi POST /api/users với body ở cột Dữ liệu
2) Dùng token Admin T2 gửi GET /api/users?email=f10@demo.test</t>
  </si>
  <si>
    <t xml:space="preserve">UC-DEMO-001-TC-F11</t>
  </si>
  <si>
    <t xml:space="preserve">Email mời được gửi tới đúng địa chỉ</t>
  </si>
  <si>
    <t xml:space="preserve">UC-DEMO-001-SE-02</t>
  </si>
  <si>
    <t xml:space="preserve">Đăng nhập admin1@t1.demo.test (Admin, tenant T1)
đang ở màn hình "Tạo người dùng"
hộp thư test trống</t>
  </si>
  <si>
    <t xml:space="preserve">Họ và tên = "Phạm Hoa"
Email = "f11@demo.test"
Vai trò = Member</t>
  </si>
  <si>
    <t xml:space="preserve">1) Nhập dữ liệu
2) Bấm "Gửi lời mời"
3) Đọc hộp thư test của f11@demo.test</t>
  </si>
  <si>
    <t xml:space="preserve">- Hộp thư f11@demo.test có đúng 1 email tiêu đề "Lời mời tham gia Demo"
- nội dung có link kích hoạt</t>
  </si>
  <si>
    <t xml:space="preserve">UC-DEMO-001-TC-F12</t>
  </si>
  <si>
    <t xml:space="preserve">Audit ghi sự kiện mời người dùng</t>
  </si>
  <si>
    <t xml:space="preserve">UC-DEMO-001-SE-03</t>
  </si>
  <si>
    <t xml:space="preserve">Họ và tên = "Phạm Hoa"
Email = "f12@demo.test"
Vai trò = Member</t>
  </si>
  <si>
    <t xml:space="preserve">1) Nhập dữ liệu
2) Bấm "Gửi lời mời"
3) Gửi GET /api/audit?target=f12@demo.test</t>
  </si>
  <si>
    <t xml:space="preserve">Có đúng 1 bản ghi: action "user.invited", actor "admin1@t1.demo.test", target "f12@demo.test"</t>
  </si>
  <si>
    <t xml:space="preserve">UC-DEMO-001-TC-F13</t>
  </si>
  <si>
    <t xml:space="preserve">Bấm Gửi lời mời hai lần liên tiếp chỉ tạo một người dùng</t>
  </si>
  <si>
    <t xml:space="preserve">Đoán lỗi</t>
  </si>
  <si>
    <t xml:space="preserve">UC-DEMO-001-EG-01</t>
  </si>
  <si>
    <t xml:space="preserve">Họ và tên = "Phạm Hoa"
Email = "f13@demo.test"
Vai trò = Member</t>
  </si>
  <si>
    <t xml:space="preserve">1) Nhập dữ liệu
2) Bấm "Gửi lời mời" hai lần liên tiếp (double click)</t>
  </si>
  <si>
    <t xml:space="preserve">- Danh sách chỉ có 1 dòng f13@demo.test
- hộp thư test chỉ có 1 email mời tới f13@demo.test</t>
  </si>
  <si>
    <t xml:space="preserve">@UC-DEMO-001 @function @abnormal @P1</t>
  </si>
  <si>
    <t xml:space="preserve">UC-DEMO-001-TC-F14</t>
  </si>
  <si>
    <t xml:space="preserve">Bấm Back sau khi tạo không tạo thêm người dùng</t>
  </si>
  <si>
    <t xml:space="preserve">UC-DEMO-001-EG-02</t>
  </si>
  <si>
    <t xml:space="preserve">Họ và tên = "Phạm Hoa"
Email = "f14@demo.test"
Vai trò = Member</t>
  </si>
  <si>
    <t xml:space="preserve">1) Nhập dữ liệu
2) Bấm "Gửi lời mời"
3) Bấm Back của trình duyệt
4) Mở /users</t>
  </si>
  <si>
    <t xml:space="preserve">- Không có request POST /api/users nào sau bước 3
- danh sách chỉ có 1 dòng f14@demo.test</t>
  </si>
  <si>
    <t xml:space="preserve">UC-DEMO-001-TC-F15</t>
  </si>
  <si>
    <t xml:space="preserve">Hai Admin gửi cùng một email đồng thời thì chỉ một thành công</t>
  </si>
  <si>
    <t xml:space="preserve">UC-DEMO-001-EG-03, UC-DEMO-001-BR-01, UC-DEMO-001-MS-06</t>
  </si>
  <si>
    <t xml:space="preserve">Hai phiên: admin1@t1.demo.test và admin2@t1.demo.test, cả hai đang ở màn hình "Tạo người dùng"</t>
  </si>
  <si>
    <t xml:space="preserve">Họ và tên = "Phạm Hoa"
Email = "f15@demo.test"
Vai trò = Member</t>
  </si>
  <si>
    <t xml:space="preserve">1) Cả hai nhập cùng dữ liệu
2) Cả hai bấm "Gửi lời mời" cùng lúc</t>
  </si>
  <si>
    <t xml:space="preserve">- Đúng một phiên hiện toast "Đã gửi lời mời đến f15@demo.test."
- phiên còn lại hiện "Email đã tồn tại trong tổ chức."
- danh sách chỉ có 1 dòng f15@demo.test</t>
  </si>
  <si>
    <t xml:space="preserve">Có — hai browser context chạy song song</t>
  </si>
  <si>
    <t xml:space="preserve">UC-DEMO-001-TC-F16</t>
  </si>
  <si>
    <t xml:space="preserve">Hết phiên khi đang nhập thì không tạo và chuyển tới đăng nhập</t>
  </si>
  <si>
    <t xml:space="preserve">UC-DEMO-001-EG-04</t>
  </si>
  <si>
    <t xml:space="preserve">Họ và tên = "Phạm Hoa"
Email = "f16@demo.test"
Vai trò = Member</t>
  </si>
  <si>
    <t xml:space="preserve">1) Nhập dữ liệu
2) Làm hết phiên (xóa cookie phiên)
3) Bấm "Gửi lời mời"
4) Đăng nhập lại và mở /users</t>
  </si>
  <si>
    <t xml:space="preserve">- Sau bước 3 URL là /login
- sau bước 4 danh sách không có f16@demo.test</t>
  </si>
  <si>
    <t xml:space="preserve">@UC-DEMO-001 @function @abnormal @P3</t>
  </si>
  <si>
    <t xml:space="preserve">Có — mô phỏng bằng xóa cookie; trường hợp chờ đủ 30 phút chạy tay</t>
  </si>
  <si>
    <t xml:space="preserve">Tổng hợp test case và kết quả chạy</t>
  </si>
  <si>
    <t xml:space="preserve">Mọi số liệu tính bằng công thức từ sheet 'Test cases' — tự cập nhật khi điền cột Trạng thái chạy.</t>
  </si>
  <si>
    <t xml:space="preserve">Tổng TC</t>
  </si>
  <si>
    <t xml:space="preserve">Pass</t>
  </si>
  <si>
    <t xml:space="preserve">Fail</t>
  </si>
  <si>
    <t xml:space="preserve">Blocked</t>
  </si>
  <si>
    <t xml:space="preserve">N/A</t>
  </si>
  <si>
    <t xml:space="preserve">% đã chạy</t>
  </si>
  <si>
    <t xml:space="preserve">% Pass</t>
  </si>
  <si>
    <t xml:space="preserve">Tổng</t>
  </si>
  <si>
    <t xml:space="preserve">% đã chạy = (Pass + Fail) / (Tổng − N/A). % Pass = Pass / (Pass + Fail). Blocked và Not Run tính là chưa chạy.</t>
  </si>
  <si>
    <t xml:space="preserve">Hướng dẫn sử dụng</t>
  </si>
  <si>
    <t xml:space="preserve">examples/cases-demo.md — sinh bằng scripts/tc_export_xlsx.py. Sửa TC ở file markdown rồi xuất lại; chỉ điền kết quả chạy trong Excel.</t>
  </si>
  <si>
    <t xml:space="preserve">Cột cần điền</t>
  </si>
  <si>
    <t xml:space="preserve">Cột P–U trên sheet 'Test cases' (nền vàng): Kết quả thực tế, Trạng thái chạy, Ngày chạy, Người chạy, Bug ID, Ghi chú.</t>
  </si>
  <si>
    <t xml:space="preserve">Pass · Fail · Blocked (không chạy được vì lỗi khác / thiếu môi trường) · Not Run (mặc định) · N/A (không áp dụng ở đợt này).</t>
  </si>
  <si>
    <t xml:space="preserve">Positive = happy case · Negative = cố tình sai (dữ liệu sai, vi phạm rule, không quyền) · Abnormal = sự cố (mất mạng, bấm hai lần, đồng thời, hết phiên).</t>
  </si>
  <si>
    <t xml:space="preserve">P1 luồng chính, phân quyền, dữ liệu, bảo mật · P2 luồng thay thế, rule, validation chính · P3 hiển thị, trường hợp hiếm.</t>
  </si>
  <si>
    <t xml:space="preserve">Ví dụ một dòng đã chạy</t>
  </si>
  <si>
    <t xml:space="preserve">Kết quả thực tế: Hiện "Họ và tên từ 2 đến 50 ký tự." · Trạng thái chạy: Pass · Ngày chạy: 2026-10-05 · Người chạy: Lan · Bug ID: (trống) · Ghi chú: (trống)</t>
  </si>
  <si>
    <t xml:space="preserve">Ví dụ dòng lỗi</t>
  </si>
  <si>
    <t xml:space="preserve">Kết quả thực tế: Tạo được người dùng với tên 51 ký tự · Trạng thái chạy: Fail · Ngày chạy: 2026-10-05 · Người chạy: Lan · Bug ID: BUG-123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</si>
</sst>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99CCFF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36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26"/>
    <col collapsed="false" customWidth="true" hidden="false" outlineLevel="0" max="10" min="10" style="0" width="32"/>
    <col collapsed="false" customWidth="true" hidden="false" outlineLevel="0" max="11" min="11" style="0" width="30"/>
    <col collapsed="false" customWidth="true" hidden="false" outlineLevel="0" max="12" min="12" style="0" width="38"/>
    <col collapsed="false" customWidth="true" hidden="false" outlineLevel="0" max="13" min="13" style="0" width="46"/>
    <col collapsed="false" customWidth="true" hidden="false" outlineLevel="0" max="14" min="14" style="0" width="22"/>
    <col collapsed="false" customWidth="true" hidden="false" outlineLevel="0" max="15" min="15" style="0" width="14"/>
    <col collapsed="false" customWidth="true" hidden="false" outlineLevel="0" max="16" min="16" style="0" width="30"/>
    <col collapsed="false" customWidth="true" hidden="false" outlineLevel="0" max="18" min="17" style="0" width="12"/>
    <col collapsed="false" customWidth="true" hidden="false" outlineLevel="0" max="19" min="19" style="0" width="14"/>
    <col collapsed="false" customWidth="true" hidden="false" outlineLevel="0" max="20" min="20" style="0" width="12"/>
    <col collapsed="false" customWidth="true" hidden="false" outlineLevel="0" max="21" min="21" style="0" width="2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8" hidden="false" customHeight="true" outlineLevel="0" collapsed="false">
      <c r="A2" s="2"/>
      <c r="B2" s="2"/>
      <c r="C2" s="3" t="s">
        <v>21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8" hidden="false" customHeight="true" outlineLevel="0" collapsed="false">
      <c r="A3" s="4"/>
      <c r="B3" s="4"/>
      <c r="C3" s="5" t="s">
        <v>22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customFormat="false" ht="43.5" hidden="false" customHeight="true" outlineLevel="0" collapsed="false">
      <c r="A4" s="6" t="n">
        <v>1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/>
      <c r="L4" s="6" t="s">
        <v>32</v>
      </c>
      <c r="M4" s="6" t="s">
        <v>33</v>
      </c>
      <c r="N4" s="6" t="s">
        <v>34</v>
      </c>
      <c r="O4" s="6" t="s">
        <v>35</v>
      </c>
      <c r="P4" s="7"/>
      <c r="Q4" s="7" t="s">
        <v>36</v>
      </c>
      <c r="R4" s="7"/>
      <c r="S4" s="7"/>
      <c r="T4" s="7"/>
      <c r="U4" s="7"/>
    </row>
    <row r="5" customFormat="false" ht="30" hidden="false" customHeight="true" outlineLevel="0" collapsed="false">
      <c r="A5" s="6" t="n">
        <v>2</v>
      </c>
      <c r="B5" s="6" t="s">
        <v>23</v>
      </c>
      <c r="C5" s="6" t="s">
        <v>37</v>
      </c>
      <c r="D5" s="6" t="s">
        <v>25</v>
      </c>
      <c r="E5" s="6" t="s">
        <v>38</v>
      </c>
      <c r="F5" s="6" t="s">
        <v>27</v>
      </c>
      <c r="G5" s="6" t="s">
        <v>39</v>
      </c>
      <c r="H5" s="6" t="s">
        <v>29</v>
      </c>
      <c r="I5" s="6" t="s">
        <v>40</v>
      </c>
      <c r="J5" s="6" t="s">
        <v>41</v>
      </c>
      <c r="K5" s="6"/>
      <c r="L5" s="6" t="s">
        <v>42</v>
      </c>
      <c r="M5" s="6" t="s">
        <v>43</v>
      </c>
      <c r="N5" s="6" t="s">
        <v>44</v>
      </c>
      <c r="O5" s="6" t="s">
        <v>35</v>
      </c>
      <c r="P5" s="7"/>
      <c r="Q5" s="7" t="s">
        <v>36</v>
      </c>
      <c r="R5" s="7"/>
      <c r="S5" s="7"/>
      <c r="T5" s="7"/>
      <c r="U5" s="7"/>
    </row>
    <row r="6" customFormat="false" ht="43.5" hidden="false" customHeight="true" outlineLevel="0" collapsed="false">
      <c r="A6" s="6" t="n">
        <v>3</v>
      </c>
      <c r="B6" s="6" t="s">
        <v>23</v>
      </c>
      <c r="C6" s="6" t="s">
        <v>45</v>
      </c>
      <c r="D6" s="6" t="s">
        <v>25</v>
      </c>
      <c r="E6" s="6" t="s">
        <v>46</v>
      </c>
      <c r="F6" s="6" t="s">
        <v>47</v>
      </c>
      <c r="G6" s="6" t="s">
        <v>28</v>
      </c>
      <c r="H6" s="6" t="s">
        <v>29</v>
      </c>
      <c r="I6" s="6" t="s">
        <v>48</v>
      </c>
      <c r="J6" s="6" t="s">
        <v>49</v>
      </c>
      <c r="K6" s="6"/>
      <c r="L6" s="6" t="s">
        <v>50</v>
      </c>
      <c r="M6" s="6" t="s">
        <v>51</v>
      </c>
      <c r="N6" s="6" t="s">
        <v>52</v>
      </c>
      <c r="O6" s="6" t="s">
        <v>35</v>
      </c>
      <c r="P6" s="7"/>
      <c r="Q6" s="7" t="s">
        <v>36</v>
      </c>
      <c r="R6" s="7"/>
      <c r="S6" s="7"/>
      <c r="T6" s="7"/>
      <c r="U6" s="7"/>
    </row>
    <row r="7" customFormat="false" ht="43.5" hidden="false" customHeight="true" outlineLevel="0" collapsed="false">
      <c r="A7" s="6" t="n">
        <v>4</v>
      </c>
      <c r="B7" s="6" t="s">
        <v>23</v>
      </c>
      <c r="C7" s="6" t="s">
        <v>53</v>
      </c>
      <c r="D7" s="6" t="s">
        <v>25</v>
      </c>
      <c r="E7" s="6" t="s">
        <v>54</v>
      </c>
      <c r="F7" s="6" t="s">
        <v>47</v>
      </c>
      <c r="G7" s="6" t="s">
        <v>28</v>
      </c>
      <c r="H7" s="6" t="s">
        <v>55</v>
      </c>
      <c r="I7" s="6" t="s">
        <v>56</v>
      </c>
      <c r="J7" s="6" t="s">
        <v>57</v>
      </c>
      <c r="K7" s="6"/>
      <c r="L7" s="6" t="s">
        <v>58</v>
      </c>
      <c r="M7" s="6" t="s">
        <v>59</v>
      </c>
      <c r="N7" s="6" t="s">
        <v>52</v>
      </c>
      <c r="O7" s="6" t="s">
        <v>35</v>
      </c>
      <c r="P7" s="7"/>
      <c r="Q7" s="7" t="s">
        <v>36</v>
      </c>
      <c r="R7" s="7"/>
      <c r="S7" s="7"/>
      <c r="T7" s="7"/>
      <c r="U7" s="7"/>
    </row>
    <row r="8" customFormat="false" ht="43.5" hidden="false" customHeight="true" outlineLevel="0" collapsed="false">
      <c r="A8" s="6" t="n">
        <v>5</v>
      </c>
      <c r="B8" s="6" t="s">
        <v>23</v>
      </c>
      <c r="C8" s="6" t="s">
        <v>60</v>
      </c>
      <c r="D8" s="6" t="s">
        <v>25</v>
      </c>
      <c r="E8" s="6" t="s">
        <v>61</v>
      </c>
      <c r="F8" s="6" t="s">
        <v>47</v>
      </c>
      <c r="G8" s="6" t="s">
        <v>28</v>
      </c>
      <c r="H8" s="6" t="s">
        <v>55</v>
      </c>
      <c r="I8" s="6" t="s">
        <v>62</v>
      </c>
      <c r="J8" s="6" t="s">
        <v>63</v>
      </c>
      <c r="K8" s="6"/>
      <c r="L8" s="6" t="s">
        <v>64</v>
      </c>
      <c r="M8" s="6" t="s">
        <v>65</v>
      </c>
      <c r="N8" s="6" t="s">
        <v>52</v>
      </c>
      <c r="O8" s="6" t="s">
        <v>35</v>
      </c>
      <c r="P8" s="7"/>
      <c r="Q8" s="7" t="s">
        <v>36</v>
      </c>
      <c r="R8" s="7"/>
      <c r="S8" s="7"/>
      <c r="T8" s="7"/>
      <c r="U8" s="7"/>
    </row>
    <row r="9" customFormat="false" ht="43.5" hidden="false" customHeight="true" outlineLevel="0" collapsed="false">
      <c r="A9" s="6" t="n">
        <v>6</v>
      </c>
      <c r="B9" s="6" t="s">
        <v>23</v>
      </c>
      <c r="C9" s="6" t="s">
        <v>66</v>
      </c>
      <c r="D9" s="6" t="s">
        <v>25</v>
      </c>
      <c r="E9" s="6" t="s">
        <v>67</v>
      </c>
      <c r="F9" s="6" t="s">
        <v>27</v>
      </c>
      <c r="G9" s="6" t="s">
        <v>28</v>
      </c>
      <c r="H9" s="6" t="s">
        <v>29</v>
      </c>
      <c r="I9" s="6" t="s">
        <v>68</v>
      </c>
      <c r="J9" s="6" t="s">
        <v>69</v>
      </c>
      <c r="K9" s="6" t="s">
        <v>70</v>
      </c>
      <c r="L9" s="6" t="s">
        <v>71</v>
      </c>
      <c r="M9" s="6" t="s">
        <v>72</v>
      </c>
      <c r="N9" s="6" t="s">
        <v>73</v>
      </c>
      <c r="O9" s="6" t="s">
        <v>35</v>
      </c>
      <c r="P9" s="7"/>
      <c r="Q9" s="7" t="s">
        <v>36</v>
      </c>
      <c r="R9" s="7"/>
      <c r="S9" s="7"/>
      <c r="T9" s="7"/>
      <c r="U9" s="7"/>
    </row>
    <row r="10" customFormat="false" ht="57" hidden="false" customHeight="true" outlineLevel="0" collapsed="false">
      <c r="A10" s="6" t="n">
        <v>7</v>
      </c>
      <c r="B10" s="6" t="s">
        <v>23</v>
      </c>
      <c r="C10" s="6" t="s">
        <v>74</v>
      </c>
      <c r="D10" s="6" t="s">
        <v>25</v>
      </c>
      <c r="E10" s="6" t="s">
        <v>75</v>
      </c>
      <c r="F10" s="6" t="s">
        <v>27</v>
      </c>
      <c r="G10" s="6" t="s">
        <v>39</v>
      </c>
      <c r="H10" s="6" t="s">
        <v>29</v>
      </c>
      <c r="I10" s="6" t="s">
        <v>76</v>
      </c>
      <c r="J10" s="6" t="s">
        <v>69</v>
      </c>
      <c r="K10" s="6" t="s">
        <v>77</v>
      </c>
      <c r="L10" s="6" t="s">
        <v>78</v>
      </c>
      <c r="M10" s="6" t="s">
        <v>79</v>
      </c>
      <c r="N10" s="6" t="s">
        <v>44</v>
      </c>
      <c r="O10" s="6" t="s">
        <v>35</v>
      </c>
      <c r="P10" s="7"/>
      <c r="Q10" s="7" t="s">
        <v>36</v>
      </c>
      <c r="R10" s="7"/>
      <c r="S10" s="7"/>
      <c r="T10" s="7"/>
      <c r="U10" s="7"/>
    </row>
    <row r="11" customFormat="false" ht="43.5" hidden="false" customHeight="true" outlineLevel="0" collapsed="false">
      <c r="A11" s="6" t="n">
        <v>8</v>
      </c>
      <c r="B11" s="6" t="s">
        <v>23</v>
      </c>
      <c r="C11" s="6" t="s">
        <v>80</v>
      </c>
      <c r="D11" s="6" t="s">
        <v>25</v>
      </c>
      <c r="E11" s="6" t="s">
        <v>81</v>
      </c>
      <c r="F11" s="6" t="s">
        <v>27</v>
      </c>
      <c r="G11" s="6" t="s">
        <v>82</v>
      </c>
      <c r="H11" s="6" t="s">
        <v>29</v>
      </c>
      <c r="I11" s="6" t="s">
        <v>76</v>
      </c>
      <c r="J11" s="6" t="s">
        <v>69</v>
      </c>
      <c r="K11" s="6" t="s">
        <v>77</v>
      </c>
      <c r="L11" s="6" t="s">
        <v>83</v>
      </c>
      <c r="M11" s="6" t="s">
        <v>84</v>
      </c>
      <c r="N11" s="6" t="s">
        <v>85</v>
      </c>
      <c r="O11" s="6" t="s">
        <v>35</v>
      </c>
      <c r="P11" s="7"/>
      <c r="Q11" s="7" t="s">
        <v>36</v>
      </c>
      <c r="R11" s="7"/>
      <c r="S11" s="7"/>
      <c r="T11" s="7"/>
      <c r="U11" s="7"/>
    </row>
    <row r="12" customFormat="false" ht="70.5" hidden="false" customHeight="true" outlineLevel="0" collapsed="false">
      <c r="A12" s="6" t="n">
        <v>9</v>
      </c>
      <c r="B12" s="6" t="s">
        <v>23</v>
      </c>
      <c r="C12" s="6" t="s">
        <v>86</v>
      </c>
      <c r="D12" s="6" t="s">
        <v>25</v>
      </c>
      <c r="E12" s="6" t="s">
        <v>87</v>
      </c>
      <c r="F12" s="6" t="s">
        <v>27</v>
      </c>
      <c r="G12" s="6" t="s">
        <v>39</v>
      </c>
      <c r="H12" s="6" t="s">
        <v>29</v>
      </c>
      <c r="I12" s="6" t="s">
        <v>88</v>
      </c>
      <c r="J12" s="6" t="s">
        <v>41</v>
      </c>
      <c r="K12" s="6"/>
      <c r="L12" s="6" t="s">
        <v>58</v>
      </c>
      <c r="M12" s="6" t="s">
        <v>89</v>
      </c>
      <c r="N12" s="6" t="s">
        <v>44</v>
      </c>
      <c r="O12" s="6" t="s">
        <v>35</v>
      </c>
      <c r="P12" s="7"/>
      <c r="Q12" s="7" t="s">
        <v>36</v>
      </c>
      <c r="R12" s="7"/>
      <c r="S12" s="7"/>
      <c r="T12" s="7"/>
      <c r="U12" s="7"/>
    </row>
    <row r="13" customFormat="false" ht="18" hidden="false" customHeight="true" outlineLevel="0" collapsed="false">
      <c r="A13" s="4"/>
      <c r="B13" s="4"/>
      <c r="C13" s="5" t="s">
        <v>90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customFormat="false" ht="43.5" hidden="false" customHeight="true" outlineLevel="0" collapsed="false">
      <c r="A14" s="6" t="n">
        <v>10</v>
      </c>
      <c r="B14" s="6" t="s">
        <v>23</v>
      </c>
      <c r="C14" s="6" t="s">
        <v>91</v>
      </c>
      <c r="D14" s="6" t="s">
        <v>92</v>
      </c>
      <c r="E14" s="6" t="s">
        <v>93</v>
      </c>
      <c r="F14" s="6" t="s">
        <v>27</v>
      </c>
      <c r="G14" s="6" t="s">
        <v>39</v>
      </c>
      <c r="H14" s="6" t="s">
        <v>94</v>
      </c>
      <c r="I14" s="6" t="s">
        <v>95</v>
      </c>
      <c r="J14" s="6" t="s">
        <v>69</v>
      </c>
      <c r="K14" s="6" t="s">
        <v>96</v>
      </c>
      <c r="L14" s="6" t="s">
        <v>71</v>
      </c>
      <c r="M14" s="6" t="s">
        <v>97</v>
      </c>
      <c r="N14" s="6" t="s">
        <v>98</v>
      </c>
      <c r="O14" s="6" t="s">
        <v>35</v>
      </c>
      <c r="P14" s="7"/>
      <c r="Q14" s="7" t="s">
        <v>36</v>
      </c>
      <c r="R14" s="7"/>
      <c r="S14" s="7"/>
      <c r="T14" s="7"/>
      <c r="U14" s="7"/>
    </row>
    <row r="15" customFormat="false" ht="43.5" hidden="false" customHeight="true" outlineLevel="0" collapsed="false">
      <c r="A15" s="6" t="n">
        <v>11</v>
      </c>
      <c r="B15" s="6" t="s">
        <v>23</v>
      </c>
      <c r="C15" s="6" t="s">
        <v>99</v>
      </c>
      <c r="D15" s="6" t="s">
        <v>92</v>
      </c>
      <c r="E15" s="6" t="s">
        <v>100</v>
      </c>
      <c r="F15" s="6" t="s">
        <v>27</v>
      </c>
      <c r="G15" s="6" t="s">
        <v>82</v>
      </c>
      <c r="H15" s="6" t="s">
        <v>94</v>
      </c>
      <c r="I15" s="6" t="s">
        <v>101</v>
      </c>
      <c r="J15" s="6" t="s">
        <v>69</v>
      </c>
      <c r="K15" s="6" t="s">
        <v>102</v>
      </c>
      <c r="L15" s="6" t="s">
        <v>71</v>
      </c>
      <c r="M15" s="6" t="s">
        <v>103</v>
      </c>
      <c r="N15" s="6" t="s">
        <v>104</v>
      </c>
      <c r="O15" s="6" t="s">
        <v>35</v>
      </c>
      <c r="P15" s="7"/>
      <c r="Q15" s="7" t="s">
        <v>36</v>
      </c>
      <c r="R15" s="7"/>
      <c r="S15" s="7"/>
      <c r="T15" s="7"/>
      <c r="U15" s="7"/>
    </row>
    <row r="16" customFormat="false" ht="43.5" hidden="false" customHeight="true" outlineLevel="0" collapsed="false">
      <c r="A16" s="6" t="n">
        <v>12</v>
      </c>
      <c r="B16" s="6" t="s">
        <v>23</v>
      </c>
      <c r="C16" s="6" t="s">
        <v>105</v>
      </c>
      <c r="D16" s="6" t="s">
        <v>92</v>
      </c>
      <c r="E16" s="6" t="s">
        <v>106</v>
      </c>
      <c r="F16" s="6" t="s">
        <v>47</v>
      </c>
      <c r="G16" s="6" t="s">
        <v>39</v>
      </c>
      <c r="H16" s="6" t="s">
        <v>94</v>
      </c>
      <c r="I16" s="6" t="s">
        <v>107</v>
      </c>
      <c r="J16" s="6" t="s">
        <v>69</v>
      </c>
      <c r="K16" s="6" t="s">
        <v>108</v>
      </c>
      <c r="L16" s="6" t="s">
        <v>71</v>
      </c>
      <c r="M16" s="6" t="s">
        <v>109</v>
      </c>
      <c r="N16" s="6" t="s">
        <v>110</v>
      </c>
      <c r="O16" s="6" t="s">
        <v>35</v>
      </c>
      <c r="P16" s="7"/>
      <c r="Q16" s="7" t="s">
        <v>36</v>
      </c>
      <c r="R16" s="7"/>
      <c r="S16" s="7"/>
      <c r="T16" s="7"/>
      <c r="U16" s="7"/>
    </row>
    <row r="17" customFormat="false" ht="43.5" hidden="false" customHeight="true" outlineLevel="0" collapsed="false">
      <c r="A17" s="6" t="n">
        <v>13</v>
      </c>
      <c r="B17" s="6" t="s">
        <v>23</v>
      </c>
      <c r="C17" s="6" t="s">
        <v>111</v>
      </c>
      <c r="D17" s="6" t="s">
        <v>92</v>
      </c>
      <c r="E17" s="6" t="s">
        <v>112</v>
      </c>
      <c r="F17" s="6" t="s">
        <v>47</v>
      </c>
      <c r="G17" s="6" t="s">
        <v>39</v>
      </c>
      <c r="H17" s="6" t="s">
        <v>94</v>
      </c>
      <c r="I17" s="6" t="s">
        <v>113</v>
      </c>
      <c r="J17" s="6" t="s">
        <v>69</v>
      </c>
      <c r="K17" s="6" t="s">
        <v>114</v>
      </c>
      <c r="L17" s="6" t="s">
        <v>71</v>
      </c>
      <c r="M17" s="6" t="s">
        <v>109</v>
      </c>
      <c r="N17" s="6" t="s">
        <v>110</v>
      </c>
      <c r="O17" s="6" t="s">
        <v>35</v>
      </c>
      <c r="P17" s="7"/>
      <c r="Q17" s="7" t="s">
        <v>36</v>
      </c>
      <c r="R17" s="7"/>
      <c r="S17" s="7"/>
      <c r="T17" s="7"/>
      <c r="U17" s="7"/>
    </row>
    <row r="18" customFormat="false" ht="57" hidden="false" customHeight="true" outlineLevel="0" collapsed="false">
      <c r="A18" s="6" t="n">
        <v>14</v>
      </c>
      <c r="B18" s="6" t="s">
        <v>23</v>
      </c>
      <c r="C18" s="6" t="s">
        <v>115</v>
      </c>
      <c r="D18" s="6" t="s">
        <v>92</v>
      </c>
      <c r="E18" s="6" t="s">
        <v>116</v>
      </c>
      <c r="F18" s="6" t="s">
        <v>47</v>
      </c>
      <c r="G18" s="6" t="s">
        <v>39</v>
      </c>
      <c r="H18" s="6" t="s">
        <v>117</v>
      </c>
      <c r="I18" s="6" t="s">
        <v>118</v>
      </c>
      <c r="J18" s="6" t="s">
        <v>69</v>
      </c>
      <c r="K18" s="6" t="s">
        <v>119</v>
      </c>
      <c r="L18" s="6" t="s">
        <v>71</v>
      </c>
      <c r="M18" s="6" t="s">
        <v>120</v>
      </c>
      <c r="N18" s="6" t="s">
        <v>110</v>
      </c>
      <c r="O18" s="6" t="s">
        <v>35</v>
      </c>
      <c r="P18" s="7"/>
      <c r="Q18" s="7" t="s">
        <v>36</v>
      </c>
      <c r="R18" s="7"/>
      <c r="S18" s="7"/>
      <c r="T18" s="7"/>
      <c r="U18" s="7"/>
    </row>
    <row r="19" customFormat="false" ht="43.5" hidden="false" customHeight="true" outlineLevel="0" collapsed="false">
      <c r="A19" s="6" t="n">
        <v>15</v>
      </c>
      <c r="B19" s="6" t="s">
        <v>23</v>
      </c>
      <c r="C19" s="6" t="s">
        <v>121</v>
      </c>
      <c r="D19" s="6" t="s">
        <v>92</v>
      </c>
      <c r="E19" s="6" t="s">
        <v>122</v>
      </c>
      <c r="F19" s="6" t="s">
        <v>27</v>
      </c>
      <c r="G19" s="6" t="s">
        <v>39</v>
      </c>
      <c r="H19" s="6" t="s">
        <v>117</v>
      </c>
      <c r="I19" s="6" t="s">
        <v>123</v>
      </c>
      <c r="J19" s="6" t="s">
        <v>69</v>
      </c>
      <c r="K19" s="6" t="s">
        <v>124</v>
      </c>
      <c r="L19" s="6" t="s">
        <v>71</v>
      </c>
      <c r="M19" s="6" t="s">
        <v>125</v>
      </c>
      <c r="N19" s="6" t="s">
        <v>98</v>
      </c>
      <c r="O19" s="6" t="s">
        <v>35</v>
      </c>
      <c r="P19" s="7"/>
      <c r="Q19" s="7" t="s">
        <v>36</v>
      </c>
      <c r="R19" s="7"/>
      <c r="S19" s="7"/>
      <c r="T19" s="7"/>
      <c r="U19" s="7"/>
    </row>
    <row r="20" customFormat="false" ht="57" hidden="false" customHeight="true" outlineLevel="0" collapsed="false">
      <c r="A20" s="6" t="n">
        <v>16</v>
      </c>
      <c r="B20" s="6" t="s">
        <v>23</v>
      </c>
      <c r="C20" s="6" t="s">
        <v>126</v>
      </c>
      <c r="D20" s="6" t="s">
        <v>92</v>
      </c>
      <c r="E20" s="6" t="s">
        <v>127</v>
      </c>
      <c r="F20" s="6" t="s">
        <v>27</v>
      </c>
      <c r="G20" s="6" t="s">
        <v>39</v>
      </c>
      <c r="H20" s="6" t="s">
        <v>117</v>
      </c>
      <c r="I20" s="6" t="s">
        <v>128</v>
      </c>
      <c r="J20" s="6" t="s">
        <v>69</v>
      </c>
      <c r="K20" s="6" t="s">
        <v>129</v>
      </c>
      <c r="L20" s="6" t="s">
        <v>71</v>
      </c>
      <c r="M20" s="6" t="s">
        <v>130</v>
      </c>
      <c r="N20" s="6" t="s">
        <v>98</v>
      </c>
      <c r="O20" s="6" t="s">
        <v>35</v>
      </c>
      <c r="P20" s="7"/>
      <c r="Q20" s="7" t="s">
        <v>36</v>
      </c>
      <c r="R20" s="7"/>
      <c r="S20" s="7"/>
      <c r="T20" s="7"/>
      <c r="U20" s="7"/>
    </row>
    <row r="21" customFormat="false" ht="57" hidden="false" customHeight="true" outlineLevel="0" collapsed="false">
      <c r="A21" s="6" t="n">
        <v>17</v>
      </c>
      <c r="B21" s="6" t="s">
        <v>23</v>
      </c>
      <c r="C21" s="6" t="s">
        <v>131</v>
      </c>
      <c r="D21" s="6" t="s">
        <v>92</v>
      </c>
      <c r="E21" s="6" t="s">
        <v>132</v>
      </c>
      <c r="F21" s="6" t="s">
        <v>47</v>
      </c>
      <c r="G21" s="6" t="s">
        <v>39</v>
      </c>
      <c r="H21" s="6" t="s">
        <v>117</v>
      </c>
      <c r="I21" s="6" t="s">
        <v>133</v>
      </c>
      <c r="J21" s="6" t="s">
        <v>69</v>
      </c>
      <c r="K21" s="6" t="s">
        <v>134</v>
      </c>
      <c r="L21" s="6" t="s">
        <v>71</v>
      </c>
      <c r="M21" s="6" t="s">
        <v>120</v>
      </c>
      <c r="N21" s="6" t="s">
        <v>110</v>
      </c>
      <c r="O21" s="6" t="s">
        <v>35</v>
      </c>
      <c r="P21" s="7"/>
      <c r="Q21" s="7" t="s">
        <v>36</v>
      </c>
      <c r="R21" s="7"/>
      <c r="S21" s="7"/>
      <c r="T21" s="7"/>
      <c r="U21" s="7"/>
    </row>
    <row r="22" customFormat="false" ht="57" hidden="false" customHeight="true" outlineLevel="0" collapsed="false">
      <c r="A22" s="6" t="n">
        <v>18</v>
      </c>
      <c r="B22" s="6" t="s">
        <v>23</v>
      </c>
      <c r="C22" s="6" t="s">
        <v>135</v>
      </c>
      <c r="D22" s="6" t="s">
        <v>92</v>
      </c>
      <c r="E22" s="6" t="s">
        <v>136</v>
      </c>
      <c r="F22" s="6" t="s">
        <v>47</v>
      </c>
      <c r="G22" s="6" t="s">
        <v>82</v>
      </c>
      <c r="H22" s="6" t="s">
        <v>117</v>
      </c>
      <c r="I22" s="6" t="s">
        <v>137</v>
      </c>
      <c r="J22" s="6" t="s">
        <v>69</v>
      </c>
      <c r="K22" s="6" t="s">
        <v>138</v>
      </c>
      <c r="L22" s="6" t="s">
        <v>71</v>
      </c>
      <c r="M22" s="6" t="s">
        <v>120</v>
      </c>
      <c r="N22" s="6" t="s">
        <v>139</v>
      </c>
      <c r="O22" s="6" t="s">
        <v>35</v>
      </c>
      <c r="P22" s="7"/>
      <c r="Q22" s="7" t="s">
        <v>36</v>
      </c>
      <c r="R22" s="7"/>
      <c r="S22" s="7"/>
      <c r="T22" s="7"/>
      <c r="U22" s="7"/>
    </row>
    <row r="23" customFormat="false" ht="57" hidden="false" customHeight="true" outlineLevel="0" collapsed="false">
      <c r="A23" s="6" t="n">
        <v>19</v>
      </c>
      <c r="B23" s="6" t="s">
        <v>23</v>
      </c>
      <c r="C23" s="6" t="s">
        <v>140</v>
      </c>
      <c r="D23" s="6" t="s">
        <v>92</v>
      </c>
      <c r="E23" s="6" t="s">
        <v>141</v>
      </c>
      <c r="F23" s="6" t="s">
        <v>47</v>
      </c>
      <c r="G23" s="6" t="s">
        <v>39</v>
      </c>
      <c r="H23" s="6" t="s">
        <v>94</v>
      </c>
      <c r="I23" s="6" t="s">
        <v>142</v>
      </c>
      <c r="J23" s="6" t="s">
        <v>69</v>
      </c>
      <c r="K23" s="6" t="s">
        <v>143</v>
      </c>
      <c r="L23" s="6" t="s">
        <v>71</v>
      </c>
      <c r="M23" s="6" t="s">
        <v>144</v>
      </c>
      <c r="N23" s="6" t="s">
        <v>110</v>
      </c>
      <c r="O23" s="6" t="s">
        <v>35</v>
      </c>
      <c r="P23" s="7"/>
      <c r="Q23" s="7" t="s">
        <v>36</v>
      </c>
      <c r="R23" s="7"/>
      <c r="S23" s="7"/>
      <c r="T23" s="7"/>
      <c r="U23" s="7"/>
    </row>
    <row r="24" customFormat="false" ht="70.5" hidden="false" customHeight="true" outlineLevel="0" collapsed="false">
      <c r="A24" s="6" t="n">
        <v>20</v>
      </c>
      <c r="B24" s="6" t="s">
        <v>23</v>
      </c>
      <c r="C24" s="6" t="s">
        <v>145</v>
      </c>
      <c r="D24" s="6" t="s">
        <v>92</v>
      </c>
      <c r="E24" s="6" t="s">
        <v>146</v>
      </c>
      <c r="F24" s="6" t="s">
        <v>47</v>
      </c>
      <c r="G24" s="6" t="s">
        <v>28</v>
      </c>
      <c r="H24" s="6" t="s">
        <v>94</v>
      </c>
      <c r="I24" s="6" t="s">
        <v>147</v>
      </c>
      <c r="J24" s="6" t="s">
        <v>69</v>
      </c>
      <c r="K24" s="6" t="s">
        <v>148</v>
      </c>
      <c r="L24" s="6" t="s">
        <v>71</v>
      </c>
      <c r="M24" s="6" t="s">
        <v>149</v>
      </c>
      <c r="N24" s="6" t="s">
        <v>150</v>
      </c>
      <c r="O24" s="6" t="s">
        <v>35</v>
      </c>
      <c r="P24" s="7"/>
      <c r="Q24" s="7" t="s">
        <v>36</v>
      </c>
      <c r="R24" s="7"/>
      <c r="S24" s="7"/>
      <c r="T24" s="7"/>
      <c r="U24" s="7"/>
    </row>
    <row r="25" customFormat="false" ht="43.5" hidden="false" customHeight="true" outlineLevel="0" collapsed="false">
      <c r="A25" s="6" t="n">
        <v>21</v>
      </c>
      <c r="B25" s="6" t="s">
        <v>23</v>
      </c>
      <c r="C25" s="6" t="s">
        <v>151</v>
      </c>
      <c r="D25" s="6" t="s">
        <v>92</v>
      </c>
      <c r="E25" s="6" t="s">
        <v>152</v>
      </c>
      <c r="F25" s="6" t="s">
        <v>27</v>
      </c>
      <c r="G25" s="6" t="s">
        <v>82</v>
      </c>
      <c r="H25" s="6" t="s">
        <v>94</v>
      </c>
      <c r="I25" s="6" t="s">
        <v>153</v>
      </c>
      <c r="J25" s="6" t="s">
        <v>69</v>
      </c>
      <c r="K25" s="6" t="s">
        <v>154</v>
      </c>
      <c r="L25" s="6" t="s">
        <v>71</v>
      </c>
      <c r="M25" s="6" t="s">
        <v>155</v>
      </c>
      <c r="N25" s="6" t="s">
        <v>104</v>
      </c>
      <c r="O25" s="6" t="s">
        <v>35</v>
      </c>
      <c r="P25" s="7"/>
      <c r="Q25" s="7" t="s">
        <v>36</v>
      </c>
      <c r="R25" s="7"/>
      <c r="S25" s="7"/>
      <c r="T25" s="7"/>
      <c r="U25" s="7"/>
    </row>
    <row r="26" customFormat="false" ht="43.5" hidden="false" customHeight="true" outlineLevel="0" collapsed="false">
      <c r="A26" s="6" t="n">
        <v>22</v>
      </c>
      <c r="B26" s="6" t="s">
        <v>23</v>
      </c>
      <c r="C26" s="6" t="s">
        <v>156</v>
      </c>
      <c r="D26" s="6" t="s">
        <v>92</v>
      </c>
      <c r="E26" s="6" t="s">
        <v>157</v>
      </c>
      <c r="F26" s="6" t="s">
        <v>47</v>
      </c>
      <c r="G26" s="6" t="s">
        <v>39</v>
      </c>
      <c r="H26" s="6" t="s">
        <v>94</v>
      </c>
      <c r="I26" s="6" t="s">
        <v>158</v>
      </c>
      <c r="J26" s="6" t="s">
        <v>69</v>
      </c>
      <c r="K26" s="6" t="s">
        <v>159</v>
      </c>
      <c r="L26" s="6" t="s">
        <v>71</v>
      </c>
      <c r="M26" s="6" t="s">
        <v>160</v>
      </c>
      <c r="N26" s="6" t="s">
        <v>110</v>
      </c>
      <c r="O26" s="6" t="s">
        <v>35</v>
      </c>
      <c r="P26" s="7"/>
      <c r="Q26" s="7" t="s">
        <v>36</v>
      </c>
      <c r="R26" s="7"/>
      <c r="S26" s="7"/>
      <c r="T26" s="7"/>
      <c r="U26" s="7"/>
    </row>
    <row r="27" customFormat="false" ht="43.5" hidden="false" customHeight="true" outlineLevel="0" collapsed="false">
      <c r="A27" s="6" t="n">
        <v>23</v>
      </c>
      <c r="B27" s="6" t="s">
        <v>23</v>
      </c>
      <c r="C27" s="6" t="s">
        <v>161</v>
      </c>
      <c r="D27" s="6" t="s">
        <v>92</v>
      </c>
      <c r="E27" s="6" t="s">
        <v>162</v>
      </c>
      <c r="F27" s="6" t="s">
        <v>47</v>
      </c>
      <c r="G27" s="6" t="s">
        <v>39</v>
      </c>
      <c r="H27" s="6" t="s">
        <v>94</v>
      </c>
      <c r="I27" s="6" t="s">
        <v>163</v>
      </c>
      <c r="J27" s="6" t="s">
        <v>69</v>
      </c>
      <c r="K27" s="6" t="s">
        <v>164</v>
      </c>
      <c r="L27" s="6" t="s">
        <v>71</v>
      </c>
      <c r="M27" s="6" t="s">
        <v>165</v>
      </c>
      <c r="N27" s="6" t="s">
        <v>110</v>
      </c>
      <c r="O27" s="6" t="s">
        <v>35</v>
      </c>
      <c r="P27" s="7"/>
      <c r="Q27" s="7" t="s">
        <v>36</v>
      </c>
      <c r="R27" s="7"/>
      <c r="S27" s="7"/>
      <c r="T27" s="7"/>
      <c r="U27" s="7"/>
    </row>
    <row r="28" customFormat="false" ht="43.5" hidden="false" customHeight="true" outlineLevel="0" collapsed="false">
      <c r="A28" s="6" t="n">
        <v>24</v>
      </c>
      <c r="B28" s="6" t="s">
        <v>23</v>
      </c>
      <c r="C28" s="6" t="s">
        <v>166</v>
      </c>
      <c r="D28" s="6" t="s">
        <v>92</v>
      </c>
      <c r="E28" s="6" t="s">
        <v>167</v>
      </c>
      <c r="F28" s="6" t="s">
        <v>47</v>
      </c>
      <c r="G28" s="6" t="s">
        <v>39</v>
      </c>
      <c r="H28" s="6" t="s">
        <v>94</v>
      </c>
      <c r="I28" s="6" t="s">
        <v>168</v>
      </c>
      <c r="J28" s="6" t="s">
        <v>69</v>
      </c>
      <c r="K28" s="6" t="s">
        <v>169</v>
      </c>
      <c r="L28" s="6" t="s">
        <v>71</v>
      </c>
      <c r="M28" s="6" t="s">
        <v>165</v>
      </c>
      <c r="N28" s="6" t="s">
        <v>110</v>
      </c>
      <c r="O28" s="6" t="s">
        <v>35</v>
      </c>
      <c r="P28" s="7"/>
      <c r="Q28" s="7" t="s">
        <v>36</v>
      </c>
      <c r="R28" s="7"/>
      <c r="S28" s="7"/>
      <c r="T28" s="7"/>
      <c r="U28" s="7"/>
    </row>
    <row r="29" customFormat="false" ht="43.5" hidden="false" customHeight="true" outlineLevel="0" collapsed="false">
      <c r="A29" s="6" t="n">
        <v>25</v>
      </c>
      <c r="B29" s="6" t="s">
        <v>23</v>
      </c>
      <c r="C29" s="6" t="s">
        <v>170</v>
      </c>
      <c r="D29" s="6" t="s">
        <v>92</v>
      </c>
      <c r="E29" s="6" t="s">
        <v>171</v>
      </c>
      <c r="F29" s="6" t="s">
        <v>47</v>
      </c>
      <c r="G29" s="6" t="s">
        <v>39</v>
      </c>
      <c r="H29" s="6" t="s">
        <v>94</v>
      </c>
      <c r="I29" s="6" t="s">
        <v>172</v>
      </c>
      <c r="J29" s="6" t="s">
        <v>69</v>
      </c>
      <c r="K29" s="6" t="s">
        <v>173</v>
      </c>
      <c r="L29" s="6" t="s">
        <v>71</v>
      </c>
      <c r="M29" s="6" t="s">
        <v>165</v>
      </c>
      <c r="N29" s="6" t="s">
        <v>110</v>
      </c>
      <c r="O29" s="6" t="s">
        <v>35</v>
      </c>
      <c r="P29" s="7"/>
      <c r="Q29" s="7" t="s">
        <v>36</v>
      </c>
      <c r="R29" s="7"/>
      <c r="S29" s="7"/>
      <c r="T29" s="7"/>
      <c r="U29" s="7"/>
    </row>
    <row r="30" customFormat="false" ht="43.5" hidden="false" customHeight="true" outlineLevel="0" collapsed="false">
      <c r="A30" s="6" t="n">
        <v>26</v>
      </c>
      <c r="B30" s="6" t="s">
        <v>23</v>
      </c>
      <c r="C30" s="6" t="s">
        <v>174</v>
      </c>
      <c r="D30" s="6" t="s">
        <v>92</v>
      </c>
      <c r="E30" s="6" t="s">
        <v>175</v>
      </c>
      <c r="F30" s="6" t="s">
        <v>27</v>
      </c>
      <c r="G30" s="6" t="s">
        <v>39</v>
      </c>
      <c r="H30" s="6" t="s">
        <v>94</v>
      </c>
      <c r="I30" s="6" t="s">
        <v>176</v>
      </c>
      <c r="J30" s="6" t="s">
        <v>69</v>
      </c>
      <c r="K30" s="6" t="s">
        <v>177</v>
      </c>
      <c r="L30" s="6" t="s">
        <v>71</v>
      </c>
      <c r="M30" s="6" t="s">
        <v>178</v>
      </c>
      <c r="N30" s="6" t="s">
        <v>98</v>
      </c>
      <c r="O30" s="6" t="s">
        <v>35</v>
      </c>
      <c r="P30" s="7"/>
      <c r="Q30" s="7" t="s">
        <v>36</v>
      </c>
      <c r="R30" s="7"/>
      <c r="S30" s="7"/>
      <c r="T30" s="7"/>
      <c r="U30" s="7"/>
    </row>
    <row r="31" customFormat="false" ht="70.5" hidden="false" customHeight="true" outlineLevel="0" collapsed="false">
      <c r="A31" s="6" t="n">
        <v>27</v>
      </c>
      <c r="B31" s="6" t="s">
        <v>23</v>
      </c>
      <c r="C31" s="6" t="s">
        <v>179</v>
      </c>
      <c r="D31" s="6" t="s">
        <v>92</v>
      </c>
      <c r="E31" s="6" t="s">
        <v>180</v>
      </c>
      <c r="F31" s="6" t="s">
        <v>27</v>
      </c>
      <c r="G31" s="6" t="s">
        <v>82</v>
      </c>
      <c r="H31" s="6" t="s">
        <v>117</v>
      </c>
      <c r="I31" s="6" t="s">
        <v>181</v>
      </c>
      <c r="J31" s="6" t="s">
        <v>69</v>
      </c>
      <c r="K31" s="6" t="s">
        <v>182</v>
      </c>
      <c r="L31" s="6" t="s">
        <v>71</v>
      </c>
      <c r="M31" s="6" t="s">
        <v>183</v>
      </c>
      <c r="N31" s="6" t="s">
        <v>104</v>
      </c>
      <c r="O31" s="6" t="s">
        <v>35</v>
      </c>
      <c r="P31" s="7"/>
      <c r="Q31" s="7" t="s">
        <v>36</v>
      </c>
      <c r="R31" s="7"/>
      <c r="S31" s="7"/>
      <c r="T31" s="7"/>
      <c r="U31" s="7"/>
    </row>
    <row r="32" customFormat="false" ht="70.5" hidden="false" customHeight="true" outlineLevel="0" collapsed="false">
      <c r="A32" s="6" t="n">
        <v>28</v>
      </c>
      <c r="B32" s="6" t="s">
        <v>23</v>
      </c>
      <c r="C32" s="6" t="s">
        <v>184</v>
      </c>
      <c r="D32" s="6" t="s">
        <v>92</v>
      </c>
      <c r="E32" s="6" t="s">
        <v>185</v>
      </c>
      <c r="F32" s="6" t="s">
        <v>47</v>
      </c>
      <c r="G32" s="6" t="s">
        <v>82</v>
      </c>
      <c r="H32" s="6" t="s">
        <v>117</v>
      </c>
      <c r="I32" s="6" t="s">
        <v>186</v>
      </c>
      <c r="J32" s="6" t="s">
        <v>69</v>
      </c>
      <c r="K32" s="6" t="s">
        <v>187</v>
      </c>
      <c r="L32" s="6" t="s">
        <v>71</v>
      </c>
      <c r="M32" s="6" t="s">
        <v>165</v>
      </c>
      <c r="N32" s="6" t="s">
        <v>139</v>
      </c>
      <c r="O32" s="6" t="s">
        <v>35</v>
      </c>
      <c r="P32" s="7"/>
      <c r="Q32" s="7" t="s">
        <v>36</v>
      </c>
      <c r="R32" s="7"/>
      <c r="S32" s="7"/>
      <c r="T32" s="7"/>
      <c r="U32" s="7"/>
    </row>
    <row r="33" customFormat="false" ht="43.5" hidden="false" customHeight="true" outlineLevel="0" collapsed="false">
      <c r="A33" s="6" t="n">
        <v>29</v>
      </c>
      <c r="B33" s="6" t="s">
        <v>23</v>
      </c>
      <c r="C33" s="6" t="s">
        <v>188</v>
      </c>
      <c r="D33" s="6" t="s">
        <v>92</v>
      </c>
      <c r="E33" s="6" t="s">
        <v>189</v>
      </c>
      <c r="F33" s="6" t="s">
        <v>47</v>
      </c>
      <c r="G33" s="6" t="s">
        <v>39</v>
      </c>
      <c r="H33" s="6" t="s">
        <v>94</v>
      </c>
      <c r="I33" s="6" t="s">
        <v>190</v>
      </c>
      <c r="J33" s="6" t="s">
        <v>191</v>
      </c>
      <c r="K33" s="6" t="s">
        <v>192</v>
      </c>
      <c r="L33" s="6" t="s">
        <v>193</v>
      </c>
      <c r="M33" s="6" t="s">
        <v>194</v>
      </c>
      <c r="N33" s="6" t="s">
        <v>110</v>
      </c>
      <c r="O33" s="6" t="s">
        <v>35</v>
      </c>
      <c r="P33" s="7"/>
      <c r="Q33" s="7" t="s">
        <v>36</v>
      </c>
      <c r="R33" s="7"/>
      <c r="S33" s="7"/>
      <c r="T33" s="7"/>
      <c r="U33" s="7"/>
    </row>
    <row r="34" customFormat="false" ht="43.5" hidden="false" customHeight="true" outlineLevel="0" collapsed="false">
      <c r="A34" s="6" t="n">
        <v>30</v>
      </c>
      <c r="B34" s="6" t="s">
        <v>23</v>
      </c>
      <c r="C34" s="6" t="s">
        <v>195</v>
      </c>
      <c r="D34" s="6" t="s">
        <v>92</v>
      </c>
      <c r="E34" s="6" t="s">
        <v>196</v>
      </c>
      <c r="F34" s="6" t="s">
        <v>47</v>
      </c>
      <c r="G34" s="6" t="s">
        <v>28</v>
      </c>
      <c r="H34" s="6" t="s">
        <v>117</v>
      </c>
      <c r="I34" s="6" t="s">
        <v>197</v>
      </c>
      <c r="J34" s="6" t="s">
        <v>191</v>
      </c>
      <c r="K34" s="6" t="s">
        <v>198</v>
      </c>
      <c r="L34" s="6" t="s">
        <v>199</v>
      </c>
      <c r="M34" s="6" t="s">
        <v>200</v>
      </c>
      <c r="N34" s="6" t="s">
        <v>150</v>
      </c>
      <c r="O34" s="6" t="s">
        <v>35</v>
      </c>
      <c r="P34" s="7"/>
      <c r="Q34" s="7" t="s">
        <v>36</v>
      </c>
      <c r="R34" s="7"/>
      <c r="S34" s="7"/>
      <c r="T34" s="7"/>
      <c r="U34" s="7"/>
    </row>
    <row r="35" customFormat="false" ht="18" hidden="false" customHeight="true" outlineLevel="0" collapsed="false">
      <c r="A35" s="4"/>
      <c r="B35" s="4"/>
      <c r="C35" s="5" t="s">
        <v>201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customFormat="false" ht="97.5" hidden="false" customHeight="true" outlineLevel="0" collapsed="false">
      <c r="A36" s="6" t="n">
        <v>31</v>
      </c>
      <c r="B36" s="6" t="s">
        <v>23</v>
      </c>
      <c r="C36" s="6" t="s">
        <v>202</v>
      </c>
      <c r="D36" s="6" t="s">
        <v>203</v>
      </c>
      <c r="E36" s="6" t="s">
        <v>204</v>
      </c>
      <c r="F36" s="6" t="s">
        <v>27</v>
      </c>
      <c r="G36" s="6" t="s">
        <v>28</v>
      </c>
      <c r="H36" s="6" t="s">
        <v>205</v>
      </c>
      <c r="I36" s="6" t="s">
        <v>206</v>
      </c>
      <c r="J36" s="6" t="s">
        <v>69</v>
      </c>
      <c r="K36" s="6" t="s">
        <v>207</v>
      </c>
      <c r="L36" s="6" t="s">
        <v>208</v>
      </c>
      <c r="M36" s="6" t="s">
        <v>209</v>
      </c>
      <c r="N36" s="6" t="s">
        <v>210</v>
      </c>
      <c r="O36" s="6" t="s">
        <v>35</v>
      </c>
      <c r="P36" s="7"/>
      <c r="Q36" s="7" t="s">
        <v>36</v>
      </c>
      <c r="R36" s="7"/>
      <c r="S36" s="7"/>
      <c r="T36" s="7"/>
      <c r="U36" s="7"/>
    </row>
    <row r="37" customFormat="false" ht="57" hidden="false" customHeight="true" outlineLevel="0" collapsed="false">
      <c r="A37" s="6" t="n">
        <v>32</v>
      </c>
      <c r="B37" s="6" t="s">
        <v>23</v>
      </c>
      <c r="C37" s="6" t="s">
        <v>211</v>
      </c>
      <c r="D37" s="6" t="s">
        <v>203</v>
      </c>
      <c r="E37" s="6" t="s">
        <v>212</v>
      </c>
      <c r="F37" s="6" t="s">
        <v>27</v>
      </c>
      <c r="G37" s="6" t="s">
        <v>28</v>
      </c>
      <c r="H37" s="6" t="s">
        <v>213</v>
      </c>
      <c r="I37" s="6" t="s">
        <v>214</v>
      </c>
      <c r="J37" s="6" t="s">
        <v>215</v>
      </c>
      <c r="K37" s="6" t="s">
        <v>216</v>
      </c>
      <c r="L37" s="6" t="s">
        <v>71</v>
      </c>
      <c r="M37" s="6" t="s">
        <v>217</v>
      </c>
      <c r="N37" s="6" t="s">
        <v>218</v>
      </c>
      <c r="O37" s="6" t="s">
        <v>35</v>
      </c>
      <c r="P37" s="7"/>
      <c r="Q37" s="7" t="s">
        <v>36</v>
      </c>
      <c r="R37" s="7"/>
      <c r="S37" s="7"/>
      <c r="T37" s="7"/>
      <c r="U37" s="7"/>
    </row>
    <row r="38" customFormat="false" ht="70.5" hidden="false" customHeight="true" outlineLevel="0" collapsed="false">
      <c r="A38" s="6" t="n">
        <v>33</v>
      </c>
      <c r="B38" s="6" t="s">
        <v>23</v>
      </c>
      <c r="C38" s="6" t="s">
        <v>219</v>
      </c>
      <c r="D38" s="6" t="s">
        <v>203</v>
      </c>
      <c r="E38" s="6" t="s">
        <v>220</v>
      </c>
      <c r="F38" s="6" t="s">
        <v>47</v>
      </c>
      <c r="G38" s="6" t="s">
        <v>28</v>
      </c>
      <c r="H38" s="6" t="s">
        <v>213</v>
      </c>
      <c r="I38" s="6" t="s">
        <v>221</v>
      </c>
      <c r="J38" s="6" t="s">
        <v>222</v>
      </c>
      <c r="K38" s="6" t="s">
        <v>223</v>
      </c>
      <c r="L38" s="6" t="s">
        <v>71</v>
      </c>
      <c r="M38" s="6" t="s">
        <v>224</v>
      </c>
      <c r="N38" s="6" t="s">
        <v>225</v>
      </c>
      <c r="O38" s="6" t="s">
        <v>35</v>
      </c>
      <c r="P38" s="7"/>
      <c r="Q38" s="7" t="s">
        <v>36</v>
      </c>
      <c r="R38" s="7"/>
      <c r="S38" s="7"/>
      <c r="T38" s="7"/>
      <c r="U38" s="7"/>
    </row>
    <row r="39" customFormat="false" ht="70.5" hidden="false" customHeight="true" outlineLevel="0" collapsed="false">
      <c r="A39" s="6" t="n">
        <v>34</v>
      </c>
      <c r="B39" s="6" t="s">
        <v>23</v>
      </c>
      <c r="C39" s="6" t="s">
        <v>226</v>
      </c>
      <c r="D39" s="6" t="s">
        <v>203</v>
      </c>
      <c r="E39" s="6" t="s">
        <v>227</v>
      </c>
      <c r="F39" s="6" t="s">
        <v>47</v>
      </c>
      <c r="G39" s="6" t="s">
        <v>28</v>
      </c>
      <c r="H39" s="6" t="s">
        <v>213</v>
      </c>
      <c r="I39" s="6" t="s">
        <v>228</v>
      </c>
      <c r="J39" s="6" t="s">
        <v>229</v>
      </c>
      <c r="K39" s="6" t="s">
        <v>230</v>
      </c>
      <c r="L39" s="6" t="s">
        <v>71</v>
      </c>
      <c r="M39" s="6" t="s">
        <v>231</v>
      </c>
      <c r="N39" s="6" t="s">
        <v>225</v>
      </c>
      <c r="O39" s="6" t="s">
        <v>35</v>
      </c>
      <c r="P39" s="7"/>
      <c r="Q39" s="7" t="s">
        <v>36</v>
      </c>
      <c r="R39" s="7"/>
      <c r="S39" s="7"/>
      <c r="T39" s="7"/>
      <c r="U39" s="7"/>
    </row>
    <row r="40" customFormat="false" ht="57" hidden="false" customHeight="true" outlineLevel="0" collapsed="false">
      <c r="A40" s="6" t="n">
        <v>35</v>
      </c>
      <c r="B40" s="6" t="s">
        <v>23</v>
      </c>
      <c r="C40" s="6" t="s">
        <v>232</v>
      </c>
      <c r="D40" s="6" t="s">
        <v>203</v>
      </c>
      <c r="E40" s="6" t="s">
        <v>233</v>
      </c>
      <c r="F40" s="6" t="s">
        <v>27</v>
      </c>
      <c r="G40" s="6" t="s">
        <v>39</v>
      </c>
      <c r="H40" s="6" t="s">
        <v>213</v>
      </c>
      <c r="I40" s="6" t="s">
        <v>234</v>
      </c>
      <c r="J40" s="6" t="s">
        <v>235</v>
      </c>
      <c r="K40" s="6" t="s">
        <v>236</v>
      </c>
      <c r="L40" s="6" t="s">
        <v>71</v>
      </c>
      <c r="M40" s="6" t="s">
        <v>237</v>
      </c>
      <c r="N40" s="6" t="s">
        <v>238</v>
      </c>
      <c r="O40" s="6" t="s">
        <v>35</v>
      </c>
      <c r="P40" s="7"/>
      <c r="Q40" s="7" t="s">
        <v>36</v>
      </c>
      <c r="R40" s="7"/>
      <c r="S40" s="7"/>
      <c r="T40" s="7"/>
      <c r="U40" s="7"/>
    </row>
    <row r="41" customFormat="false" ht="70.5" hidden="false" customHeight="true" outlineLevel="0" collapsed="false">
      <c r="A41" s="6" t="n">
        <v>36</v>
      </c>
      <c r="B41" s="6" t="s">
        <v>23</v>
      </c>
      <c r="C41" s="6" t="s">
        <v>239</v>
      </c>
      <c r="D41" s="6" t="s">
        <v>203</v>
      </c>
      <c r="E41" s="6" t="s">
        <v>240</v>
      </c>
      <c r="F41" s="6" t="s">
        <v>47</v>
      </c>
      <c r="G41" s="6" t="s">
        <v>39</v>
      </c>
      <c r="H41" s="6" t="s">
        <v>213</v>
      </c>
      <c r="I41" s="6" t="s">
        <v>241</v>
      </c>
      <c r="J41" s="6" t="s">
        <v>242</v>
      </c>
      <c r="K41" s="6" t="s">
        <v>243</v>
      </c>
      <c r="L41" s="6" t="s">
        <v>71</v>
      </c>
      <c r="M41" s="6" t="s">
        <v>244</v>
      </c>
      <c r="N41" s="6" t="s">
        <v>245</v>
      </c>
      <c r="O41" s="6" t="s">
        <v>35</v>
      </c>
      <c r="P41" s="7"/>
      <c r="Q41" s="7" t="s">
        <v>36</v>
      </c>
      <c r="R41" s="7"/>
      <c r="S41" s="7"/>
      <c r="T41" s="7"/>
      <c r="U41" s="7"/>
    </row>
    <row r="42" customFormat="false" ht="57" hidden="false" customHeight="true" outlineLevel="0" collapsed="false">
      <c r="A42" s="6" t="n">
        <v>37</v>
      </c>
      <c r="B42" s="6" t="s">
        <v>23</v>
      </c>
      <c r="C42" s="6" t="s">
        <v>246</v>
      </c>
      <c r="D42" s="6" t="s">
        <v>203</v>
      </c>
      <c r="E42" s="6" t="s">
        <v>247</v>
      </c>
      <c r="F42" s="6" t="s">
        <v>248</v>
      </c>
      <c r="G42" s="6" t="s">
        <v>39</v>
      </c>
      <c r="H42" s="6" t="s">
        <v>205</v>
      </c>
      <c r="I42" s="6" t="s">
        <v>249</v>
      </c>
      <c r="J42" s="6" t="s">
        <v>250</v>
      </c>
      <c r="K42" s="6" t="s">
        <v>251</v>
      </c>
      <c r="L42" s="6" t="s">
        <v>71</v>
      </c>
      <c r="M42" s="6" t="s">
        <v>252</v>
      </c>
      <c r="N42" s="6" t="s">
        <v>253</v>
      </c>
      <c r="O42" s="6" t="s">
        <v>35</v>
      </c>
      <c r="P42" s="7"/>
      <c r="Q42" s="7" t="s">
        <v>36</v>
      </c>
      <c r="R42" s="7"/>
      <c r="S42" s="7"/>
      <c r="T42" s="7"/>
      <c r="U42" s="7"/>
    </row>
    <row r="43" customFormat="false" ht="84" hidden="false" customHeight="true" outlineLevel="0" collapsed="false">
      <c r="A43" s="6" t="n">
        <v>38</v>
      </c>
      <c r="B43" s="6" t="s">
        <v>23</v>
      </c>
      <c r="C43" s="6" t="s">
        <v>254</v>
      </c>
      <c r="D43" s="6" t="s">
        <v>203</v>
      </c>
      <c r="E43" s="6" t="s">
        <v>255</v>
      </c>
      <c r="F43" s="6" t="s">
        <v>248</v>
      </c>
      <c r="G43" s="6" t="s">
        <v>39</v>
      </c>
      <c r="H43" s="6" t="s">
        <v>205</v>
      </c>
      <c r="I43" s="6" t="s">
        <v>256</v>
      </c>
      <c r="J43" s="6" t="s">
        <v>69</v>
      </c>
      <c r="K43" s="6" t="s">
        <v>257</v>
      </c>
      <c r="L43" s="6" t="s">
        <v>258</v>
      </c>
      <c r="M43" s="6" t="s">
        <v>259</v>
      </c>
      <c r="N43" s="6" t="s">
        <v>253</v>
      </c>
      <c r="O43" s="6" t="s">
        <v>35</v>
      </c>
      <c r="P43" s="7"/>
      <c r="Q43" s="7" t="s">
        <v>36</v>
      </c>
      <c r="R43" s="7"/>
      <c r="S43" s="7"/>
      <c r="T43" s="7"/>
      <c r="U43" s="7"/>
    </row>
    <row r="44" customFormat="false" ht="57" hidden="false" customHeight="true" outlineLevel="0" collapsed="false">
      <c r="A44" s="6" t="n">
        <v>39</v>
      </c>
      <c r="B44" s="6" t="s">
        <v>23</v>
      </c>
      <c r="C44" s="6" t="s">
        <v>260</v>
      </c>
      <c r="D44" s="6" t="s">
        <v>203</v>
      </c>
      <c r="E44" s="6" t="s">
        <v>261</v>
      </c>
      <c r="F44" s="6" t="s">
        <v>47</v>
      </c>
      <c r="G44" s="6" t="s">
        <v>28</v>
      </c>
      <c r="H44" s="6" t="s">
        <v>55</v>
      </c>
      <c r="I44" s="6" t="s">
        <v>62</v>
      </c>
      <c r="J44" s="6" t="s">
        <v>262</v>
      </c>
      <c r="K44" s="6" t="s">
        <v>263</v>
      </c>
      <c r="L44" s="6" t="s">
        <v>264</v>
      </c>
      <c r="M44" s="6" t="s">
        <v>265</v>
      </c>
      <c r="N44" s="6" t="s">
        <v>225</v>
      </c>
      <c r="O44" s="6" t="s">
        <v>35</v>
      </c>
      <c r="P44" s="7"/>
      <c r="Q44" s="7" t="s">
        <v>36</v>
      </c>
      <c r="R44" s="7"/>
      <c r="S44" s="7"/>
      <c r="T44" s="7"/>
      <c r="U44" s="7"/>
    </row>
    <row r="45" customFormat="false" ht="57" hidden="false" customHeight="true" outlineLevel="0" collapsed="false">
      <c r="A45" s="6" t="n">
        <v>40</v>
      </c>
      <c r="B45" s="6" t="s">
        <v>23</v>
      </c>
      <c r="C45" s="6" t="s">
        <v>266</v>
      </c>
      <c r="D45" s="6" t="s">
        <v>203</v>
      </c>
      <c r="E45" s="6" t="s">
        <v>267</v>
      </c>
      <c r="F45" s="6" t="s">
        <v>47</v>
      </c>
      <c r="G45" s="6" t="s">
        <v>28</v>
      </c>
      <c r="H45" s="6" t="s">
        <v>55</v>
      </c>
      <c r="I45" s="6" t="s">
        <v>268</v>
      </c>
      <c r="J45" s="6" t="s">
        <v>269</v>
      </c>
      <c r="K45" s="6" t="s">
        <v>270</v>
      </c>
      <c r="L45" s="6" t="s">
        <v>271</v>
      </c>
      <c r="M45" s="6" t="s">
        <v>265</v>
      </c>
      <c r="N45" s="6" t="s">
        <v>225</v>
      </c>
      <c r="O45" s="6" t="s">
        <v>35</v>
      </c>
      <c r="P45" s="7"/>
      <c r="Q45" s="7" t="s">
        <v>36</v>
      </c>
      <c r="R45" s="7"/>
      <c r="S45" s="7"/>
      <c r="T45" s="7"/>
      <c r="U45" s="7"/>
    </row>
    <row r="46" customFormat="false" ht="57" hidden="false" customHeight="true" outlineLevel="0" collapsed="false">
      <c r="A46" s="6" t="n">
        <v>41</v>
      </c>
      <c r="B46" s="6" t="s">
        <v>23</v>
      </c>
      <c r="C46" s="6" t="s">
        <v>272</v>
      </c>
      <c r="D46" s="6" t="s">
        <v>203</v>
      </c>
      <c r="E46" s="6" t="s">
        <v>273</v>
      </c>
      <c r="F46" s="6" t="s">
        <v>27</v>
      </c>
      <c r="G46" s="6" t="s">
        <v>39</v>
      </c>
      <c r="H46" s="6" t="s">
        <v>205</v>
      </c>
      <c r="I46" s="6" t="s">
        <v>274</v>
      </c>
      <c r="J46" s="6" t="s">
        <v>275</v>
      </c>
      <c r="K46" s="6" t="s">
        <v>276</v>
      </c>
      <c r="L46" s="6" t="s">
        <v>277</v>
      </c>
      <c r="M46" s="6" t="s">
        <v>278</v>
      </c>
      <c r="N46" s="6" t="s">
        <v>238</v>
      </c>
      <c r="O46" s="6" t="s">
        <v>35</v>
      </c>
      <c r="P46" s="7"/>
      <c r="Q46" s="7" t="s">
        <v>36</v>
      </c>
      <c r="R46" s="7"/>
      <c r="S46" s="7"/>
      <c r="T46" s="7"/>
      <c r="U46" s="7"/>
    </row>
    <row r="47" customFormat="false" ht="57" hidden="false" customHeight="true" outlineLevel="0" collapsed="false">
      <c r="A47" s="6" t="n">
        <v>42</v>
      </c>
      <c r="B47" s="6" t="s">
        <v>23</v>
      </c>
      <c r="C47" s="6" t="s">
        <v>279</v>
      </c>
      <c r="D47" s="6" t="s">
        <v>203</v>
      </c>
      <c r="E47" s="6" t="s">
        <v>280</v>
      </c>
      <c r="F47" s="6" t="s">
        <v>27</v>
      </c>
      <c r="G47" s="6" t="s">
        <v>39</v>
      </c>
      <c r="H47" s="6" t="s">
        <v>205</v>
      </c>
      <c r="I47" s="6" t="s">
        <v>281</v>
      </c>
      <c r="J47" s="6" t="s">
        <v>69</v>
      </c>
      <c r="K47" s="6" t="s">
        <v>282</v>
      </c>
      <c r="L47" s="6" t="s">
        <v>283</v>
      </c>
      <c r="M47" s="6" t="s">
        <v>284</v>
      </c>
      <c r="N47" s="6" t="s">
        <v>238</v>
      </c>
      <c r="O47" s="6" t="s">
        <v>35</v>
      </c>
      <c r="P47" s="7"/>
      <c r="Q47" s="7" t="s">
        <v>36</v>
      </c>
      <c r="R47" s="7"/>
      <c r="S47" s="7"/>
      <c r="T47" s="7"/>
      <c r="U47" s="7"/>
    </row>
    <row r="48" customFormat="false" ht="43.5" hidden="false" customHeight="true" outlineLevel="0" collapsed="false">
      <c r="A48" s="6" t="n">
        <v>43</v>
      </c>
      <c r="B48" s="6" t="s">
        <v>23</v>
      </c>
      <c r="C48" s="6" t="s">
        <v>285</v>
      </c>
      <c r="D48" s="6" t="s">
        <v>203</v>
      </c>
      <c r="E48" s="6" t="s">
        <v>286</v>
      </c>
      <c r="F48" s="6" t="s">
        <v>248</v>
      </c>
      <c r="G48" s="6" t="s">
        <v>28</v>
      </c>
      <c r="H48" s="6" t="s">
        <v>287</v>
      </c>
      <c r="I48" s="6" t="s">
        <v>288</v>
      </c>
      <c r="J48" s="6" t="s">
        <v>69</v>
      </c>
      <c r="K48" s="6" t="s">
        <v>289</v>
      </c>
      <c r="L48" s="6" t="s">
        <v>290</v>
      </c>
      <c r="M48" s="6" t="s">
        <v>291</v>
      </c>
      <c r="N48" s="6" t="s">
        <v>292</v>
      </c>
      <c r="O48" s="6" t="s">
        <v>35</v>
      </c>
      <c r="P48" s="7"/>
      <c r="Q48" s="7" t="s">
        <v>36</v>
      </c>
      <c r="R48" s="7"/>
      <c r="S48" s="7"/>
      <c r="T48" s="7"/>
      <c r="U48" s="7"/>
    </row>
    <row r="49" customFormat="false" ht="57" hidden="false" customHeight="true" outlineLevel="0" collapsed="false">
      <c r="A49" s="6" t="n">
        <v>44</v>
      </c>
      <c r="B49" s="6" t="s">
        <v>23</v>
      </c>
      <c r="C49" s="6" t="s">
        <v>293</v>
      </c>
      <c r="D49" s="6" t="s">
        <v>203</v>
      </c>
      <c r="E49" s="6" t="s">
        <v>294</v>
      </c>
      <c r="F49" s="6" t="s">
        <v>248</v>
      </c>
      <c r="G49" s="6" t="s">
        <v>39</v>
      </c>
      <c r="H49" s="6" t="s">
        <v>287</v>
      </c>
      <c r="I49" s="6" t="s">
        <v>295</v>
      </c>
      <c r="J49" s="6" t="s">
        <v>69</v>
      </c>
      <c r="K49" s="6" t="s">
        <v>296</v>
      </c>
      <c r="L49" s="6" t="s">
        <v>297</v>
      </c>
      <c r="M49" s="6" t="s">
        <v>298</v>
      </c>
      <c r="N49" s="6" t="s">
        <v>253</v>
      </c>
      <c r="O49" s="6" t="s">
        <v>35</v>
      </c>
      <c r="P49" s="7"/>
      <c r="Q49" s="7" t="s">
        <v>36</v>
      </c>
      <c r="R49" s="7"/>
      <c r="S49" s="7"/>
      <c r="T49" s="7"/>
      <c r="U49" s="7"/>
    </row>
    <row r="50" customFormat="false" ht="70.5" hidden="false" customHeight="true" outlineLevel="0" collapsed="false">
      <c r="A50" s="6" t="n">
        <v>45</v>
      </c>
      <c r="B50" s="6" t="s">
        <v>23</v>
      </c>
      <c r="C50" s="6" t="s">
        <v>299</v>
      </c>
      <c r="D50" s="6" t="s">
        <v>203</v>
      </c>
      <c r="E50" s="6" t="s">
        <v>300</v>
      </c>
      <c r="F50" s="6" t="s">
        <v>248</v>
      </c>
      <c r="G50" s="6" t="s">
        <v>39</v>
      </c>
      <c r="H50" s="6" t="s">
        <v>287</v>
      </c>
      <c r="I50" s="6" t="s">
        <v>301</v>
      </c>
      <c r="J50" s="6" t="s">
        <v>302</v>
      </c>
      <c r="K50" s="6" t="s">
        <v>303</v>
      </c>
      <c r="L50" s="6" t="s">
        <v>304</v>
      </c>
      <c r="M50" s="6" t="s">
        <v>305</v>
      </c>
      <c r="N50" s="6" t="s">
        <v>253</v>
      </c>
      <c r="O50" s="6" t="s">
        <v>306</v>
      </c>
      <c r="P50" s="7"/>
      <c r="Q50" s="7" t="s">
        <v>36</v>
      </c>
      <c r="R50" s="7"/>
      <c r="S50" s="7"/>
      <c r="T50" s="7"/>
      <c r="U50" s="7"/>
    </row>
    <row r="51" customFormat="false" ht="70.5" hidden="false" customHeight="true" outlineLevel="0" collapsed="false">
      <c r="A51" s="6" t="n">
        <v>46</v>
      </c>
      <c r="B51" s="6" t="s">
        <v>23</v>
      </c>
      <c r="C51" s="6" t="s">
        <v>307</v>
      </c>
      <c r="D51" s="6" t="s">
        <v>203</v>
      </c>
      <c r="E51" s="6" t="s">
        <v>308</v>
      </c>
      <c r="F51" s="6" t="s">
        <v>248</v>
      </c>
      <c r="G51" s="6" t="s">
        <v>82</v>
      </c>
      <c r="H51" s="6" t="s">
        <v>287</v>
      </c>
      <c r="I51" s="6" t="s">
        <v>309</v>
      </c>
      <c r="J51" s="6" t="s">
        <v>69</v>
      </c>
      <c r="K51" s="6" t="s">
        <v>310</v>
      </c>
      <c r="L51" s="6" t="s">
        <v>311</v>
      </c>
      <c r="M51" s="6" t="s">
        <v>312</v>
      </c>
      <c r="N51" s="6" t="s">
        <v>313</v>
      </c>
      <c r="O51" s="6" t="s">
        <v>314</v>
      </c>
      <c r="P51" s="7"/>
      <c r="Q51" s="7" t="s">
        <v>36</v>
      </c>
      <c r="R51" s="7"/>
      <c r="S51" s="7"/>
      <c r="T51" s="7"/>
      <c r="U51" s="7"/>
    </row>
  </sheetData>
  <autoFilter ref="A1:U51"/>
  <dataValidations count="1">
    <dataValidation allowBlank="true" error="Chọn một giá trị: Pass, Fail, Blocked, Not Run, N/A" errorStyle="stop" errorTitle="Trạng thái không hợp lệ" operator="between" showDropDown="false" showErrorMessage="false" showInputMessage="false" sqref="Q2:Q51" type="list">
      <formula1>"Pass,Fail,Blocked,Not Run,N/A"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3" min="2" style="0" width="14"/>
  </cols>
  <sheetData>
    <row r="1" customFormat="false" ht="15" hidden="false" customHeight="false" outlineLevel="0" collapsed="false">
      <c r="A1" s="8" t="s">
        <v>315</v>
      </c>
    </row>
    <row r="2" customFormat="false" ht="15" hidden="false" customHeight="false" outlineLevel="0" collapsed="false">
      <c r="A2" s="9" t="s">
        <v>316</v>
      </c>
    </row>
    <row r="4" customFormat="false" ht="15" hidden="false" customHeight="false" outlineLevel="0" collapsed="false">
      <c r="A4" s="1" t="s">
        <v>1</v>
      </c>
      <c r="B4" s="1" t="s">
        <v>317</v>
      </c>
      <c r="C4" s="1" t="s">
        <v>25</v>
      </c>
      <c r="D4" s="1" t="s">
        <v>92</v>
      </c>
      <c r="E4" s="1" t="s">
        <v>203</v>
      </c>
      <c r="F4" s="1" t="s">
        <v>28</v>
      </c>
      <c r="G4" s="1" t="s">
        <v>318</v>
      </c>
      <c r="H4" s="1" t="s">
        <v>319</v>
      </c>
      <c r="I4" s="1" t="s">
        <v>320</v>
      </c>
      <c r="J4" s="1" t="s">
        <v>36</v>
      </c>
      <c r="K4" s="1" t="s">
        <v>321</v>
      </c>
      <c r="L4" s="1" t="s">
        <v>322</v>
      </c>
      <c r="M4" s="1" t="s">
        <v>323</v>
      </c>
    </row>
    <row r="5" customFormat="false" ht="15" hidden="false" customHeight="false" outlineLevel="0" collapsed="false">
      <c r="A5" s="10" t="s">
        <v>23</v>
      </c>
      <c r="B5" s="10" t="n">
        <f aca="false">COUNTIFS('Test cases'!$B$2:$B$51,$A5)</f>
        <v>46</v>
      </c>
      <c r="C5" s="10" t="n">
        <f aca="false">COUNTIFS('Test cases'!$B$2:$B$51,$A5,'Test cases'!$D$2:$D$51,"Redirect")</f>
        <v>9</v>
      </c>
      <c r="D5" s="10" t="n">
        <f aca="false">COUNTIFS('Test cases'!$B$2:$B$51,$A5,'Test cases'!$D$2:$D$51,"Validation")</f>
        <v>21</v>
      </c>
      <c r="E5" s="10" t="n">
        <f aca="false">COUNTIFS('Test cases'!$B$2:$B$51,$A5,'Test cases'!$D$2:$D$51,"Function")</f>
        <v>16</v>
      </c>
      <c r="F5" s="10" t="n">
        <f aca="false">COUNTIFS('Test cases'!$B$2:$B$51,$A5,'Test cases'!$G$2:$G$51,"P1")</f>
        <v>14</v>
      </c>
      <c r="G5" s="10" t="n">
        <f aca="false">COUNTIFS('Test cases'!$B$2:$B$51,$A5,'Test cases'!$Q$2:$Q$51,"Pass")</f>
        <v>0</v>
      </c>
      <c r="H5" s="10" t="n">
        <f aca="false">COUNTIFS('Test cases'!$B$2:$B$51,$A5,'Test cases'!$Q$2:$Q$51,"Fail")</f>
        <v>0</v>
      </c>
      <c r="I5" s="10" t="n">
        <f aca="false">COUNTIFS('Test cases'!$B$2:$B$51,$A5,'Test cases'!$Q$2:$Q$51,"Blocked")</f>
        <v>0</v>
      </c>
      <c r="J5" s="10" t="n">
        <f aca="false">COUNTIFS('Test cases'!$B$2:$B$51,$A5,'Test cases'!$Q$2:$Q$51,"Not Run")</f>
        <v>46</v>
      </c>
      <c r="K5" s="10" t="n">
        <f aca="false">COUNTIFS('Test cases'!$B$2:$B$51,$A5,'Test cases'!$Q$2:$Q$51,"N/A")</f>
        <v>0</v>
      </c>
      <c r="L5" s="11" t="n">
        <f aca="false">IFERROR((G5+H5)/(B5-K5),0)</f>
        <v>0</v>
      </c>
      <c r="M5" s="11" t="n">
        <f aca="false">IFERROR(G5/(G5+H5),0)</f>
        <v>0</v>
      </c>
    </row>
    <row r="6" customFormat="false" ht="15" hidden="false" customHeight="false" outlineLevel="0" collapsed="false">
      <c r="A6" s="12" t="s">
        <v>324</v>
      </c>
      <c r="B6" s="12" t="n">
        <f aca="false">SUM(B5:B5)</f>
        <v>46</v>
      </c>
      <c r="C6" s="12" t="n">
        <f aca="false">SUM(C5:C5)</f>
        <v>9</v>
      </c>
      <c r="D6" s="12" t="n">
        <f aca="false">SUM(D5:D5)</f>
        <v>21</v>
      </c>
      <c r="E6" s="12" t="n">
        <f aca="false">SUM(E5:E5)</f>
        <v>16</v>
      </c>
      <c r="F6" s="12" t="n">
        <f aca="false">SUM(F5:F5)</f>
        <v>14</v>
      </c>
      <c r="G6" s="12" t="n">
        <f aca="false">SUM(G5:G5)</f>
        <v>0</v>
      </c>
      <c r="H6" s="12" t="n">
        <f aca="false">SUM(H5:H5)</f>
        <v>0</v>
      </c>
      <c r="I6" s="12" t="n">
        <f aca="false">SUM(I5:I5)</f>
        <v>0</v>
      </c>
      <c r="J6" s="12" t="n">
        <f aca="false">SUM(J5:J5)</f>
        <v>46</v>
      </c>
      <c r="K6" s="12" t="n">
        <f aca="false">SUM(K5:K5)</f>
        <v>0</v>
      </c>
      <c r="L6" s="13" t="n">
        <f aca="false">IFERROR((G6+H6)/(B6-K6),0)</f>
        <v>0</v>
      </c>
      <c r="M6" s="13" t="n">
        <f aca="false">IFERROR(G6/(G6+H6),0)</f>
        <v>0</v>
      </c>
    </row>
    <row r="8" customFormat="false" ht="15" hidden="false" customHeight="false" outlineLevel="0" collapsed="false">
      <c r="A8" s="9" t="s">
        <v>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4" t="s">
        <v>326</v>
      </c>
    </row>
    <row r="2" customFormat="false" ht="30" hidden="false" customHeight="true" outlineLevel="0" collapsed="false">
      <c r="A2" s="15" t="s">
        <v>8</v>
      </c>
      <c r="B2" s="16" t="s">
        <v>327</v>
      </c>
    </row>
    <row r="3" customFormat="false" ht="30" hidden="false" customHeight="true" outlineLevel="0" collapsed="false">
      <c r="A3" s="15" t="s">
        <v>328</v>
      </c>
      <c r="B3" s="16" t="s">
        <v>329</v>
      </c>
    </row>
    <row r="4" customFormat="false" ht="30" hidden="false" customHeight="true" outlineLevel="0" collapsed="false">
      <c r="A4" s="15" t="s">
        <v>16</v>
      </c>
      <c r="B4" s="16" t="s">
        <v>330</v>
      </c>
    </row>
    <row r="5" customFormat="false" ht="30" hidden="false" customHeight="true" outlineLevel="0" collapsed="false">
      <c r="A5" s="15" t="s">
        <v>5</v>
      </c>
      <c r="B5" s="16" t="s">
        <v>331</v>
      </c>
    </row>
    <row r="6" customFormat="false" ht="30" hidden="false" customHeight="true" outlineLevel="0" collapsed="false">
      <c r="A6" s="15" t="s">
        <v>6</v>
      </c>
      <c r="B6" s="16" t="s">
        <v>332</v>
      </c>
    </row>
    <row r="7" customFormat="false" ht="30" hidden="false" customHeight="true" outlineLevel="0" collapsed="false">
      <c r="A7" s="15" t="s">
        <v>333</v>
      </c>
      <c r="B7" s="16" t="s">
        <v>334</v>
      </c>
    </row>
    <row r="8" customFormat="false" ht="30" hidden="false" customHeight="true" outlineLevel="0" collapsed="false">
      <c r="A8" s="15" t="s">
        <v>335</v>
      </c>
      <c r="B8" s="16" t="s">
        <v>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2026-09-28T07:55:04Z</dcterms:created>
  <dc:creator>openpyxl</dc:creator>
  <dc:description/>
  <dc:language>en-US</dc:language>
  <cp:lastModifiedBy/>
  <dcterms:modified xsi:type="dcterms:W3CDTF">2026-09-28T07:55:04Z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