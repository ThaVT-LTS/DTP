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 showHorizontalScroll="1" showVerticalScroll="1"/>
  </bookViews>
  <sheets>
    <sheet name="Cover" sheetId="1" state="visible" r:id="rId1"/>
    <sheet name="Test_Report" sheetId="2" state="visible" r:id="rId2"/>
    <sheet name="Document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<sst xmlns="http://schemas.openxmlformats.org/spreadsheetml/2006/main" count="692" uniqueCount="692">
  <si>
    <t xml:space="preserve">TEST CASE</t>
  </si>
  <si>
    <t xml:space="preserve">Project Name</t>
  </si>
  <si>
    <t>DTP</t>
  </si>
  <si>
    <t>Creator</t>
  </si>
  <si>
    <t xml:space="preserve">Project Code</t>
  </si>
  <si>
    <t>Reviewer/Approver</t>
  </si>
  <si>
    <t xml:space="preserve">Document Code</t>
  </si>
  <si>
    <t xml:space="preserve">Issue Date</t>
  </si>
  <si>
    <t>Version</t>
  </si>
  <si>
    <t xml:space="preserve">Version 1.0</t>
  </si>
  <si>
    <t xml:space="preserve">Purpose of document</t>
  </si>
  <si>
    <t xml:space="preserve">Test environment</t>
  </si>
  <si>
    <t xml:space="preserve">Record of change</t>
  </si>
  <si>
    <t xml:space="preserve">Effective Date</t>
  </si>
  <si>
    <t xml:space="preserve">Change Item</t>
  </si>
  <si>
    <t>*A,D,M</t>
  </si>
  <si>
    <t xml:space="preserve">Change description</t>
  </si>
  <si>
    <t>Reference</t>
  </si>
  <si>
    <t>Annotation:</t>
  </si>
  <si>
    <t xml:space="preserve">A: Add</t>
  </si>
  <si>
    <t xml:space="preserve">D: Delete</t>
  </si>
  <si>
    <t xml:space="preserve">M: Modify</t>
  </si>
  <si>
    <t xml:space="preserve">Test Round 1</t>
  </si>
  <si>
    <t xml:space="preserve">Test Round 2 (After fixed bug)</t>
  </si>
  <si>
    <t xml:space="preserve">Sheet name</t>
  </si>
  <si>
    <t xml:space="preserve">Classification I</t>
  </si>
  <si>
    <t xml:space="preserve">Classification II</t>
  </si>
  <si>
    <t xml:space="preserve">Executed rate</t>
  </si>
  <si>
    <t>Executed</t>
  </si>
  <si>
    <t>Total</t>
  </si>
  <si>
    <t>Passed</t>
  </si>
  <si>
    <t>Failed</t>
  </si>
  <si>
    <t>Pending</t>
  </si>
  <si>
    <t>Blocked</t>
  </si>
  <si>
    <t>NA</t>
  </si>
  <si>
    <t xml:space="preserve">Not execute</t>
  </si>
  <si>
    <t xml:space="preserve">Executed 
rate</t>
  </si>
  <si>
    <t>Home</t>
  </si>
  <si>
    <t xml:space="preserve">リダイレクト - Redirect</t>
  </si>
  <si>
    <t xml:space="preserve">タイトル - Title</t>
  </si>
  <si>
    <t xml:space="preserve">案件一覧 - Project list</t>
  </si>
  <si>
    <t xml:space="preserve">ヘッダー - Header</t>
  </si>
  <si>
    <t xml:space="preserve">ダッシュボード - Dashboard</t>
  </si>
  <si>
    <t xml:space="preserve">あいまい検索 - Fuzzy search</t>
  </si>
  <si>
    <t xml:space="preserve">検索 - Search</t>
  </si>
  <si>
    <t xml:space="preserve">ページング - Paging</t>
  </si>
  <si>
    <t xml:space="preserve">列表示 - Column display</t>
  </si>
  <si>
    <t xml:space="preserve">テーブル - Table</t>
  </si>
  <si>
    <t xml:space="preserve">案件分析 - Project analysis</t>
  </si>
  <si>
    <t xml:space="preserve">ダウンロード = Download</t>
  </si>
  <si>
    <t xml:space="preserve">詳細検索 - Advanced Search</t>
  </si>
  <si>
    <t>工事番号</t>
  </si>
  <si>
    <t>工事名称</t>
  </si>
  <si>
    <t>工番分類</t>
  </si>
  <si>
    <t>JKランク</t>
  </si>
  <si>
    <t>JKステップ</t>
  </si>
  <si>
    <t>受注金額[営業](千円)</t>
  </si>
  <si>
    <t>受注金額[技術](千円)</t>
  </si>
  <si>
    <t>契約工期</t>
  </si>
  <si>
    <t xml:space="preserve">完工日 (未完成工事を含む)</t>
  </si>
  <si>
    <t>部門</t>
  </si>
  <si>
    <t>担当</t>
  </si>
  <si>
    <t xml:space="preserve">アイコン [ x ] - Icon [ x ]</t>
  </si>
  <si>
    <t>リセット</t>
  </si>
  <si>
    <t>検索</t>
  </si>
  <si>
    <t>Scopes</t>
  </si>
  <si>
    <t xml:space="preserve">案件詳細 - Project detail</t>
  </si>
  <si>
    <t xml:space="preserve">タブをクリック（Click Tab, Shift+Tab）</t>
  </si>
  <si>
    <t xml:space="preserve">ズームイン、ズームアウト（zoom-in, zoom-out screen）</t>
  </si>
  <si>
    <t>工事情報</t>
  </si>
  <si>
    <t>DM-L0001</t>
  </si>
  <si>
    <t xml:space="preserve">図書管理 - Library Management</t>
  </si>
  <si>
    <t>JKステップで絞り込む</t>
  </si>
  <si>
    <t>工程で絞り込む</t>
  </si>
  <si>
    <t>新規</t>
  </si>
  <si>
    <t xml:space="preserve">ファイル機能 - File function </t>
  </si>
  <si>
    <t xml:space="preserve">Function Name</t>
  </si>
  <si>
    <t>DM-L0001_図書管理</t>
  </si>
  <si>
    <t xml:space="preserve">Round </t>
  </si>
  <si>
    <t xml:space="preserve">Screen Name</t>
  </si>
  <si>
    <t xml:space="preserve">Quản lý thư viện</t>
  </si>
  <si>
    <t xml:space="preserve">Round 1</t>
  </si>
  <si>
    <t>ThaVT</t>
  </si>
  <si>
    <t xml:space="preserve">Created date</t>
  </si>
  <si>
    <t xml:space="preserve">Round 2</t>
  </si>
  <si>
    <t>Classification</t>
  </si>
  <si>
    <t>Priority</t>
  </si>
  <si>
    <t>TVP_ID</t>
  </si>
  <si>
    <t xml:space="preserve">Test case name/ Test view point</t>
  </si>
  <si>
    <t>Pre-condition</t>
  </si>
  <si>
    <t>Step</t>
  </si>
  <si>
    <t xml:space="preserve">Expected result</t>
  </si>
  <si>
    <t xml:space="preserve">Dev test</t>
  </si>
  <si>
    <t>Result</t>
  </si>
  <si>
    <t xml:space="preserve">Test person</t>
  </si>
  <si>
    <t xml:space="preserve">Test date</t>
  </si>
  <si>
    <t>Bug_ID</t>
  </si>
  <si>
    <t>Remark</t>
  </si>
  <si>
    <t xml:space="preserve">Open question</t>
  </si>
  <si>
    <t>UC</t>
  </si>
  <si>
    <t>No.</t>
  </si>
  <si>
    <t>I</t>
  </si>
  <si>
    <t>II</t>
  </si>
  <si>
    <t>III</t>
  </si>
  <si>
    <t>IV</t>
  </si>
  <si>
    <t xml:space="preserve">Điều hướng - Redirect</t>
  </si>
  <si>
    <t>High</t>
  </si>
  <si>
    <t>TC_001</t>
  </si>
  <si>
    <t xml:space="preserve">Kiểm tra đường dẫn vào màn hình từ chi tiết dự án</t>
  </si>
  <si>
    <t xml:space="preserve">1. Click vào tab [Quản lý tài liệu]
2. Kiểm tra màn hình</t>
  </si>
  <si>
    <t xml:space="preserve">- Hiển thị màn hình: DM-L0001_Quản lý tài liệu</t>
  </si>
  <si>
    <t>20/05/2026</t>
  </si>
  <si>
    <t>22/05/2026</t>
  </si>
  <si>
    <t xml:space="preserve">Quản lý tài liệu - Library Management</t>
  </si>
  <si>
    <t xml:space="preserve">Bấm Tab, Shift+Tab</t>
  </si>
  <si>
    <t>Low</t>
  </si>
  <si>
    <t>TC_002</t>
  </si>
  <si>
    <t xml:space="preserve">Check when click Tab, Shift+Tab</t>
  </si>
  <si>
    <t xml:space="preserve">1. Click Tab
2. Shift + Tab</t>
  </si>
  <si>
    <t xml:space="preserve">- Con trỏ chuột di chuyển từ trái qua phải từ trên xuống dưới
- Con trỏ chuột di chuyển từ phải sang trái từ dưới lên trên</t>
  </si>
  <si>
    <t xml:space="preserve">Phóng to, thu nhỏ màn hình</t>
  </si>
  <si>
    <t>TC_003</t>
  </si>
  <si>
    <t xml:space="preserve">Check function when zoom-in,zoom-out screen</t>
  </si>
  <si>
    <t xml:space="preserve">1. Ctrl + 
2. Ctrl -</t>
  </si>
  <si>
    <t xml:space="preserve">- Màn hình phóng to tương ứng, các phần tử không bị dịch chuyển.
- Màn hình thu nhỏ tương ứng, các phần tử không bị dịch chuyển.</t>
  </si>
  <si>
    <t xml:space="preserve">Header - Header</t>
  </si>
  <si>
    <t>Medium</t>
  </si>
  <si>
    <t>TC_004</t>
  </si>
  <si>
    <t xml:space="preserve">Kiểm tra điều hướng phân cấp của màn hình</t>
  </si>
  <si>
    <t xml:space="preserve">1. Kiểm tra hiển thị điều hướng phân cấp</t>
  </si>
  <si>
    <t xml:space="preserve">- Hiển thị đúng theo format dưới đây:
Quản lý dự án &gt; [Số hiệu công trình] &gt; Quản lý tài liệu</t>
  </si>
  <si>
    <t>TC_005</t>
  </si>
  <si>
    <t xml:space="preserve">Kiểm tra điều hướng phân cấp khi chọn vào thư mục </t>
  </si>
  <si>
    <t xml:space="preserve">1. Click vào folder trong bảng dữ liệu
2. Kiểm tra hiển thị</t>
  </si>
  <si>
    <t xml:space="preserve">Hiển thị chi tiết title:
- Số hiệu công trình &gt; Tên folder</t>
  </si>
  <si>
    <t>TC_006</t>
  </si>
  <si>
    <t xml:space="preserve">Kiểm tra tiêu đề của màn hình</t>
  </si>
  <si>
    <t xml:space="preserve">1. Kiểm tra hiển thị tiêu đề của màn hình</t>
  </si>
  <si>
    <t xml:space="preserve">- Hiển thị đúng theo format: [Số hiệu công trình]</t>
  </si>
  <si>
    <t xml:space="preserve">Tìm theo tên tệp… - Fuzzy search</t>
  </si>
  <si>
    <t>TC_007</t>
  </si>
  <si>
    <t xml:space="preserve">Kiểm tra hiển thị mặc định của textbox</t>
  </si>
  <si>
    <t xml:space="preserve">1. Kiểm tra hiển thị mặc định của textbox</t>
  </si>
  <si>
    <t xml:space="preserve">- Hiển thị icon tìm kiếm
- Hiển thị placeholder: Tìm kiếm…</t>
  </si>
  <si>
    <t>TC_008</t>
  </si>
  <si>
    <t xml:space="preserve">Kiểm tra hiển thị khi click vào textbox </t>
  </si>
  <si>
    <t xml:space="preserve">1. Kiểm tra hiển thị khi click vào textbox </t>
  </si>
  <si>
    <t xml:space="preserve">- Hiển thị focus vào textbox
- Cho phép nhập text</t>
  </si>
  <si>
    <t>TC_009</t>
  </si>
  <si>
    <t xml:space="preserve">Kiểm tra nhập liệu ký tự đặc biệt/ câu lệnh SQL</t>
  </si>
  <si>
    <t xml:space="preserve">1. Kiểm tra nhập liệu ký tự đặc biệt/ câu lệnh SQL</t>
  </si>
  <si>
    <t xml:space="preserve">- Hệ thống không mất dữ liệu, không bị ảnh hưởng bởi data nhập vào</t>
  </si>
  <si>
    <t>TC_010</t>
  </si>
  <si>
    <t xml:space="preserve">Kiểm tra nhập text vào textbox quá giới hạn </t>
  </si>
  <si>
    <t xml:space="preserve">1. Kiểm tra nhập text vào textbox quá giới hạn </t>
  </si>
  <si>
    <t xml:space="preserve">- Chỉ hiển thị đúng số lượng text trong giới hạn, những text quá giới hạn sẽ bị cắt bỏ</t>
  </si>
  <si>
    <t>TC_011</t>
  </si>
  <si>
    <t xml:space="preserve">Kiểm tra tìm kiếm theo tên file/folder</t>
  </si>
  <si>
    <t xml:space="preserve">1. Nhập tên theo tên file
2. Kiểm tra hiển thị </t>
  </si>
  <si>
    <t xml:space="preserve">- Hiển thị theo đúng master data và điều kiện lọc</t>
  </si>
  <si>
    <t>TC_012</t>
  </si>
  <si>
    <t xml:space="preserve">Kiểm tra tìm kiếm không đúng theo tên file</t>
  </si>
  <si>
    <t xml:space="preserve">1. Kiểm tra nhập text vào textbox không đúng tên file</t>
  </si>
  <si>
    <t xml:space="preserve">- Không hiển thị data</t>
  </si>
  <si>
    <t xml:space="preserve">Tìm kiếm - Search</t>
  </si>
  <si>
    <t>Button</t>
  </si>
  <si>
    <t>TC_013</t>
  </si>
  <si>
    <t xml:space="preserve">Kiểm tra hiển thị tìm kiếm có ký tự Full-Width</t>
  </si>
  <si>
    <t xml:space="preserve">1. Tạo folder có ký tự: ＮＲＴ０７８
2. Trên textbox tìm kiếm &gt; Nhập text
- ＮＲＴ０７８
3. Click vào button [Tìm kiếm] &gt; Kiểm tra hiển thị</t>
  </si>
  <si>
    <t xml:space="preserve">- Hiển thị data tương ứng với master data</t>
  </si>
  <si>
    <t>TC_014</t>
  </si>
  <si>
    <t xml:space="preserve">Kiểm tra hiển thị khi click vào button [Tìm kiếm]</t>
  </si>
  <si>
    <t xml:space="preserve">1. Click vào button [Tìm kiếm]
2. Kiểm tra hiển thị</t>
  </si>
  <si>
    <t xml:space="preserve">Lọc theo bước JK</t>
  </si>
  <si>
    <t xml:space="preserve">Dropdown list</t>
  </si>
  <si>
    <t>TC_015</t>
  </si>
  <si>
    <t xml:space="preserve">Kiểm tra hiển thị khi mặc định của dropdown list</t>
  </si>
  <si>
    <t xml:space="preserve">1. Kiểm tra hiển thị mặc định của dropdown</t>
  </si>
  <si>
    <t xml:space="preserve">- Hiển thị mặc định:Tất cả các bước</t>
  </si>
  <si>
    <t>TC_016</t>
  </si>
  <si>
    <t xml:space="preserve">Kiểm tra hiển thị khi click vào dropdown list</t>
  </si>
  <si>
    <t xml:space="preserve">1. Click vào dropdown list [Lọc theo bước JK]
2. Kiểm tra hiển thị</t>
  </si>
  <si>
    <t xml:space="preserve">- Hiển thị toàn bộ data đúng theo master data</t>
  </si>
  <si>
    <t>TC_017</t>
  </si>
  <si>
    <t xml:space="preserve">Kiểm tra hiển thị khi click vào item khác</t>
  </si>
  <si>
    <t xml:space="preserve">1. Click vào dropdown list [Lọc theo bước JK]
2. Click vào item khác
3. Kiểm tra hiển thị</t>
  </si>
  <si>
    <t xml:space="preserve">- Hiển thị data trên bảng dữ liệu tương ứng với master data
- Dropdown list hiển thị đúng item đã chọn</t>
  </si>
  <si>
    <t xml:space="preserve">Lọc theo công đoạn</t>
  </si>
  <si>
    <t>TC_018</t>
  </si>
  <si>
    <t xml:space="preserve">- Hiển thị mặc định: Tất cả các công đoạn</t>
  </si>
  <si>
    <t>TC_019</t>
  </si>
  <si>
    <t xml:space="preserve">1. Click vào dropdown list [Lọc theo công đoạn]
2. Kiểm tra hiển thị</t>
  </si>
  <si>
    <t xml:space="preserve">- Hiển thị đúng theo master data
- Dropdown list hiển thị đúng item  đã chọn</t>
  </si>
  <si>
    <t>TC_020</t>
  </si>
  <si>
    <t xml:space="preserve">1. Click vào dropdown list [Lọc theo công đoạn]
2. Click vào item khác
3. Kiểm tra hiển thị</t>
  </si>
  <si>
    <t xml:space="preserve">+ Tạo mới</t>
  </si>
  <si>
    <t>TC_021</t>
  </si>
  <si>
    <t xml:space="preserve">Kiểm tra hiển thị khi click vào button [+ + Tạo mới]</t>
  </si>
  <si>
    <t xml:space="preserve">1. Click vào button [++ Tạo mới]
2. Kiểm tra hiển thị</t>
  </si>
  <si>
    <t xml:space="preserve">Hiển thị popover:
- Tạo thư mục mới
- Tải tệp lên</t>
  </si>
  <si>
    <t xml:space="preserve">Tạo thư mục mới</t>
  </si>
  <si>
    <t>TC_022</t>
  </si>
  <si>
    <t xml:space="preserve">Kiểm tra hiển thị khi click vào item [Tạo thư mục mới]</t>
  </si>
  <si>
    <t xml:space="preserve">1. Click vào item [Tạo thư mục mới]
2. Kiểm tra hiển thị</t>
  </si>
  <si>
    <t xml:space="preserve">- Hiển thị màn hình: PM0035</t>
  </si>
  <si>
    <t xml:space="preserve">Tải tệp lên</t>
  </si>
  <si>
    <t>TC_023</t>
  </si>
  <si>
    <t xml:space="preserve">Kiểm tra hiển thị khi click vào item [Tải tệp lên]</t>
  </si>
  <si>
    <t xml:space="preserve">1. Click vào item [Tải tệp lên]
2. Kiểm tra hiển thị</t>
  </si>
  <si>
    <t xml:space="preserve">- Hiển thị màn hình: PM0032</t>
  </si>
  <si>
    <t xml:space="preserve">Tải thư mục lên</t>
  </si>
  <si>
    <t>TC_024</t>
  </si>
  <si>
    <t xml:space="preserve">Kiểm tra hiển thị khi click vào item [Tải thư mục lên]</t>
  </si>
  <si>
    <t xml:space="preserve">1. Click vào item [Tải thư mục lên]
2. Kiểm tra hiển thị</t>
  </si>
  <si>
    <t xml:space="preserve">- Hiển thị màn hình: Upload Folder/ZIP</t>
  </si>
  <si>
    <t xml:space="preserve">Bảng dữ liệu - Table</t>
  </si>
  <si>
    <t>Header</t>
  </si>
  <si>
    <t>TC_025</t>
  </si>
  <si>
    <t xml:space="preserve">Kiểm tra hiển thị header</t>
  </si>
  <si>
    <t xml:space="preserve">1. Kiểm tra hiển thị header</t>
  </si>
  <si>
    <t xml:space="preserve">- Hiển thị đúng theo master data</t>
  </si>
  <si>
    <t>TC_026</t>
  </si>
  <si>
    <t xml:space="preserve">Kiểm tra hiển thị bảng dữ liệu khi click vào checkbox trên header</t>
  </si>
  <si>
    <t xml:space="preserve">1. Click vào checkbox trên header trên header
2. Kiểm tra hiển thị</t>
  </si>
  <si>
    <t xml:space="preserve">- Toàn bộ checkbox theo từng item trên bảng dữ liệu được tích chọn
- Hiển thị tổng số mục đang chọn trên thanh UI
- Hiển thị icon button [Xoá]</t>
  </si>
  <si>
    <t>10/06/2026</t>
  </si>
  <si>
    <t xml:space="preserve">Xoá
(bulk-action)</t>
  </si>
  <si>
    <t>TC_027</t>
  </si>
  <si>
    <t xml:space="preserve">Kiểm tra hiển thị khi click vào button [Xoá]</t>
  </si>
  <si>
    <t xml:space="preserve">1. Click vào button [Xoá]
2. Kiểm tra hiển thị</t>
  </si>
  <si>
    <t xml:space="preserve">Hiển thị popup confirm:
- Title: 本当に削除しますか？この操作は取り消しできません。
- Tên file:「Đề xuất dự án.docx」を削除します。
- Button hủy: Huỷ
- Button đồng ý xóa: 削除する</t>
  </si>
  <si>
    <t xml:space="preserve">本当に削除しますか？この操作は取り消しできません。 · を削除します。 · 削除する</t>
  </si>
  <si>
    <t>TC_028</t>
  </si>
  <si>
    <t xml:space="preserve">Kiểm tra hiển thị khi click vào button [Huỷ]</t>
  </si>
  <si>
    <t xml:space="preserve">1. Click vào button [Huỷ]
2. Kiểm tra hiển thị</t>
  </si>
  <si>
    <t xml:space="preserve">- Close popup 
- Quay lại màn hình DM-L0001 
- File vẫn được hiển thị trong danh sách</t>
  </si>
  <si>
    <t>TC_029</t>
  </si>
  <si>
    <t xml:space="preserve">Kiểm tra hiển thị khi click vào button [削除する]</t>
  </si>
  <si>
    <t xml:space="preserve">1. Click vào button [削除する]
2. Kiểm tra hiển thị</t>
  </si>
  <si>
    <t xml:space="preserve">- Cho phép xóa file 
- Mất file trên bảng dữ liệu
- Hiện toast message: ファイルを削除しました。</t>
  </si>
  <si>
    <t xml:space="preserve">削除する · ファイルを削除しました。</t>
  </si>
  <si>
    <t>TC_030</t>
  </si>
  <si>
    <t xml:space="preserve">Kiểm tra icon sort tiến lên/lùi xuống</t>
  </si>
  <si>
    <t xml:space="preserve">1. Kiểm tra mặc định icon tiến lên/lùi xuống</t>
  </si>
  <si>
    <t xml:space="preserve">- Hiển thị mặc định button lùi xuống</t>
  </si>
  <si>
    <t>TC_031</t>
  </si>
  <si>
    <t xml:space="preserve">Kiểm tra khi click vào icon tiến lên</t>
  </si>
  <si>
    <t xml:space="preserve">1. Click vào icon tiến lên</t>
  </si>
  <si>
    <t xml:space="preserve">- Hiển thị sort theo điều kiện dưới lên trên</t>
  </si>
  <si>
    <t>TC_032</t>
  </si>
  <si>
    <t xml:space="preserve">Kiểm tra khi click và̀o icon lùi xuống</t>
  </si>
  <si>
    <t xml:space="preserve">1. Click vào icon lùi xuống</t>
  </si>
  <si>
    <t xml:space="preserve">- Hiển thị sort theo điều kiện trên xuống dưới</t>
  </si>
  <si>
    <t>Content</t>
  </si>
  <si>
    <t>TC_033</t>
  </si>
  <si>
    <t xml:space="preserve">Kiểm tra hiển thị bảng dữ liệu khi click vào checkbox trên table</t>
  </si>
  <si>
    <t xml:space="preserve">1. Click vào checkbox của từng item
2. Kiểm tra hiển thị</t>
  </si>
  <si>
    <t xml:space="preserve">- Hiển thị tổng số mục đang chọn trên thanh UI
- Hiển thị button [Xoá]</t>
  </si>
  <si>
    <t xml:space="preserve">Xoá </t>
  </si>
  <si>
    <t>TC_034</t>
  </si>
  <si>
    <t>TC_035</t>
  </si>
  <si>
    <t>TC_036</t>
  </si>
  <si>
    <t xml:space="preserve">Kebab menu</t>
  </si>
  <si>
    <t>TC_037</t>
  </si>
  <si>
    <t xml:space="preserve">Kiểm tra hiển thị khi click vào button Kebab menu [ ⋮ ] của Folder</t>
  </si>
  <si>
    <t xml:space="preserve">1. Click vào icon [ ⋮ ]
2. Kiểm tra hiển thị</t>
  </si>
  <si>
    <t xml:space="preserve">Hiển thị popover:
- Đổi tên
- Di chuyển
- Xoá</t>
  </si>
  <si>
    <t>TC_038</t>
  </si>
  <si>
    <t xml:space="preserve">Kiểm tra hiển thị khi click vào button Kebab menu [ ⋮ ] của File</t>
  </si>
  <si>
    <t xml:space="preserve">Hiển thị popover:
- Đổi tên
- Xem trước
- Tải xuống
- Đổi tên
- Xoá</t>
  </si>
  <si>
    <t>TC_039</t>
  </si>
  <si>
    <t xml:space="preserve">Kiểm tra hiển thị khi click vào item folder</t>
  </si>
  <si>
    <t xml:space="preserve">1. Click vào item folder
2. Kiểm tra hiển thị</t>
  </si>
  <si>
    <t xml:space="preserve">- Hiển thị danh sách các file trong folder</t>
  </si>
  <si>
    <t>TC_040</t>
  </si>
  <si>
    <t xml:space="preserve">Kiểm tra hiển thị khi click vào file trong folder</t>
  </si>
  <si>
    <t xml:space="preserve">1. Click vào item folder
2. Click vào file
3. Kiểm tra hiển thị</t>
  </si>
  <si>
    <t xml:space="preserve">- Hiển thị xem trước file</t>
  </si>
  <si>
    <t xml:space="preserve">Xem trước</t>
  </si>
  <si>
    <t>TC_041</t>
  </si>
  <si>
    <t xml:space="preserve">Kiểm tra hiển thị bản xem trước khi click vào item [Xem trước] của file : jpg/jpeg, png, tiff, pdf</t>
  </si>
  <si>
    <t xml:space="preserve">1. Click vào icon [ ⋮ ] file có type jpg/jpeg, png, tiff, pdf
2. Click vào item [Xem trước]
3. Kiểm tra hiển thị</t>
  </si>
  <si>
    <t xml:space="preserve">- Hiển thị đúng tên file và đuôi file
- Hiển thị button download [Tải xuống]
- Hiển thị icon close [ x ]
- Hiển thị button previous [ &lt; ]
- Hiển thị button next [ &gt; ]
- Hiển thị button room out [ - ]
- Hiển thị button tìm kiếm 
- Hiển thị button room in [ + ]</t>
  </si>
  <si>
    <t>TC_042</t>
  </si>
  <si>
    <t xml:space="preserve">Kiểm tra hiển thị bản xem trước khi click vào item [Xem trước] của file khác type jpg/jpeg, png, tiff, pdf</t>
  </si>
  <si>
    <t xml:space="preserve">1. Click vào icon [ ⋮ ] file khác type jpg/jpeg, png, tiff, pdf
2. Click vào item [Xem trước]
3. Kiểm tra hiển thị</t>
  </si>
  <si>
    <t xml:space="preserve">- Hiển thị nền trắng và text: 
このファイルはプレビューできません</t>
  </si>
  <si>
    <t>このファイルはプレビューできません</t>
  </si>
  <si>
    <t>TC_043</t>
  </si>
  <si>
    <t xml:space="preserve">Kiểm tra hiển thị bản xem trước khi click trực tiếp vào file: jpg/jpeg, png, tiff, pdf</t>
  </si>
  <si>
    <t xml:space="preserve">1. Click vào file: jpg/jpeg, png, tiff, pdf
2. Kiểm tra xem trước file</t>
  </si>
  <si>
    <t>TC_044</t>
  </si>
  <si>
    <t xml:space="preserve">Kiểm tra hiển thị bản xem trước khi click trực tiếp vào file khác: jpg/jpeg, png, tiff, pdf</t>
  </si>
  <si>
    <t xml:space="preserve">1. Click vào file khác: jpg/jpeg, png, tiff, pdf
2. Kiểm tra xem trước file</t>
  </si>
  <si>
    <t>TC_045</t>
  </si>
  <si>
    <t xml:space="preserve">Kiểm tra button [-/+] trên bản xem trước</t>
  </si>
  <si>
    <t xml:space="preserve">1. Click vào button [-/+]</t>
  </si>
  <si>
    <t xml:space="preserve">- Cho phép giảm/tăng kích cỡ file xem trước tương ứng</t>
  </si>
  <si>
    <t>TC_046</t>
  </si>
  <si>
    <t xml:space="preserve">Kiểm tra min/max của button [-/+] trên bản xem trước</t>
  </si>
  <si>
    <t xml:space="preserve">1. Click vào button [-/+]
2. Kiểm tra giới hạn của 2 button</t>
  </si>
  <si>
    <t xml:space="preserve">- Tối thiệu của kích cỡ là: 50%
- Tối đa của kích cỡ là: 200%</t>
  </si>
  <si>
    <t>TC_047</t>
  </si>
  <si>
    <t xml:space="preserve">Kiểm tra button download [Tải xuống]</t>
  </si>
  <si>
    <t xml:space="preserve">1. Click vào button [Tải xuống]</t>
  </si>
  <si>
    <t xml:space="preserve">- Cho phép download thành công
- Hiển thị file đúng layout</t>
  </si>
  <si>
    <t>TC_048</t>
  </si>
  <si>
    <t xml:space="preserve">Kiểm tra icon [x] trên dialog xem trước</t>
  </si>
  <si>
    <t xml:space="preserve">1. Click vào icon [x] trên màn hình xem trước</t>
  </si>
  <si>
    <t xml:space="preserve">- Cho phép đóng dialog xem trước
- Hiển thị lại màn hình [Tên tệp]</t>
  </si>
  <si>
    <t>TC_049</t>
  </si>
  <si>
    <t xml:space="preserve">Kiểm tra icon reset room trên bản xem trước</t>
  </si>
  <si>
    <t xml:space="preserve">1. Click vào reset room</t>
  </si>
  <si>
    <t xml:space="preserve">- Hiển thị reset lại kích cỡ</t>
  </si>
  <si>
    <t xml:space="preserve">Tải xuống</t>
  </si>
  <si>
    <t>TC_050</t>
  </si>
  <si>
    <t xml:space="preserve">Kiểm tra hiển thị download khi click vào item [Tải xuống]</t>
  </si>
  <si>
    <t xml:space="preserve">1. Click vào icon [ ⋮ ]
2. Click vào item [Tải xuống]
3. Kiểm tra hiển thị</t>
  </si>
  <si>
    <t xml:space="preserve">- Cho phép download file đã check tương ứng
- Hiển thị toast message: テンプレートのダウンロードを開始しました。</t>
  </si>
  <si>
    <t>テンプレートのダウンロードを開始しました。</t>
  </si>
  <si>
    <t>TC_051</t>
  </si>
  <si>
    <t xml:space="preserve">Kiểm tra hiển thị download khi click trực tiếp vào file</t>
  </si>
  <si>
    <t xml:space="preserve">1. Click vào file &gt; Xem trước file
2. Click vào download
3. Kiểm tra hiển thị</t>
  </si>
  <si>
    <t>TC_052</t>
  </si>
  <si>
    <t xml:space="preserve">Kiểm tra hiển thị file sau khi download thành công</t>
  </si>
  <si>
    <t xml:space="preserve">1. Kiểm tra hiển thị sau khi download thành công</t>
  </si>
  <si>
    <t xml:space="preserve">- Hiển thị file chính xác với tên template
- Hiển thị chính xác với đuôi file
- Hiển thị chính xác kích cỡ file</t>
  </si>
  <si>
    <t xml:space="preserve">Đổi tên</t>
  </si>
  <si>
    <t>TC_053</t>
  </si>
  <si>
    <t xml:space="preserve">Kiểm tra hiển thị khi click vào button [Đổi tên]</t>
  </si>
  <si>
    <t xml:space="preserve">1. Click vào button [Đổi tên]
2. Kiểm tra hiển thị</t>
  </si>
  <si>
    <t xml:space="preserve">Hiển thị popup confirm:
- Title: Đổi tên
- Tên file:「Đề xuất dự án.docx」
- Button hủy: Huỷ
- Button đồng: Lưu</t>
  </si>
  <si>
    <t>TC_054</t>
  </si>
  <si>
    <t xml:space="preserve">Kiểm tra trạng thái của textbox tên file khi xóa toàn bộ text trong textbox</t>
  </si>
  <si>
    <t xml:space="preserve">1. Click vào button [Đổi tên]
2. Xóa toàn bộ text trong textbox tên file
3. Kiểm tra hiển thị của textbox tên file</t>
  </si>
  <si>
    <t xml:space="preserve">- Hiển thị placeholder: ファイル名を入力</t>
  </si>
  <si>
    <t>ファイル名を入力</t>
  </si>
  <si>
    <t>TC_055</t>
  </si>
  <si>
    <t xml:space="preserve">Kiểm tra hiển thị khi bỏ trống tên file </t>
  </si>
  <si>
    <t xml:space="preserve">1. Click vào button [Đổi tên]
2. Xóa toàn bộ text trong textbox tên file
3. Click vào button [Lưu]
4. Kiểm tra hiển thị</t>
  </si>
  <si>
    <t xml:space="preserve">- Hiển thị message cảnh báo đỏ: 
ファイル名を入力してください</t>
  </si>
  <si>
    <t>ファイル名を入力してください</t>
  </si>
  <si>
    <t>TC_056</t>
  </si>
  <si>
    <t xml:space="preserve">Kiểm tra hiển thị khi nhập tên file mới</t>
  </si>
  <si>
    <t xml:space="preserve">1. Click vào button [Đổi tên]
2. Nhập text mới trong textbox tên file
3. Click vào button [Lưu]
4. Kiểm tra hiển thị</t>
  </si>
  <si>
    <t xml:space="preserve">- Close popup
- Quay lại màn hình DM-L0001
- Hiển thị đúng tên file mới đã nhập</t>
  </si>
  <si>
    <t>TC_057</t>
  </si>
  <si>
    <t xml:space="preserve">1. Click vào button [Đổi tên]
2. Click vào button [Huỷ]
3. Kiểm tra hiển thị</t>
  </si>
  <si>
    <t xml:space="preserve">- Close popup 
- Quay lại màn hình DM-L0001</t>
  </si>
  <si>
    <t>TC_058</t>
  </si>
  <si>
    <t xml:space="preserve">Kiểm tra hiển thị khi click vào button [Lưu]</t>
  </si>
  <si>
    <t xml:space="preserve">- Cho phép xóa file 
- Mất file trên bảng dữ liệu</t>
  </si>
  <si>
    <t>削除する</t>
  </si>
  <si>
    <t>Xoá</t>
  </si>
  <si>
    <t>TC_059</t>
  </si>
  <si>
    <t>TC_060</t>
  </si>
  <si>
    <t>TC_061</t>
  </si>
  <si>
    <t xml:space="preserve">Phân trang - Paging</t>
  </si>
  <si>
    <t>TC_062</t>
  </si>
  <si>
    <t xml:space="preserve">Kiểm tra số lượng item khi chọn 50 dòng / trang</t>
  </si>
  <si>
    <t xml:space="preserve">1. Chọn page size 50 items
2. Kiểm tra hiển thị dữ liệu trong bảng</t>
  </si>
  <si>
    <t xml:space="preserve">- Hiển thị trên bảng &lt;= 50 items trên 1 trang</t>
  </si>
  <si>
    <t>TC_063</t>
  </si>
  <si>
    <t xml:space="preserve">Kiểm tra phân trang số lượng item nhỏ hơn 50 </t>
  </si>
  <si>
    <t xml:space="preserve">1. Kiểm tra trạng thái button &lt; Trước , Sau &gt;</t>
  </si>
  <si>
    <t xml:space="preserve">- Disable 2 button trên</t>
  </si>
  <si>
    <t>TC_064</t>
  </si>
  <si>
    <t xml:space="preserve">Kiểm tra phân trang số lượng item lớn hơn 50 khi đang ở trang đầu tiên</t>
  </si>
  <si>
    <t xml:space="preserve">- Disable button  &lt; Trước
- Enable button   Sau &gt;</t>
  </si>
  <si>
    <t>TC_065</t>
  </si>
  <si>
    <t xml:space="preserve">Kiểm tra phân trang số lượng item lớn hơn 50 khi đang ở trang giữa</t>
  </si>
  <si>
    <t xml:space="preserve">- Enable 2 button  &lt; Trước,  Sau &gt;</t>
  </si>
  <si>
    <t>TC_066</t>
  </si>
  <si>
    <t xml:space="preserve">Kiểm tra phân trang số lượng item lớn hơn 50 khi đang ở trang cuối</t>
  </si>
  <si>
    <t xml:space="preserve">- Enable button  &lt; Trước
- Disable button   Sau &gt;</t>
  </si>
  <si>
    <t>TC_067</t>
  </si>
  <si>
    <t xml:space="preserve">Kiểm tra số lượng item khi chọn 100 dòng / trang</t>
  </si>
  <si>
    <t xml:space="preserve">1. Chọn page size 100 items
2. Kiểm tra hiển thị dữ liệu trong bảng</t>
  </si>
  <si>
    <t xml:space="preserve">- Hiển thị trên bảng &lt;=100 items trên 1 trang</t>
  </si>
  <si>
    <t>TC_068</t>
  </si>
  <si>
    <t xml:space="preserve">Kiểm tra phân trang số lượng item lớn hơn 100 khi đang ở trang đầu tiên</t>
  </si>
  <si>
    <t>TC_069</t>
  </si>
  <si>
    <t xml:space="preserve">Kiểm tra phân trang số lượng item lớn hơn 100 khi đang ở trang giữa</t>
  </si>
  <si>
    <t>TC_070</t>
  </si>
  <si>
    <t xml:space="preserve">Kiểm tra phân trang số lượng item lớn hơn 100 khi đang ở trang cuối</t>
  </si>
  <si>
    <t>TC_071</t>
  </si>
  <si>
    <t xml:space="preserve">Kiểm tra số lượng item khi chọn 200 dòng / trang</t>
  </si>
  <si>
    <t xml:space="preserve">1. Chọn page size 200 items
2. Kiểm tra hiển thị dữ liệu trong bảng</t>
  </si>
  <si>
    <t xml:space="preserve">- Hiển thị trên bảng &lt;=200 items trên 1 trang</t>
  </si>
  <si>
    <t>TC_072</t>
  </si>
  <si>
    <t xml:space="preserve">Kiểm tra phân trang số lượng item lớn hơn 200 khi đang ở trang đầu tiên</t>
  </si>
  <si>
    <t>TC_073</t>
  </si>
  <si>
    <t xml:space="preserve">Kiểm tra phân trang số lượng item lớn hơn 200 khi đang ở trang giữa</t>
  </si>
  <si>
    <t>TC_074</t>
  </si>
  <si>
    <t xml:space="preserve">Kiểm tra phân trang số lượng item lớn hơn 200 khi đang ở trang cuối</t>
  </si>
  <si>
    <t>TC_075</t>
  </si>
  <si>
    <t xml:space="preserve">Kiểm tra hiển thị khi click vào phân trang  &lt; Trước</t>
  </si>
  <si>
    <t xml:space="preserve">1. Click vào button &lt; Trước </t>
  </si>
  <si>
    <t xml:space="preserve">- Cho phép chuyển tiếp sang trang tiếp theo</t>
  </si>
  <si>
    <t>TC_076</t>
  </si>
  <si>
    <t xml:space="preserve">Kiểm tra hiển thị khi click vào phân trang Sau &gt;</t>
  </si>
  <si>
    <t xml:space="preserve">1. Click vào button  Sau &gt;</t>
  </si>
  <si>
    <t xml:space="preserve">- Cho phép lùi sang trang trước đó</t>
  </si>
  <si>
    <t>TC_077</t>
  </si>
  <si>
    <t xml:space="preserve">Kiểm tra hiển thị số trang khi số item lớn hơn số mục</t>
  </si>
  <si>
    <t xml:space="preserve">1. Số lượng item là 55 (&gt;50)
2. Chọn phân trang 50 items
3. Kiểm tra hiển thị số màn hình</t>
  </si>
  <si>
    <t xml:space="preserve">- Hiển thị số lượng 2 trang</t>
  </si>
  <si>
    <t>TC_078</t>
  </si>
  <si>
    <t xml:space="preserve">Kiểm tra hiển thị khi click vào số trang</t>
  </si>
  <si>
    <t xml:space="preserve">1. Số lượng item là 55 (&gt;50)
2. Chọn phân trang 50 items &gt; Hiện 2 trang
3. Kiểm tra hiển thị khi click vào trang số 2</t>
  </si>
  <si>
    <t xml:space="preserve">- Hiển thị 5 items còn lại trên trang thứ 2</t>
  </si>
  <si>
    <t xml:space="preserve">Chức năng tệp - File function </t>
  </si>
  <si>
    <t xml:space="preserve">Tạo Folder manual</t>
  </si>
  <si>
    <t>TC_079</t>
  </si>
  <si>
    <t xml:space="preserve">Kiểm tra tạo 1 folder có tên dưới 255 ký tự</t>
  </si>
  <si>
    <t xml:space="preserve">1. Click vào button [+ + Tạo mới]
2. Tạo Folder mới tên [Folder 1]
3. Kiểm tra hiển thị </t>
  </si>
  <si>
    <t xml:space="preserve">- Cho phép tạo thành công và hiển thị folder tên [Folder 1]</t>
  </si>
  <si>
    <t>TC_080</t>
  </si>
  <si>
    <t xml:space="preserve">Kiểm tra tạo 10 folder cấp con trong 1 folder cha</t>
  </si>
  <si>
    <t xml:space="preserve">1. Trong folder [Folder 1] &gt; Tạo folder cấp con [Folder 2] 
2. Trong folder [Folder 2] &gt; Tạo folder cấp con [Folder 3] 
3. Tiếp tục tạo đến folder cấp 10 &gt; [Folder 10]
3. Kiểm tra hiển thị</t>
  </si>
  <si>
    <t xml:space="preserve">- Cho phép tạo thành công 10 thư mục cấp con trong 1 thư mục cha</t>
  </si>
  <si>
    <t>TC_081</t>
  </si>
  <si>
    <t xml:space="preserve">Kiểm tra tạo 11 folder cấp con trong 1 folder cha</t>
  </si>
  <si>
    <t xml:space="preserve">1. Tạo 10 cấp thư mục con
2. Tiếp tục tạo đến folder cấp 11 &gt; [Folder 11]
3. Kiểm tra hiển thị</t>
  </si>
  <si>
    <t xml:space="preserve">- Hiển thị thông bá́o lỗi: フォルダの階層が上限（10階層）に達しているため、サブフォルダを作成できません。</t>
  </si>
  <si>
    <t>フォルダの階層が上限（10階層）に達しているため、サブフォルダを作成できません。</t>
  </si>
  <si>
    <t>TC_082</t>
  </si>
  <si>
    <t xml:space="preserve">Kiểm tra đặt tên folder quá 255 ký tự</t>
  </si>
  <si>
    <t xml:space="preserve">1. Click vào button [+ + Tạo mới]
2. Nhập quá 255 ký tự 
3. Kiểm tra hiển thị</t>
  </si>
  <si>
    <t xml:space="preserve">- Hệ thống tự cắt ký tự và báo lỗi: フォルダ名が長すぎます（最大255文字）</t>
  </si>
  <si>
    <t>フォルダ名が長すぎます（最大255文字）</t>
  </si>
  <si>
    <t>TC_083</t>
  </si>
  <si>
    <t xml:space="preserve">Kiểm tra tạ̣o folder với ký tự chứa Full-Width</t>
  </si>
  <si>
    <t xml:space="preserve">1. Tạo folder với ký tự:
- ＮＲＴ０７８
2. Kiểm tra hiển thị</t>
  </si>
  <si>
    <t xml:space="preserve">- Cho phép tạo bình thường</t>
  </si>
  <si>
    <t xml:space="preserve">Upload Folder</t>
  </si>
  <si>
    <t xml:space="preserve">Kéo thả folder bên ngoài popup</t>
  </si>
  <si>
    <t>TC_084</t>
  </si>
  <si>
    <t xml:space="preserve">Kéo thả folder chứa file không hợp lệ vào màn hình document</t>
  </si>
  <si>
    <t xml:space="preserve">1. Trên màn hình document 
2. Kéo folder chứa file ko hợp lệ dưới đây:
".exe", ".bat", ".com", ".cmd", ".ps1", ".ps2", ".vbs", ".vbe",
".js",  ".jse", ".wsf", ".msi", ".jar", ".scr", ".pif", ".reg",
".sh",  ".app", ".dmg", ".lnk", ".hta", ".cpl", ".msp", ".gadget",
3. Kiểm tra hiển thị</t>
  </si>
  <si>
    <t xml:space="preserve">- Hiển thị thông bá́o lỗi:
「Tên file」は許可されていない拡張子です。</t>
  </si>
  <si>
    <t xml:space="preserve">11, 34 </t>
  </si>
  <si>
    <t>04/06/2026</t>
  </si>
  <si>
    <t>は許可されていない拡張子です。</t>
  </si>
  <si>
    <t>TC_085</t>
  </si>
  <si>
    <t xml:space="preserve">Kéo thả folder chứa hơn 10 cấp folder bên trong vào màn hình document</t>
  </si>
  <si>
    <t xml:space="preserve">1. Trên màn hình document 
2. Kéo folder chứa hơn 10 cấp folder bên trong
3. Kiểm tra hiển thị</t>
  </si>
  <si>
    <t xml:space="preserve">- Hiển thị thông báo lỗi: 
フォルダの階層が上限（10階層）を超えています。</t>
  </si>
  <si>
    <t>フォルダの階層が上限（10階層）を超えています。</t>
  </si>
  <si>
    <t>TC_086</t>
  </si>
  <si>
    <t xml:space="preserve">Kéo thả folder chứa hơn 5GB bên trong vào màn hình document</t>
  </si>
  <si>
    <t xml:space="preserve">1. Trên màn hình document 
2. Kéo folder chứa hơn 5GB bên trong
3. Kiểm tra hiển thị</t>
  </si>
  <si>
    <t xml:space="preserve">- Hiển thị thông báo lỗi: 
フォルダの合計サイズが5GBを超えています。選択を減らして再度お試しください。</t>
  </si>
  <si>
    <t>フォルダの合計サイズが5GBを超えています。選択を減らして再度お試しください。</t>
  </si>
  <si>
    <t>TC_087</t>
  </si>
  <si>
    <t xml:space="preserve">Kéo thả folder chứa file hợp lệ vào màn hình document</t>
  </si>
  <si>
    <t xml:space="preserve">1. Trên màn hình document 
2. Kéo folder chứa file hợp lệ
3. Kiểm tra hiển thị</t>
  </si>
  <si>
    <t xml:space="preserve">- Hiển thị folder chính xác với tên template
- Hiển thị chính xác với đuôi file
- Hiển thị chính xác kích cỡ file</t>
  </si>
  <si>
    <t>TC_088</t>
  </si>
  <si>
    <t xml:space="preserve">Kéo thả folder chứa dưới 10 cấp folder bên trong vào màn hình document</t>
  </si>
  <si>
    <t xml:space="preserve">1. Trên màn hình document 
2. Kéo folder chứa dưới 10 cấp folder bên trong
3. Kiểm tra hiển thị</t>
  </si>
  <si>
    <t>TC_089</t>
  </si>
  <si>
    <t xml:space="preserve">Kéo thả folder chứa dưới 5GB bên trong vào màn hình document</t>
  </si>
  <si>
    <t xml:space="preserve">1. Trên màn hình document 
2. Kéo folder chứa dưới 5GB bên trong
3. Kiểm tra hiển thị</t>
  </si>
  <si>
    <t>TC_090</t>
  </si>
  <si>
    <t xml:space="preserve">Kéo thả không giới hạn số lượng file vào màn hình document</t>
  </si>
  <si>
    <t xml:space="preserve">1. Trên màn hình document 
2. Kéo folder chứa dưới 5GB, file hợp lệ, folder dưới 10 cấp bên trong
3. Kiểm tra hiển thị</t>
  </si>
  <si>
    <t>TC_091</t>
  </si>
  <si>
    <t xml:space="preserve">Kéo thả với folder không có file nào bên trong vào màn hình document</t>
  </si>
  <si>
    <t xml:space="preserve">1. Trên màn hình document 
2. Kéo folder rỗng
3. Kiểm tra hiển thị</t>
  </si>
  <si>
    <t xml:space="preserve">Kéo thả folder bên trong popup</t>
  </si>
  <si>
    <t>TC_092</t>
  </si>
  <si>
    <t xml:space="preserve">Kéo thả folder chứa file không hợp lệ vào popup upload</t>
  </si>
  <si>
    <t xml:space="preserve">1. Click [++ Tạo mới] &gt; [Tải thư mục lên]
2. Kéo folder chứa file ko hợp lệ dưới đây:
".exe", ".bat", ".com", ".cmd", ".ps1", ".ps2", ".vbs", ".vbe",
".js",  ".jse", ".wsf", ".msi", ".jar", ".scr", ".pif", ".reg",
".sh",  ".app", ".dmg", ".lnk", ".hta", ".cpl", ".msp", ".gadget",
3. Kiểm tra hiển thị</t>
  </si>
  <si>
    <t>TC_093</t>
  </si>
  <si>
    <t xml:space="preserve">Kéo thả folder chứa hơn 10 cấp folder bên trong vào popup upload</t>
  </si>
  <si>
    <t xml:space="preserve">1. Click [++ Tạo mới] &gt; [Tải thư mục lên]
2. Kéo folder chứa hơn 10 cấp folder bên trong
3. Kiểm tra hiển thị</t>
  </si>
  <si>
    <t>TC_094</t>
  </si>
  <si>
    <t xml:space="preserve">Kéo thả folder chứa hơn 5GB bên trong vào popup upload</t>
  </si>
  <si>
    <t xml:space="preserve">1. Click [++ Tạo mới] &gt; [Tải thư mục lên]
2. Kéo folder chứa hơn 5GB bên trong
3. Kiểm tra hiển thị</t>
  </si>
  <si>
    <t>TC_095</t>
  </si>
  <si>
    <t xml:space="preserve">Kéo thả folder chứa file hợp lệ vào popup upload</t>
  </si>
  <si>
    <t xml:space="preserve">1. Click [++ Tạo mới] &gt; [Tải thư mục lên]
2. Kéo folder chứa file hợp lệ
3. Kiểm tra hiển thị</t>
  </si>
  <si>
    <t>09/06/2026</t>
  </si>
  <si>
    <t>TC_096</t>
  </si>
  <si>
    <t xml:space="preserve">Kéo thả folder chứa dưới 10 cấp folder bên trong vào popup upload</t>
  </si>
  <si>
    <t xml:space="preserve">1. Click [++ Tạo mới] &gt; [Tải thư mục lên]
2. Kéo folder chứa dưới 10 cấp folder bên trong
3. Kiểm tra hiển thị</t>
  </si>
  <si>
    <t>TC_097</t>
  </si>
  <si>
    <t xml:space="preserve">Kéo thả folder chứa dưới 5GB bên trong vào popup upload</t>
  </si>
  <si>
    <t xml:space="preserve">1. Click [++ Tạo mới] &gt; [Tải thư mục lên]
2. Kéo folder chứa dưới 5GB bên trong
3. Kiểm tra hiển thị</t>
  </si>
  <si>
    <t>TC_098</t>
  </si>
  <si>
    <t xml:space="preserve">Kéo thả không giới hạn số lượng file vào popup upload</t>
  </si>
  <si>
    <t xml:space="preserve">1. Click [++ Tạo mới] &gt; [Tải thư mục lên]
2. Kéo folder chứa dưới 5GB, file hợp lệ, folder dưới 10 cấp bên trong
3. Kiểm tra hiển thị</t>
  </si>
  <si>
    <t>TC_099</t>
  </si>
  <si>
    <t xml:space="preserve">Kéo thả với folder không có file nào bên trong vào popup upload</t>
  </si>
  <si>
    <t xml:space="preserve">1. Click [++ Tạo mới] &gt; [Tải thư mục lên]
2. Kéo folder rỗng
3. Kiểm tra hiển thị</t>
  </si>
  <si>
    <t xml:space="preserve">Upload bằng button [フォルダを選択]</t>
  </si>
  <si>
    <t>TC_100</t>
  </si>
  <si>
    <t xml:space="preserve">Upload folder chứa file không hợp lệ bằng button [フォルダを選択]</t>
  </si>
  <si>
    <t xml:space="preserve">1. Click [++ Tạo mới] &gt; [Tải thư mục lên] &gt;[フォルダを選択]
2. Chọn folder chứa file ko hợp lệ dưới đây:
".exe", ".bat", ".com", ".cmd", ".ps1", ".ps2", ".vbs", ".vbe",
".js",  ".jse", ".wsf", ".msi", ".jar", ".scr", ".pif", ".reg",
".sh",  ".app", ".dmg", ".lnk", ".hta", ".cpl", ".msp", ".gadget",
3. Kiểm tra hiển thị</t>
  </si>
  <si>
    <t xml:space="preserve">フォルダを選択 · は許可されていない拡張子です。</t>
  </si>
  <si>
    <t>TC_101</t>
  </si>
  <si>
    <t xml:space="preserve">Upload folder chứa hơn 10 cấp folder bên trong bằng button [フォルダを選択]</t>
  </si>
  <si>
    <t xml:space="preserve">1. Click [++ Tạo mới] &gt; [Tải thư mục lên] &gt;[フォルダを選択]
2. Chọn folder chứa hơn 10 cấp folder bên trong
3. Kiểm tra hiển thị</t>
  </si>
  <si>
    <t xml:space="preserve">フォルダを選択 · フォルダの階層が上限（10階層）を超えています。</t>
  </si>
  <si>
    <t>TC_102</t>
  </si>
  <si>
    <t xml:space="preserve">Upload folder chứa hơn 5GB bên trong bằng button [フォルダを選択]</t>
  </si>
  <si>
    <t xml:space="preserve">1. Click [++ Tạo mới] &gt; [Tải thư mục lên] &gt;[フォルダを選択]
2. Chọn folder chứa hơn 5GB bên trong
3. Kiểm tra hiển thị</t>
  </si>
  <si>
    <t xml:space="preserve">フォルダを選択 · フォルダの合計サイズが5GBを超えています。選択を減らして再度お試しください。</t>
  </si>
  <si>
    <t>TC_103</t>
  </si>
  <si>
    <t xml:space="preserve">Kiểm tra hiển thị khi upload folder chứa file hợp lệ </t>
  </si>
  <si>
    <t xml:space="preserve">1. Click [++ Tạo mới] &gt; [Tải thư mục lên] &gt;[フォルダを選択]
2. Chọn folder hợp lệ
3. Kiểm tra hiển thị</t>
  </si>
  <si>
    <t xml:space="preserve">- Hiển thị các file trong folder 
- Hiển thị button [選び直す]
- Hiển thị button [アップロード]</t>
  </si>
  <si>
    <t xml:space="preserve">フォルダを選択 · アップロード · 選び直す</t>
  </si>
  <si>
    <t>TC_104</t>
  </si>
  <si>
    <t xml:space="preserve">Kiểm tra hiển thị khi chọn button [選び直す]</t>
  </si>
  <si>
    <t xml:space="preserve">1. Click [++ Tạo mới] &gt; [Tải thư mục lên] &gt;[フォルダを選択]
2. Chọn folder hợp lệ
3. Click vào button [選び直す] &gt; Kiểm tra hiển thị</t>
  </si>
  <si>
    <t xml:space="preserve">- Hiển thị lại popup upload</t>
  </si>
  <si>
    <t xml:space="preserve">選び直す · フォルダを選択</t>
  </si>
  <si>
    <t>TC_105</t>
  </si>
  <si>
    <t xml:space="preserve">Kiểm tra hiển thị khi chọn button [アップロード]</t>
  </si>
  <si>
    <t xml:space="preserve">- Tiến hành quá trình upload</t>
  </si>
  <si>
    <t xml:space="preserve">アップロード · フォルダを選択 · 選び直す</t>
  </si>
  <si>
    <t>TC_106</t>
  </si>
  <si>
    <t xml:space="preserve">Upload folder chứa file hợp lệ bằng button [フォルダを選択]</t>
  </si>
  <si>
    <t xml:space="preserve">1. Click [++ Tạo mới] &gt; [Tải thư mục lên] &gt;[フォルダを選択]
2. Chọn folder chứa file hợp lệ &gt; Tải lên
3. Kiểm tra hiển thị</t>
  </si>
  <si>
    <t xml:space="preserve">- Hiển thị folder chính xác với tên template
- Hiển thị chính xác với đuôi file
- Hiển thị chính xác kích cỡ file
- Popup tự động biến mất khi upload thành công</t>
  </si>
  <si>
    <t>フォルダを選択</t>
  </si>
  <si>
    <t>TC_107</t>
  </si>
  <si>
    <t xml:space="preserve">Upload folder chứa dưới 10 cấp folder bên trong bằng button [フォルダを選択]</t>
  </si>
  <si>
    <t xml:space="preserve">1. Click [++ Tạo mới] &gt; [Tải thư mục lên] &gt;[フォルダを選択]
2. Chọn folder chứa dưới 10 cấp folder bên trong &gt; Tải lên
3. Kiểm tra hiển thị</t>
  </si>
  <si>
    <t>TC_108</t>
  </si>
  <si>
    <t xml:space="preserve">Upload folder chứa dưới 5GB bên trong bằng button [フォルダを選択]</t>
  </si>
  <si>
    <t xml:space="preserve">1. Click [++ Tạo mới] &gt; [Tải thư mục lên] &gt;[フォルダを選択]
2. Chọn folder chứa dưới 5GB bên trong &gt; Tải lên
3. Kiểm tra hiển thị</t>
  </si>
  <si>
    <t>TC_109</t>
  </si>
  <si>
    <t xml:space="preserve">Upload không giới hạn số lượng file bằng button [フォルダを選択]</t>
  </si>
  <si>
    <t xml:space="preserve">1. Click [++ Tạo mới] &gt; [Tải thư mục lên] &gt;[フォルダを選択]
2. Chọn folder chứa dưới 5GB, file hợp lệ, folder dưới 10 cấp bên trong  &gt; Tải lên
3. Kiểm tra hiển thị</t>
  </si>
  <si>
    <t>TC_110</t>
  </si>
  <si>
    <t xml:space="preserve">Upload với folder không có file nào bên trong bằng button [フォルダを選択]</t>
  </si>
  <si>
    <t xml:space="preserve">1. Click [++ Tạo mới] &gt; [Tải thư mục lên] &gt;[フォルダを選択]
2. Chọn folder rỗng &gt; Tải lên
3. Kiểm tra hiển thị</t>
  </si>
  <si>
    <t xml:space="preserve">Upload ZIP</t>
  </si>
  <si>
    <t xml:space="preserve">Kéo thả ZIP bên ngoài popup</t>
  </si>
  <si>
    <t>TC_111</t>
  </si>
  <si>
    <t xml:space="preserve">Kéo thả với ZIP vào màn hình document</t>
  </si>
  <si>
    <t xml:space="preserve">1. Trên màn hình document 
2. Kéo ZIP 
3. Kiểm tra hiển thị</t>
  </si>
  <si>
    <t xml:space="preserve">- Hiển thị tên ZIP chính xác với tên template
- Hiển thị chính xác với đuôi zip
- Hiển thị chính xác kích cỡ ZIP</t>
  </si>
  <si>
    <t xml:space="preserve">Kéo thả ZIP bên trong popup</t>
  </si>
  <si>
    <t>TC_112</t>
  </si>
  <si>
    <t xml:space="preserve">Kéo thả ZIP chứa file không hợp lệ vào popup upload</t>
  </si>
  <si>
    <t xml:space="preserve">1. Click [++ Tạo mới] &gt; [Tải thư mục lên]
2. Kéo ZIP chứa file ko hợp lệ dưới đây:
".exe", ".bat", ".com", ".cmd", ".ps1", ".ps2", ".vbs", ".vbe",
".js",  ".jse", ".wsf", ".msi", ".jar", ".scr", ".pif", ".reg",
".sh",  ".app", ".dmg", ".lnk", ".hta", ".cpl", ".msp", ".gadget",
3. Kiểm tra hiển thị</t>
  </si>
  <si>
    <t>TC_113</t>
  </si>
  <si>
    <t xml:space="preserve">Kéo thả ZIP chứa hơn 10 cấp folder bên trong vào popup upload</t>
  </si>
  <si>
    <t xml:space="preserve">1. Click [++ Tạo mới] &gt; [Tải thư mục lên]
2. Kéo ZIP chứa hơn 10 cấp Folder bên trong
3. Kiểm tra hiển thị</t>
  </si>
  <si>
    <t>TC_114</t>
  </si>
  <si>
    <t xml:space="preserve">Kéo thả ZIP chứa hơn 5GB bên trong vào popup upload</t>
  </si>
  <si>
    <t xml:space="preserve">1. Click [++ Tạo mới] &gt; [Tải thư mục lên]
2. Kéo ZIP chứa hơn 5GB bên trong
3. Kiểm tra hiển thị</t>
  </si>
  <si>
    <t>TC_115</t>
  </si>
  <si>
    <t xml:space="preserve">Kéo thả ZIP chứa file hợp lệ vào popup upload</t>
  </si>
  <si>
    <t xml:space="preserve">1. Click [++ Tạo mới] &gt; [Tải thư mục lên]
2. Kéo ZIP chứa file hợp lệ
3. Kiểm tra hiển thị</t>
  </si>
  <si>
    <t>TC_116</t>
  </si>
  <si>
    <t xml:space="preserve">Kéo thả ZIP chứa dưới 10 cấp Folder bên trong vào popup upload</t>
  </si>
  <si>
    <t xml:space="preserve">1. Click [++ Tạo mới] &gt; [Tải thư mục lên]
2. Kéo ZIP chứa dưới 10 cấp Folder bên trong
3. Kiểm tra hiển thị</t>
  </si>
  <si>
    <t>TC_117</t>
  </si>
  <si>
    <t xml:space="preserve">Kéo thả ZIP chứa dưới 5GB bên trong vào popup upload</t>
  </si>
  <si>
    <t xml:space="preserve">1. Click [++ Tạo mới] &gt; [Tải thư mục lên]
2. Kéo ZIP chứa dưới 5GB bên trong
3. Kiểm tra hiển thị</t>
  </si>
  <si>
    <t>TC_118</t>
  </si>
  <si>
    <t xml:space="preserve">Kéo thả không giới hạn số lượng ZIP vào popup upload</t>
  </si>
  <si>
    <t xml:space="preserve">1. Click [++ Tạo mới] &gt; [Tải thư mục lên]
2. Kéo ZIP chứa dưới 5GB, file hợp lệ, ZIP dưới 10 cấp bên trong
3. Kiểm tra hiển thị</t>
  </si>
  <si>
    <t>TC_119</t>
  </si>
  <si>
    <t xml:space="preserve">Kéo thả với ZIP không có file nào bên trong vào popup upload</t>
  </si>
  <si>
    <t xml:space="preserve">1. Click [++ Tạo mới] &gt; [Tải thư mục lên]
2. Kéo ZIP rỗng
3. Kiểm tra hiển thị</t>
  </si>
  <si>
    <t xml:space="preserve">Upload bằng button [ZIP ファイルを選択]</t>
  </si>
  <si>
    <t>TC_120</t>
  </si>
  <si>
    <t xml:space="preserve">Upload ZIP chứa file không hợp lệ bằng button [ZIP ファイルを選択]</t>
  </si>
  <si>
    <t xml:space="preserve">1. Click [++ Tạo mới] &gt; [Tải thư mục lên] &gt;[ZIP ファイルを選択]
2. Chọn ZIP chứa file ko hợp lệ dưới đây:
".exe", ".bat", ".com", ".cmd", ".ps1", ".ps2", ".vbs", ".vbe",
".js",  ".jse", ".wsf", ".msi", ".jar", ".scr", ".pif", ".reg",
".sh",  ".app", ".dmg", ".lnk", ".hta", ".cpl", ".msp", ".gadget",
3. Kiểm tra hiển thị</t>
  </si>
  <si>
    <t xml:space="preserve">ファイルを選択 · は許可されていない拡張子です。</t>
  </si>
  <si>
    <t>TC_121</t>
  </si>
  <si>
    <t xml:space="preserve">Upload ZIP chứa hơn 10 cấp Folder bên trong bằng button [ZIP ファイルを選択]</t>
  </si>
  <si>
    <t xml:space="preserve">1. Click [++ Tạo mới] &gt; [Tải thư mục lên] &gt;[ZIP ファイルを選択]
2. Chọn ZIP chứa hơn 10 cấp folder bên trong
3. Kiểm tra hiển thị</t>
  </si>
  <si>
    <t xml:space="preserve">ファイルを選択 · フォルダの階層が上限（10階層）を超えています。</t>
  </si>
  <si>
    <t>TC_122</t>
  </si>
  <si>
    <t xml:space="preserve">Upload ZIP chứa hơn 5GB bên trong bằng button [ZIP ファイルを選択]</t>
  </si>
  <si>
    <t xml:space="preserve">1. Click [++ Tạo mới] &gt; [Tải thư mục lên] &gt;[ZIP ファイルを選択]
2. Chọn ZIP chứa hơn 5GB bên trong
3. Kiểm tra hiển thị</t>
  </si>
  <si>
    <t xml:space="preserve">ファイルを選択 · フォルダの合計サイズが5GBを超えています。選択を減らして再度お試しください。</t>
  </si>
  <si>
    <t>TC_123</t>
  </si>
  <si>
    <t xml:space="preserve">Upload ZIP chứa file hợp lệ bằng button [ZIP ファイルを選択]</t>
  </si>
  <si>
    <t xml:space="preserve">1. Click [++ Tạo mới] &gt; [Tải thư mục lên] &gt;[ZIP ファイルを選択]
2. Chọn ZIP chứa file hợp lệ
3. Kiểm tra hiển thị</t>
  </si>
  <si>
    <t>ファイルを選択</t>
  </si>
  <si>
    <t>TC_124</t>
  </si>
  <si>
    <t xml:space="preserve">Upload ZIP chứa dưới 10 cấp Folder bên trong bằng button [ZIP ファイルを選択]</t>
  </si>
  <si>
    <t xml:space="preserve">1. Click [++ Tạo mới] &gt; [Tải thư mục lên] &gt;[ZIP ファイルを選択]
2. Chọn ZIP chứa dưới 10 cấp folder bên trong
3. Kiểm tra hiển thị</t>
  </si>
  <si>
    <t>TC_125</t>
  </si>
  <si>
    <t xml:space="preserve">Upload ZIP chứa dưới 5GB bên trong bằng button [ZIP ファイルを選択]</t>
  </si>
  <si>
    <t xml:space="preserve">1. Click [++ Tạo mới] &gt; [Tải thư mục lên] &gt;[ZIP ファイルを選択]
2. Chọn ZIP chứa dưới 5GB bên trong
3. Kiểm tra hiển thị</t>
  </si>
  <si>
    <t>TC_126</t>
  </si>
  <si>
    <t xml:space="preserve">Upload không giới hạn số lượng ZIP bằng button [ZIP ファイルを選択]</t>
  </si>
  <si>
    <t xml:space="preserve">1. Click [++ Tạo mới] &gt; [Tải thư mục lên] &gt;[ZIP ファイルを選択]
2. Chọn ZIP chứa dưới 5GB, file hợp lệ, folder dưới 10 cấp bên trong
3. Kiểm tra hiển thị</t>
  </si>
  <si>
    <t>TC_127</t>
  </si>
  <si>
    <t xml:space="preserve">Upload với ZIP không có file nào bên trong bằng button [ZIP ファイルを選択]</t>
  </si>
  <si>
    <t xml:space="preserve">1. Click [++ Tạo mới] &gt; [Tải thư mục lên] &gt;[ZIP ファイルを選択]
2. Chọn ZIP rỗng
3. Kiểm tra hiển thị</t>
  </si>
  <si>
    <t xml:space="preserve">Upload File</t>
  </si>
  <si>
    <t xml:space="preserve">Kéo thả File bên ngoài popup</t>
  </si>
  <si>
    <t>TC_128</t>
  </si>
  <si>
    <t xml:space="preserve">Kéo thả File không hợp lệ vào màn hình document</t>
  </si>
  <si>
    <t xml:space="preserve">1. Trên màn hình document 
2. Kéo file ko hợp lệ dưới đây:
".exe", ".bat", ".com", ".cmd", ".ps1", ".ps2", ".vbs", ".vbe",
".js",  ".jse", ".wsf", ".msi", ".jar", ".scr", ".pif", ".reg",
".sh",  ".app", ".dmg", ".lnk", ".hta", ".cpl", ".msp", ".gadget",
3. Kiểm tra hiển thị</t>
  </si>
  <si>
    <t>TC_129</t>
  </si>
  <si>
    <t xml:space="preserve">Kéo thả File hơn 5GB bên trong vào màn hình document</t>
  </si>
  <si>
    <t xml:space="preserve">1. Trên màn hình document 
2. Kéo file hơn 5GB bên trong
3. Kiểm tra hiển thị</t>
  </si>
  <si>
    <t>TC_130</t>
  </si>
  <si>
    <t xml:space="preserve">Kéo thả File hợp lệ vào màn hình document</t>
  </si>
  <si>
    <t xml:space="preserve">1. Trên màn hình document 
2. Kéo file hợp lệ
3. Kiểm tra hiển thị</t>
  </si>
  <si>
    <t>TC_131</t>
  </si>
  <si>
    <t xml:space="preserve">Kéo thả File dưới 5GB bên trong vào màn hình document</t>
  </si>
  <si>
    <t xml:space="preserve">1. Trên màn hình document 
2. Kéo dưới 5GB bên trong
3. Kiểm tra hiển thị</t>
  </si>
  <si>
    <t>TC_132</t>
  </si>
  <si>
    <t xml:space="preserve">1. Trên màn hình document 
2. Kéo dưới 5GB, file hợp lệ
3. Kiểm tra hiển thị</t>
  </si>
  <si>
    <t xml:space="preserve">Kéo thả File trong popup</t>
  </si>
  <si>
    <t>TC_133</t>
  </si>
  <si>
    <t xml:space="preserve">Kéo thả file hợp lệ vào màn hình popup upload</t>
  </si>
  <si>
    <t xml:space="preserve">1. Click [++ Tạo mới] &gt; [Tải thư mục lên]
2. Kéo file hợp lệ vào trong popup
3. Kiểm tra hiển thị</t>
  </si>
  <si>
    <t xml:space="preserve">- Hiển thị thông bá́o lỗi:
 フォルダのアップロードに失敗しました。</t>
  </si>
  <si>
    <t>フォルダのアップロードに失敗しました。</t>
  </si>
  <si>
    <t xml:space="preserve">Upload bằng button [Tải tệp lên]</t>
  </si>
  <si>
    <t>TC_134</t>
  </si>
  <si>
    <t xml:space="preserve">Upload file không hợp lệ bằng button [Tải tệp lên]</t>
  </si>
  <si>
    <t xml:space="preserve">1. Click [++ Tạo mới] &gt; [Tải tệp lên]
2. Chọn file ko hợp lệ dưới đây:
".exe", ".bat", ".com", ".cmd", ".ps1", ".ps2", ".vbs", ".vbe",
".js",  ".jse", ".wsf", ".msi", ".jar", ".scr", ".pif", ".reg",
".sh",  ".app", ".dmg", ".lnk", ".hta", ".cpl", ".msp", ".gadget",
3. Kiểm tra hiển thị</t>
  </si>
  <si>
    <t>TC_135</t>
  </si>
  <si>
    <t xml:space="preserve">Upload file hơn 5GB bên trong bằng button [Tải tệp lên]</t>
  </si>
  <si>
    <t xml:space="preserve">1. Click [++ Tạo mới]&gt;[Tải tệp lên]
2. Chọn file hơn 5GB bên trong
3. Kiểm tra hiển thị</t>
  </si>
  <si>
    <t>TC_136</t>
  </si>
  <si>
    <t xml:space="preserve">Upload file hợp lệ bằng button [Tải tệp lên]</t>
  </si>
  <si>
    <t xml:space="preserve">1. Click [++ Tạo mới]&gt;[Tải tệp lên]
2. Chọn file hợp lệ
3. Kiểm tra hiển thị</t>
  </si>
  <si>
    <t>TC_137</t>
  </si>
  <si>
    <t xml:space="preserve">Upload file dưới 5GB bên trong bằng button [Tải tệp lên]</t>
  </si>
  <si>
    <t xml:space="preserve">1. Click [++ Tạo mới]&gt;[Tải tệp lên]
2. Chọn file dưới 5GB bên trong
3. Kiểm tra hiển thị</t>
  </si>
  <si>
    <t>TC_138</t>
  </si>
  <si>
    <t xml:space="preserve">Upload không giới hạn số lượng file bằng button [Tải tệp lên]</t>
  </si>
  <si>
    <t xml:space="preserve">1. Click [++ Tạo mới]&gt;[Tải tệp lên]
2. Chọn file dưới 5GB, file hợp lệ
3. Kiểm tra hiển thị</t>
  </si>
  <si>
    <t xml:space="preserve">Đổi tên folder</t>
  </si>
  <si>
    <t>TC_139</t>
  </si>
  <si>
    <t xml:space="preserve">Kiểm tra hiển thị khi sửa folder</t>
  </si>
  <si>
    <t xml:space="preserve">1. Tạo file trên role ES/PM
2. Sửa tên file
3. Kiểm tra hiển thị trên role PM</t>
  </si>
  <si>
    <t xml:space="preserve">- Hiển thị đúng tên file sau khi sửa trên danh sách</t>
  </si>
  <si>
    <t xml:space="preserve">Đổi tên file</t>
  </si>
  <si>
    <t>TC_140</t>
  </si>
  <si>
    <t xml:space="preserve">Kiểm tra hiển thị khi sửa file</t>
  </si>
  <si>
    <t xml:space="preserve">Chuyển folder</t>
  </si>
  <si>
    <t>TC_141</t>
  </si>
  <si>
    <t xml:space="preserve">Kiểm tra hiển thị khi chuyển folder</t>
  </si>
  <si>
    <t xml:space="preserve">1. Tạo file trên role ES/PM
2. Chuyển folder
3. Kiểm tra hiển thị trên role PM</t>
  </si>
  <si>
    <t xml:space="preserve">- Hiển thị đúng vị trí mới của folder trên danh sách</t>
  </si>
  <si>
    <t xml:space="preserve">Xóa file/folder</t>
  </si>
  <si>
    <t>TC_142</t>
  </si>
  <si>
    <t xml:space="preserve">Kiểm tra hiển thị khi xóa file ở role ES</t>
  </si>
  <si>
    <t xml:space="preserve">1. Xóa file trên role ES
2. Reload/Refresh lại trang
3. Kiểm tra hiển thị trên role PM</t>
  </si>
  <si>
    <t xml:space="preserve">- File đã xóa đã mất đi trên danh sách</t>
  </si>
  <si>
    <t xml:space="preserve">Thông tin dữ liệu</t>
  </si>
  <si>
    <t xml:space="preserve">Tạo folder trùng tên</t>
  </si>
  <si>
    <t>TC_143</t>
  </si>
  <si>
    <t xml:space="preserve">Kiểm tra tạ̣o folder trùng tên</t>
  </si>
  <si>
    <t xml:space="preserve">1. Tạo 1 folder có tên A
2. Tiếp tục tạo folder A
3. Kiểm tra hiển thị</t>
  </si>
  <si>
    <t xml:space="preserve">- Hiển thị thêm Số thứ tự</t>
  </si>
  <si>
    <t xml:space="preserve">Chỉnh sửa file/folder trùng tên</t>
  </si>
  <si>
    <t>TC_144</t>
  </si>
  <si>
    <t xml:space="preserve">Kiểm tra chỉnh sửa tên file/folder trùng tên</t>
  </si>
  <si>
    <t xml:space="preserve">1. Upload/Tạo 1 file/folder có tên A
2. Chỉnh sửa tên file/folder có tên A
3. Kiểm tra hiển thị</t>
  </si>
  <si>
    <t xml:space="preserve">- Không cho phép tạo folder trùng tên và báo lỗi</t>
  </si>
  <si>
    <t xml:space="preserve">Upload file/folder trùng tên</t>
  </si>
  <si>
    <t>TC_145</t>
  </si>
  <si>
    <t xml:space="preserve">Kiểm tra Upload file/folder trùng tên</t>
  </si>
  <si>
    <t xml:space="preserve">1. Upload file/folder trùng tên trên hệ thống
2. Kiểm tra hiển thị</t>
  </si>
  <si>
    <t xml:space="preserve">Di chuyển file/folder trùng tên</t>
  </si>
  <si>
    <t>TC_146</t>
  </si>
  <si>
    <t xml:space="preserve">Kiểm tra Di chuyển file/folder trùng tên</t>
  </si>
  <si>
    <t xml:space="preserve">1. Di chuyển file/folder trùng tên
2. Kiểm tra hiển thị</t>
  </si>
  <si>
    <t xml:space="preserve">Upload file/folder/ZIP quá 255 ký tự</t>
  </si>
  <si>
    <t>TC_147</t>
  </si>
  <si>
    <t xml:space="preserve">Kiểm tra Upload file/folder/ZIP quá 255 ký tự</t>
  </si>
  <si>
    <t xml:space="preserve">1. Upload file/folder/ZIP quá 255 ký tự
2. Kiểm tra hiển thị</t>
  </si>
  <si>
    <t xml:space="preserve">- Hiển thị thông báo lỗi</t>
  </si>
  <si>
    <t>TC_148</t>
  </si>
  <si>
    <t xml:space="preserve">Kiểm tra hiển thị thông tin tên file của dữ liệu</t>
  </si>
  <si>
    <t xml:space="preserve">1. Tạo file mới thành công 
2. Kiểm tra thông tin: Tên file</t>
  </si>
  <si>
    <t xml:space="preserve">- Hiển thị đúng tên file và đuôi file</t>
  </si>
  <si>
    <t>TC_149</t>
  </si>
  <si>
    <t xml:space="preserve">Kiểm tra hiển thị thông tin người tạo của dữ liệu</t>
  </si>
  <si>
    <t xml:space="preserve">1. Tạo file mới thành công của role ES
2. Kiểm tra thông tin: Người tạo</t>
  </si>
  <si>
    <t xml:space="preserve">- Hiển thị đúng tên của người đã tạo</t>
  </si>
  <si>
    <t>TC_150</t>
  </si>
  <si>
    <t xml:space="preserve">Kiểm tra hiển thị thông tin thời gian tạo của dữ liệu</t>
  </si>
  <si>
    <t xml:space="preserve">1. Tạo file mới thành công
2. Kiểm tra thông tin: Thời gian tạo</t>
  </si>
  <si>
    <t xml:space="preserve">- Hiển thị đúng thời gian đã tạo
YYYY-MM-DD HH:MM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</si>
</sst>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d\-mmm\-yyyy"/>
    <numFmt numFmtId="165" formatCode="0.0"/>
    <numFmt numFmtId="166" formatCode="0.0%"/>
    <numFmt numFmtId="167" formatCode="dd\-mmm\-yyyy"/>
  </numFmts>
  <fonts count="23">
    <font>
      <sz val="10.000000"/>
      <name val="Arial"/>
      <scheme val="minor"/>
    </font>
    <font>
      <b/>
      <sz val="28.000000"/>
      <color indexed="2"/>
      <name val="Tahoma"/>
    </font>
    <font>
      <b/>
      <sz val="20.000000"/>
      <name val="Tahoma"/>
    </font>
    <font>
      <b/>
      <sz val="10.000000"/>
      <name val="Tahoma"/>
    </font>
    <font>
      <i/>
      <sz val="10.000000"/>
      <name val="Tahoma"/>
    </font>
    <font>
      <sz val="10.000000"/>
      <name val="Tahoma"/>
    </font>
    <font>
      <sz val="11.000000"/>
      <color theme="1"/>
      <name val="Calibri"/>
    </font>
    <font>
      <i/>
      <sz val="10.000000"/>
      <color indexed="17"/>
      <name val="Tahoma"/>
    </font>
    <font>
      <sz val="10.000000"/>
      <color theme="1"/>
      <name val="Arial"/>
    </font>
    <font>
      <sz val="10.000000"/>
      <color indexed="65"/>
      <name val="Tahoma"/>
    </font>
    <font>
      <sz val="11.000000"/>
      <color rgb="FF1155CC"/>
      <name val="Arial"/>
    </font>
    <font>
      <b/>
      <sz val="10.000000"/>
      <color theme="1"/>
      <name val="Arial"/>
    </font>
    <font>
      <sz val="11.000000"/>
      <name val="Times New Roman"/>
    </font>
    <font>
      <sz val="11.000000"/>
      <color theme="1"/>
      <name val="Times New Roman"/>
    </font>
    <font>
      <b/>
      <sz val="11.000000"/>
      <color indexed="65"/>
      <name val="Times New Roman"/>
    </font>
    <font>
      <b/>
      <sz val="11.000000"/>
      <color theme="1"/>
      <name val="Times New Roman"/>
    </font>
    <font>
      <sz val="10.000000"/>
      <name val="Times New Roman"/>
    </font>
    <font>
      <b/>
      <sz val="10.000000"/>
      <color indexed="65"/>
      <name val="Times New Roman"/>
    </font>
    <font>
      <sz val="10.000000"/>
      <color rgb="FF363A45"/>
      <name val="Times New Roman"/>
    </font>
    <font>
      <sz val="10.000000"/>
      <color theme="1"/>
      <name val="Times New Roman"/>
    </font>
    <font>
      <sz val="10.000000"/>
      <color indexed="65"/>
      <name val="Times New Roman"/>
    </font>
    <font>
      <sz val="10.000000"/>
      <name val="Arial"/>
    </font>
    <font>
      <sz val="9.000000"/>
      <color rgb="FFB8362B"/>
      <name val="Arial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indexed="40"/>
        <bgColor indexed="40"/>
      </patternFill>
    </fill>
    <fill>
      <patternFill patternType="solid">
        <fgColor indexed="17"/>
        <bgColor indexed="17"/>
      </patternFill>
    </fill>
    <fill>
      <patternFill patternType="solid">
        <fgColor rgb="FFFEE1CC"/>
        <bgColor rgb="FFFEE1CC"/>
      </patternFill>
    </fill>
    <fill>
      <patternFill patternType="solid">
        <fgColor indexed="65"/>
      </patternFill>
    </fill>
    <fill>
      <patternFill patternType="solid">
        <fgColor rgb="FFD2F1DA"/>
        <bgColor rgb="FFD2F1DA"/>
      </patternFill>
    </fill>
    <fill>
      <patternFill patternType="solid">
        <fgColor rgb="FFFBE9E7"/>
      </patternFill>
    </fill>
  </fills>
  <borders count="3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thin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thin">
        <color rgb="FFCCCCCC"/>
      </left>
      <right style="none"/>
      <top style="thin">
        <color rgb="FFCCCCCC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none"/>
      <bottom style="thin">
        <color auto="1"/>
      </bottom>
      <diagonal style="none"/>
    </border>
    <border>
      <left style="hair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 style="none"/>
    </border>
    <border>
      <left style="thin">
        <color auto="1"/>
      </left>
      <right style="thin">
        <color auto="1"/>
      </right>
      <top style="none"/>
      <bottom style="thin">
        <color rgb="FFC9C5BE"/>
      </bottom>
      <diagonal style="none"/>
    </border>
    <border>
      <left style="thin">
        <color rgb="FFC9C5BE"/>
      </left>
      <right style="thin">
        <color rgb="FFC9C5BE"/>
      </right>
      <top style="thin">
        <color rgb="FFC9C5BE"/>
      </top>
      <bottom style="thin">
        <color rgb="FFC9C5BE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0">
    <xf fontId="0" fillId="0" borderId="0" numFmtId="0" xfId="0" quotePrefix="0" pivotButton="0"/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/>
    </xf>
    <xf fontId="2" fillId="0" borderId="1" numFmtId="0" xfId="0" applyFont="1" applyBorder="1" applyAlignment="1" quotePrefix="0" pivotButton="0">
      <alignment horizontal="center" vertical="center"/>
    </xf>
    <xf fontId="0" fillId="0" borderId="2" numFmtId="0" xfId="0" applyBorder="1" quotePrefix="0" pivotButton="0"/>
    <xf fontId="0" fillId="0" borderId="3" numFmtId="0" xfId="0" applyBorder="1" quotePrefix="0" pivotButton="0"/>
    <xf fontId="3" fillId="0" borderId="1" numFmtId="0" xfId="0" applyFont="1" applyBorder="1" quotePrefix="0" pivotButton="0"/>
    <xf fontId="4" fillId="0" borderId="1" numFmtId="0" xfId="0" applyFont="1" applyBorder="1" quotePrefix="0" pivotButton="0"/>
    <xf fontId="5" fillId="0" borderId="1" numFmtId="0" xfId="0" applyFont="1" applyBorder="1" quotePrefix="0" pivotButton="0"/>
    <xf fontId="6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/>
    </xf>
    <xf fontId="0" fillId="0" borderId="4" numFmtId="0" xfId="0" applyBorder="1" quotePrefix="0" pivotButton="0"/>
    <xf fontId="0" fillId="0" borderId="5" numFmtId="0" xfId="0" applyBorder="1" quotePrefix="0" pivotButton="0"/>
    <xf fontId="4" fillId="0" borderId="1" numFmtId="164" xfId="0" applyNumberFormat="1" applyFont="1" applyBorder="1" quotePrefix="0" pivotButton="0"/>
    <xf fontId="0" fillId="0" borderId="6" numFmtId="0" xfId="0" applyBorder="1" quotePrefix="0" pivotButton="0"/>
    <xf fontId="0" fillId="0" borderId="7" numFmtId="0" xfId="0" applyBorder="1" quotePrefix="0" pivotButton="0"/>
    <xf fontId="0" fillId="0" borderId="8" numFmtId="0" xfId="0" applyBorder="1" quotePrefix="0" pivotButton="0"/>
    <xf fontId="0" fillId="0" borderId="9" numFmtId="0" xfId="0" applyBorder="1" quotePrefix="0" pivotButton="0"/>
    <xf fontId="7" fillId="0" borderId="1" numFmtId="0" xfId="0" applyFont="1" applyBorder="1" quotePrefix="0" pivotButton="0"/>
    <xf fontId="3" fillId="0" borderId="1" numFmtId="0" xfId="0" applyFont="1" applyBorder="1" applyAlignment="1" quotePrefix="0" pivotButton="0">
      <alignment wrapText="1"/>
    </xf>
    <xf fontId="5" fillId="0" borderId="1" numFmtId="0" xfId="0" applyFont="1" applyBorder="1" applyAlignment="1" quotePrefix="0" pivotButton="0">
      <alignment wrapText="1"/>
    </xf>
    <xf fontId="8" fillId="0" borderId="10" numFmtId="0" xfId="0" applyFont="1" applyBorder="1" quotePrefix="0" pivotButton="0"/>
    <xf fontId="9" fillId="2" borderId="1" numFmtId="0" xfId="0" applyFont="1" applyFill="1" applyBorder="1" applyAlignment="1" quotePrefix="0" pivotButton="0">
      <alignment horizontal="center" vertical="center"/>
    </xf>
    <xf fontId="8" fillId="0" borderId="11" numFmtId="0" xfId="0" applyFont="1" applyBorder="1" quotePrefix="0" pivotButton="0"/>
    <xf fontId="4" fillId="0" borderId="12" numFmtId="164" xfId="0" applyNumberFormat="1" applyFont="1" applyBorder="1" applyAlignment="1" quotePrefix="0" pivotButton="0">
      <alignment vertical="top" wrapText="1"/>
    </xf>
    <xf fontId="5" fillId="0" borderId="12" numFmtId="165" xfId="0" applyNumberFormat="1" applyFont="1" applyBorder="1" applyAlignment="1" quotePrefix="0" pivotButton="0">
      <alignment horizontal="right" vertical="top"/>
    </xf>
    <xf fontId="5" fillId="0" borderId="12" numFmtId="0" xfId="0" applyFont="1" applyBorder="1" applyAlignment="1" quotePrefix="0" pivotButton="0">
      <alignment vertical="top"/>
    </xf>
    <xf fontId="6" fillId="0" borderId="12" numFmtId="0" xfId="0" applyFont="1" applyBorder="1" applyAlignment="1" quotePrefix="0" pivotButton="0">
      <alignment horizontal="center" vertical="top"/>
    </xf>
    <xf fontId="10" fillId="0" borderId="13" numFmtId="0" xfId="0" applyFont="1" applyBorder="1" applyAlignment="1" quotePrefix="0" pivotButton="0">
      <alignment vertical="center" wrapText="1"/>
    </xf>
    <xf fontId="6" fillId="0" borderId="14" numFmtId="0" xfId="0" applyFont="1" applyBorder="1" applyAlignment="1" quotePrefix="0" pivotButton="0">
      <alignment vertical="top"/>
    </xf>
    <xf fontId="6" fillId="0" borderId="15" numFmtId="0" xfId="0" applyFont="1" applyBorder="1" applyAlignment="1" quotePrefix="0" pivotButton="0">
      <alignment vertical="top" wrapText="1"/>
    </xf>
    <xf fontId="6" fillId="0" borderId="15" numFmtId="0" xfId="0" applyFont="1" applyBorder="1" applyAlignment="1" quotePrefix="0" pivotButton="0">
      <alignment vertical="top"/>
    </xf>
    <xf fontId="1" fillId="0" borderId="0" numFmtId="0" xfId="0" applyFont="1" applyAlignment="1" quotePrefix="0" pivotButton="0">
      <alignment horizontal="center"/>
    </xf>
    <xf fontId="6" fillId="0" borderId="14" numFmtId="0" xfId="0" applyFont="1" applyBorder="1" quotePrefix="0" pivotButton="0"/>
    <xf fontId="6" fillId="0" borderId="15" numFmtId="0" xfId="0" applyFont="1" applyBorder="1" quotePrefix="0" pivotButton="0"/>
    <xf fontId="6" fillId="0" borderId="6" numFmtId="0" xfId="0" applyFont="1" applyBorder="1" quotePrefix="0" pivotButton="0"/>
    <xf fontId="11" fillId="0" borderId="0" numFmtId="0" xfId="0" applyFont="1" quotePrefix="0" pivotButton="0"/>
    <xf fontId="6" fillId="0" borderId="0" numFmtId="0" xfId="0" applyFont="1" quotePrefix="0" pivotButton="0"/>
    <xf fontId="8" fillId="0" borderId="0" numFmtId="0" xfId="0" applyFont="1" quotePrefix="0" pivotButton="0"/>
    <xf fontId="12" fillId="0" borderId="0" numFmtId="0" xfId="0" applyFont="1" quotePrefix="0" pivotButton="0"/>
    <xf fontId="13" fillId="0" borderId="0" numFmtId="0" xfId="0" applyFont="1" quotePrefix="0" pivotButton="0"/>
    <xf fontId="13" fillId="0" borderId="16" numFmtId="0" xfId="0" applyFont="1" applyBorder="1" applyAlignment="1" quotePrefix="0" pivotButton="0">
      <alignment vertical="center"/>
    </xf>
    <xf fontId="14" fillId="3" borderId="9" numFmtId="0" xfId="0" applyFont="1" applyFill="1" applyBorder="1" applyAlignment="1" quotePrefix="0" pivotButton="0">
      <alignment horizontal="center" vertical="center"/>
    </xf>
    <xf fontId="14" fillId="4" borderId="1" numFmtId="0" xfId="0" applyFont="1" applyFill="1" applyBorder="1" applyAlignment="1" quotePrefix="0" pivotButton="0">
      <alignment horizontal="center" vertical="center"/>
    </xf>
    <xf fontId="13" fillId="0" borderId="0" numFmtId="0" xfId="0" applyFont="1" applyAlignment="1" quotePrefix="0" pivotButton="0">
      <alignment vertical="center"/>
    </xf>
    <xf fontId="14" fillId="3" borderId="1" numFmtId="0" xfId="0" applyFont="1" applyFill="1" applyBorder="1" applyAlignment="1" quotePrefix="0" pivotButton="0">
      <alignment vertical="center"/>
    </xf>
    <xf fontId="14" fillId="3" borderId="1" numFmtId="0" xfId="0" applyFont="1" applyFill="1" applyBorder="1" applyAlignment="1" quotePrefix="0" pivotButton="0">
      <alignment horizontal="center" vertical="center"/>
    </xf>
    <xf fontId="15" fillId="5" borderId="1" numFmtId="0" xfId="0" applyFont="1" applyFill="1" applyBorder="1" applyAlignment="1" quotePrefix="0" pivotButton="0">
      <alignment horizontal="center" vertical="center" wrapText="1"/>
    </xf>
    <xf fontId="15" fillId="5" borderId="1" numFmtId="0" xfId="0" applyFont="1" applyFill="1" applyBorder="1" applyAlignment="1" quotePrefix="0" pivotButton="0">
      <alignment horizontal="center" vertical="center"/>
    </xf>
    <xf fontId="14" fillId="3" borderId="1" numFmtId="0" xfId="0" applyFont="1" applyFill="1" applyBorder="1" applyAlignment="1" quotePrefix="0" pivotButton="0">
      <alignment horizontal="center" vertical="center" wrapText="1"/>
    </xf>
    <xf fontId="14" fillId="4" borderId="1" numFmtId="0" xfId="0" applyFont="1" applyFill="1" applyBorder="1" applyAlignment="1" quotePrefix="0" pivotButton="0">
      <alignment horizontal="center" vertical="center" wrapText="1"/>
    </xf>
    <xf fontId="13" fillId="0" borderId="1" numFmtId="0" xfId="0" applyFont="1" applyBorder="1" applyAlignment="1" quotePrefix="0" pivotButton="0">
      <alignment horizontal="center" vertical="top"/>
    </xf>
    <xf fontId="13" fillId="0" borderId="1" numFmtId="0" xfId="0" applyFont="1" applyBorder="1" applyAlignment="1" quotePrefix="0" pivotButton="0">
      <alignment vertical="center" wrapText="1"/>
    </xf>
    <xf fontId="13" fillId="0" borderId="1" numFmtId="9" xfId="0" applyNumberFormat="1" applyFont="1" applyBorder="1" applyAlignment="1" quotePrefix="0" pivotButton="0">
      <alignment horizontal="center" vertical="center"/>
    </xf>
    <xf fontId="13" fillId="0" borderId="1" numFmtId="3" xfId="0" applyNumberFormat="1" applyFont="1" applyBorder="1" applyAlignment="1" quotePrefix="0" pivotButton="0">
      <alignment horizontal="center" vertical="center"/>
    </xf>
    <xf fontId="0" fillId="0" borderId="17" numFmtId="0" xfId="0" applyBorder="1" quotePrefix="0" pivotButton="0"/>
    <xf fontId="13" fillId="0" borderId="18" numFmtId="0" xfId="0" applyFont="1" applyBorder="1" applyAlignment="1" quotePrefix="0" pivotButton="0">
      <alignment vertical="center"/>
    </xf>
    <xf fontId="13" fillId="0" borderId="1" numFmtId="0" xfId="0" applyFont="1" applyBorder="1" applyAlignment="1" quotePrefix="0" pivotButton="0">
      <alignment vertical="center"/>
    </xf>
    <xf fontId="13" fillId="6" borderId="1" numFmtId="0" xfId="0" applyFont="1" applyFill="1" applyBorder="1" applyAlignment="1" quotePrefix="0" pivotButton="0">
      <alignment vertical="center" wrapText="1"/>
    </xf>
    <xf fontId="13" fillId="0" borderId="1" numFmtId="0" xfId="0" applyFont="1" applyBorder="1" applyAlignment="1" quotePrefix="0" pivotButton="0">
      <alignment horizontal="left"/>
    </xf>
    <xf fontId="15" fillId="5" borderId="1" numFmtId="0" xfId="0" applyFont="1" applyFill="1" applyBorder="1" quotePrefix="0" pivotButton="0"/>
    <xf fontId="15" fillId="5" borderId="1" numFmtId="166" xfId="0" applyNumberFormat="1" applyFont="1" applyFill="1" applyBorder="1" applyAlignment="1" quotePrefix="0" pivotButton="0">
      <alignment horizontal="center" vertical="center"/>
    </xf>
    <xf fontId="15" fillId="5" borderId="1" numFmtId="3" xfId="0" applyNumberFormat="1" applyFont="1" applyFill="1" applyBorder="1" applyAlignment="1" quotePrefix="0" pivotButton="0">
      <alignment horizontal="center" vertical="center"/>
    </xf>
    <xf fontId="13" fillId="0" borderId="18" numFmtId="0" xfId="0" applyFont="1" applyBorder="1" applyAlignment="1" quotePrefix="0" pivotButton="0">
      <alignment vertical="center" wrapText="1"/>
    </xf>
    <xf fontId="15" fillId="7" borderId="1" numFmtId="0" xfId="0" applyFont="1" applyFill="1" applyBorder="1" applyAlignment="1" quotePrefix="0" pivotButton="0">
      <alignment vertical="center"/>
    </xf>
    <xf fontId="15" fillId="7" borderId="1" numFmtId="0" xfId="0" applyFont="1" applyFill="1" applyBorder="1" quotePrefix="0" pivotButton="0"/>
    <xf fontId="15" fillId="7" borderId="1" numFmtId="166" xfId="0" applyNumberFormat="1" applyFont="1" applyFill="1" applyBorder="1" applyAlignment="1" quotePrefix="0" pivotButton="0">
      <alignment horizontal="center" vertical="center"/>
    </xf>
    <xf fontId="15" fillId="7" borderId="1" numFmtId="3" xfId="0" applyNumberFormat="1" applyFont="1" applyFill="1" applyBorder="1" applyAlignment="1" quotePrefix="0" pivotButton="0">
      <alignment horizontal="center" vertical="center"/>
    </xf>
    <xf fontId="13" fillId="0" borderId="0" numFmtId="0" xfId="0" applyFont="1" applyAlignment="1" quotePrefix="0" pivotButton="0">
      <alignment horizontal="left" vertical="center"/>
    </xf>
    <xf fontId="16" fillId="0" borderId="0" numFmtId="0" xfId="0" applyFont="1" applyAlignment="1" quotePrefix="0" pivotButton="0">
      <alignment vertical="center"/>
    </xf>
    <xf fontId="17" fillId="2" borderId="1" numFmtId="0" xfId="0" applyFont="1" applyFill="1" applyBorder="1" applyAlignment="1" quotePrefix="0" pivotButton="0">
      <alignment vertical="center"/>
    </xf>
    <xf fontId="18" fillId="0" borderId="19" numFmtId="0" xfId="0" applyFont="1" applyBorder="1" applyAlignment="1" quotePrefix="0" pivotButton="0">
      <alignment horizontal="left" vertical="center"/>
    </xf>
    <xf fontId="19" fillId="0" borderId="20" numFmtId="0" xfId="0" applyFont="1" applyBorder="1" applyAlignment="1" quotePrefix="0" pivotButton="0">
      <alignment vertical="center"/>
    </xf>
    <xf fontId="19" fillId="0" borderId="0" numFmtId="0" xfId="0" applyFont="1" applyAlignment="1" quotePrefix="0" pivotButton="0">
      <alignment vertical="center"/>
    </xf>
    <xf fontId="17" fillId="2" borderId="1" numFmtId="0" xfId="0" applyFont="1" applyFill="1" applyBorder="1" applyAlignment="1" quotePrefix="0" pivotButton="0">
      <alignment horizontal="center" vertical="center"/>
    </xf>
    <xf fontId="17" fillId="2" borderId="1" numFmtId="0" xfId="0" applyFont="1" applyFill="1" applyBorder="1" applyAlignment="1" quotePrefix="0" pivotButton="0">
      <alignment horizontal="left" vertical="center"/>
    </xf>
    <xf fontId="18" fillId="0" borderId="21" numFmtId="0" xfId="0" applyFont="1" applyBorder="1" applyAlignment="1" quotePrefix="0" pivotButton="0">
      <alignment horizontal="left" vertical="center"/>
    </xf>
    <xf fontId="19" fillId="0" borderId="22" numFmtId="0" xfId="0" applyFont="1" applyBorder="1" applyAlignment="1" quotePrefix="0" pivotButton="0">
      <alignment vertical="center"/>
    </xf>
    <xf fontId="20" fillId="2" borderId="1" numFmtId="0" xfId="0" applyFont="1" applyFill="1" applyBorder="1" applyAlignment="1" quotePrefix="0" pivotButton="0">
      <alignment horizontal="center" vertical="center"/>
    </xf>
    <xf fontId="20" fillId="2" borderId="1" numFmtId="3" xfId="0" applyNumberFormat="1" applyFont="1" applyFill="1" applyBorder="1" applyAlignment="1" quotePrefix="0" pivotButton="0">
      <alignment horizontal="center" vertical="center"/>
    </xf>
    <xf fontId="20" fillId="2" borderId="1" numFmtId="3" xfId="0" applyNumberFormat="1" applyFont="1" applyFill="1" applyBorder="1" applyAlignment="1" quotePrefix="0" pivotButton="0">
      <alignment horizontal="left" vertical="center"/>
    </xf>
    <xf fontId="13" fillId="0" borderId="0" numFmtId="9" xfId="0" applyNumberFormat="1" applyFont="1" applyAlignment="1" quotePrefix="0" pivotButton="0">
      <alignment vertical="center"/>
    </xf>
    <xf fontId="20" fillId="2" borderId="1" numFmtId="9" xfId="0" applyNumberFormat="1" applyFont="1" applyFill="1" applyBorder="1" applyAlignment="1" quotePrefix="0" pivotButton="0">
      <alignment horizontal="center" vertical="center"/>
    </xf>
    <xf fontId="20" fillId="2" borderId="1" numFmtId="9" xfId="0" applyNumberFormat="1" applyFont="1" applyFill="1" applyBorder="1" applyAlignment="1" quotePrefix="0" pivotButton="0">
      <alignment horizontal="left" vertical="center"/>
    </xf>
    <xf fontId="18" fillId="0" borderId="21" numFmtId="14" xfId="0" applyNumberFormat="1" applyFont="1" applyBorder="1" applyAlignment="1" quotePrefix="0" pivotButton="0">
      <alignment horizontal="left" vertical="center"/>
    </xf>
    <xf fontId="17" fillId="4" borderId="1" numFmtId="0" xfId="0" applyFont="1" applyFill="1" applyBorder="1" applyAlignment="1" quotePrefix="0" pivotButton="0">
      <alignment vertical="center"/>
    </xf>
    <xf fontId="20" fillId="4" borderId="1" numFmtId="0" xfId="0" applyFont="1" applyFill="1" applyBorder="1" applyAlignment="1" quotePrefix="0" pivotButton="0">
      <alignment horizontal="center" vertical="center"/>
    </xf>
    <xf fontId="20" fillId="4" borderId="1" numFmtId="3" xfId="0" applyNumberFormat="1" applyFont="1" applyFill="1" applyBorder="1" applyAlignment="1" quotePrefix="0" pivotButton="0">
      <alignment horizontal="center" vertical="center"/>
    </xf>
    <xf fontId="20" fillId="4" borderId="1" numFmtId="3" xfId="0" applyNumberFormat="1" applyFont="1" applyFill="1" applyBorder="1" applyAlignment="1" quotePrefix="0" pivotButton="0">
      <alignment horizontal="left" vertical="center"/>
    </xf>
    <xf fontId="19" fillId="0" borderId="23" numFmtId="0" xfId="0" applyFont="1" applyBorder="1" applyAlignment="1" quotePrefix="0" pivotButton="0">
      <alignment vertical="center"/>
    </xf>
    <xf fontId="19" fillId="0" borderId="24" numFmtId="0" xfId="0" applyFont="1" applyBorder="1" applyAlignment="1" quotePrefix="0" pivotButton="0">
      <alignment vertical="center"/>
    </xf>
    <xf fontId="20" fillId="4" borderId="1" numFmtId="9" xfId="0" applyNumberFormat="1" applyFont="1" applyFill="1" applyBorder="1" applyAlignment="1" quotePrefix="0" pivotButton="0">
      <alignment horizontal="center" vertical="center"/>
    </xf>
    <xf fontId="20" fillId="4" borderId="1" numFmtId="9" xfId="0" applyNumberFormat="1" applyFont="1" applyFill="1" applyBorder="1" applyAlignment="1" quotePrefix="0" pivotButton="0">
      <alignment horizontal="left" vertical="center"/>
    </xf>
    <xf fontId="13" fillId="0" borderId="0" numFmtId="0" xfId="0" applyFont="1" applyAlignment="1" quotePrefix="0" pivotButton="0">
      <alignment vertical="center" wrapText="1"/>
    </xf>
    <xf fontId="17" fillId="2" borderId="1" numFmtId="0" xfId="0" applyFont="1" applyFill="1" applyBorder="1" applyAlignment="1" quotePrefix="0" pivotButton="0">
      <alignment vertical="center" wrapText="1"/>
    </xf>
    <xf fontId="17" fillId="4" borderId="1" numFmtId="0" xfId="0" applyFont="1" applyFill="1" applyBorder="1" applyAlignment="1" quotePrefix="0" pivotButton="0">
      <alignment vertical="center" wrapText="1"/>
    </xf>
    <xf fontId="17" fillId="2" borderId="0" numFmtId="0" xfId="0" applyFont="1" applyFill="1" applyAlignment="1" quotePrefix="0" pivotButton="0">
      <alignment horizontal="center" vertical="center" wrapText="1"/>
    </xf>
    <xf fontId="17" fillId="2" borderId="1" numFmtId="0" xfId="0" applyFont="1" applyFill="1" applyBorder="1" applyAlignment="1" quotePrefix="0" pivotButton="0">
      <alignment horizontal="center" vertical="center" wrapText="1"/>
    </xf>
    <xf fontId="17" fillId="2" borderId="18" numFmtId="0" xfId="0" applyFont="1" applyFill="1" applyBorder="1" applyAlignment="1" quotePrefix="0" pivotButton="0">
      <alignment horizontal="center" vertical="center" wrapText="1"/>
    </xf>
    <xf fontId="17" fillId="2" borderId="18" numFmtId="0" xfId="0" applyFont="1" applyFill="1" applyBorder="1" applyAlignment="1" quotePrefix="0" pivotButton="0">
      <alignment horizontal="left" vertical="center" wrapText="1"/>
    </xf>
    <xf fontId="17" fillId="4" borderId="17" numFmtId="0" xfId="0" applyFont="1" applyFill="1" applyBorder="1" applyAlignment="1" quotePrefix="0" pivotButton="0">
      <alignment horizontal="center" vertical="center" wrapText="1"/>
    </xf>
    <xf fontId="17" fillId="2" borderId="25" numFmtId="0" xfId="0" applyFont="1" applyFill="1" applyBorder="1" applyAlignment="1" quotePrefix="0" pivotButton="0">
      <alignment horizontal="center" vertical="center" wrapText="1"/>
    </xf>
    <xf fontId="18" fillId="0" borderId="26" numFmtId="0" xfId="0" applyFont="1" applyBorder="1" applyAlignment="1" quotePrefix="0" pivotButton="0">
      <alignment wrapText="1"/>
    </xf>
    <xf fontId="18" fillId="0" borderId="17" numFmtId="0" xfId="0" applyFont="1" applyBorder="1" applyAlignment="1" quotePrefix="0" pivotButton="0">
      <alignment wrapText="1"/>
    </xf>
    <xf fontId="21" fillId="0" borderId="1" numFmtId="0" xfId="0" applyFont="1" applyBorder="1" applyAlignment="1" quotePrefix="0" pivotButton="0">
      <alignment horizontal="left" vertical="center" wrapText="1"/>
    </xf>
    <xf fontId="21" fillId="0" borderId="1" numFmtId="0" xfId="0" applyFont="1" applyBorder="1" applyAlignment="1" quotePrefix="0" pivotButton="0">
      <alignment horizontal="center" vertical="center" wrapText="1"/>
    </xf>
    <xf fontId="21" fillId="0" borderId="1" numFmtId="0" xfId="0" applyFont="1" applyBorder="1" applyAlignment="1" quotePrefix="0" pivotButton="0">
      <alignment vertical="center" wrapText="1"/>
    </xf>
    <xf fontId="18" fillId="0" borderId="1" numFmtId="167" xfId="0" applyNumberFormat="1" applyFont="1" applyBorder="1" applyAlignment="1" quotePrefix="0" pivotButton="0">
      <alignment horizontal="left" vertical="center" wrapText="1"/>
    </xf>
    <xf fontId="19" fillId="0" borderId="1" numFmtId="22" xfId="0" applyNumberFormat="1" applyFont="1" applyBorder="1" applyAlignment="1" quotePrefix="0" pivotButton="0">
      <alignment vertical="center" wrapText="1"/>
    </xf>
    <xf fontId="19" fillId="0" borderId="1" numFmtId="0" xfId="0" applyFont="1" applyBorder="1" applyAlignment="1" quotePrefix="0" pivotButton="0">
      <alignment vertical="center" wrapText="1"/>
    </xf>
    <xf fontId="22" fillId="0" borderId="27" numFmtId="0" xfId="0" applyFont="1" applyBorder="1" applyAlignment="1" quotePrefix="0" pivotButton="0">
      <alignment vertical="top" wrapText="1"/>
    </xf>
    <xf fontId="21" fillId="8" borderId="1" numFmtId="0" xfId="0" applyFont="1" applyFill="1" applyBorder="1" applyAlignment="1" quotePrefix="0" pivotButton="0">
      <alignment vertical="center" wrapText="1"/>
    </xf>
    <xf fontId="21" fillId="0" borderId="18" numFmtId="0" xfId="0" applyFont="1" applyBorder="1" applyAlignment="1" quotePrefix="0" pivotButton="0">
      <alignment horizontal="center" vertical="center" wrapText="1"/>
    </xf>
    <xf fontId="21" fillId="0" borderId="28" numFmtId="0" xfId="0" applyFont="1" applyBorder="1" applyAlignment="1" quotePrefix="0" pivotButton="0">
      <alignment vertical="center" wrapText="1"/>
    </xf>
    <xf fontId="21" fillId="0" borderId="29" numFmtId="0" xfId="0" applyFont="1" applyBorder="1" applyAlignment="1" quotePrefix="0" pivotButton="0">
      <alignment horizontal="center" vertical="center" wrapText="1"/>
    </xf>
    <xf fontId="21" fillId="0" borderId="3" numFmtId="0" xfId="0" applyFont="1" applyBorder="1" applyAlignment="1" quotePrefix="0" pivotButton="0">
      <alignment vertical="center" wrapText="1"/>
    </xf>
    <xf fontId="21" fillId="0" borderId="6" numFmtId="0" xfId="0" applyFont="1" applyBorder="1" applyAlignment="1" quotePrefix="0" pivotButton="0">
      <alignment horizontal="center" vertical="center" wrapText="1"/>
    </xf>
    <xf fontId="22" fillId="8" borderId="27" numFmtId="0" xfId="0" applyFont="1" applyFill="1" applyBorder="1" applyAlignment="1" quotePrefix="0" pivotButton="0">
      <alignment vertical="top" wrapText="1"/>
    </xf>
    <xf fontId="19" fillId="0" borderId="1" numFmtId="167" xfId="0" applyNumberFormat="1" applyFont="1" applyBorder="1" applyAlignment="1" quotePrefix="0" pivotButton="0">
      <alignment vertical="center" wrapText="1"/>
    </xf>
    <xf fontId="16" fillId="0" borderId="0" numFmtId="0" xfId="0" applyFont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962025</xdr:colOff>
      <xdr:row>0</xdr:row>
      <xdr:rowOff>200025</xdr:rowOff>
    </xdr:from>
    <xdr:ext cx="1057275" cy="609600"/>
    <xdr:pic>
      <xdr:nvPicPr>
        <xdr:cNvPr id="2" name="image1.png" title="Image"/>
        <xdr:cNvPicPr/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363A45"/>
      </a:dk1>
      <a:lt1>
        <a:srgbClr val="FFFFFF"/>
      </a:lt1>
      <a:dk2>
        <a:srgbClr val="363A45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B15" activeCellId="0" sqref="B15"/>
    </sheetView>
  </sheetViews>
  <sheetFormatPr baseColWidth="8" defaultColWidth="12.5703125" defaultRowHeight="15" customHeight="1"/>
  <cols>
    <col customWidth="1" min="1" max="1" style="1" width="9.5703125"/>
    <col customWidth="1" min="2" max="2" style="1" width="22.42578125"/>
    <col customWidth="1" min="3" max="3" style="1" width="9.5703125"/>
    <col customWidth="1" min="4" max="4" style="1" width="17.85546875"/>
    <col customWidth="1" min="5" max="5" style="1" width="9.5703125"/>
    <col customWidth="1" min="6" max="6" style="1" width="20.42578125"/>
    <col customWidth="1" min="7" max="7" style="1" width="23.140625"/>
    <col customWidth="1" min="8" max="26" style="1" width="9.5703125"/>
  </cols>
  <sheetData>
    <row r="1" ht="15.75" customHeight="1"/>
    <row r="2" ht="48" customHeight="1">
      <c r="B2" s="2"/>
      <c r="C2" s="3" t="s">
        <v>0</v>
      </c>
      <c r="D2" s="4"/>
      <c r="E2" s="4"/>
      <c r="F2" s="4"/>
      <c r="G2" s="5"/>
    </row>
    <row r="3" ht="15.75" customHeight="1">
      <c r="B3" s="6" t="s">
        <v>1</v>
      </c>
      <c r="C3" s="7" t="s">
        <v>2</v>
      </c>
      <c r="D3" s="4"/>
      <c r="E3" s="5"/>
      <c r="F3" s="6" t="s">
        <v>3</v>
      </c>
      <c r="G3" s="8"/>
    </row>
    <row r="4" ht="15.75" customHeight="1">
      <c r="B4" s="6" t="s">
        <v>4</v>
      </c>
      <c r="C4" s="7"/>
      <c r="D4" s="4"/>
      <c r="E4" s="5"/>
      <c r="F4" s="6" t="s">
        <v>5</v>
      </c>
      <c r="G4" s="9"/>
    </row>
    <row r="5" ht="15.75" customHeight="1">
      <c r="B5" s="10" t="s">
        <v>6</v>
      </c>
      <c r="C5" s="7"/>
      <c r="D5" s="11"/>
      <c r="E5" s="12"/>
      <c r="F5" s="6" t="s">
        <v>7</v>
      </c>
      <c r="G5" s="13"/>
    </row>
    <row r="6" ht="15.75" customHeight="1">
      <c r="B6" s="14"/>
      <c r="C6" s="15"/>
      <c r="D6" s="16"/>
      <c r="E6" s="17"/>
      <c r="F6" s="6" t="s">
        <v>8</v>
      </c>
      <c r="G6" s="9" t="s">
        <v>9</v>
      </c>
    </row>
    <row r="7" ht="15.75" customHeight="1">
      <c r="B7" s="6" t="s">
        <v>10</v>
      </c>
      <c r="C7" s="18"/>
      <c r="D7" s="4"/>
      <c r="E7" s="4"/>
      <c r="F7" s="4"/>
      <c r="G7" s="5"/>
    </row>
    <row r="8" ht="15.75" customHeight="1">
      <c r="B8" s="19" t="s">
        <v>11</v>
      </c>
      <c r="C8" s="20"/>
      <c r="D8" s="4"/>
      <c r="E8" s="4"/>
      <c r="F8" s="4"/>
      <c r="G8" s="5"/>
    </row>
    <row r="9" ht="15.75" customHeight="1">
      <c r="B9" s="6" t="s">
        <v>12</v>
      </c>
      <c r="C9" s="4"/>
      <c r="D9" s="4"/>
      <c r="E9" s="4"/>
      <c r="F9" s="4"/>
      <c r="G9" s="5"/>
    </row>
    <row r="10" ht="15.75" customHeight="1">
      <c r="A10" s="21"/>
      <c r="B10" s="22" t="s">
        <v>13</v>
      </c>
      <c r="C10" s="22" t="s">
        <v>8</v>
      </c>
      <c r="D10" s="22" t="s">
        <v>14</v>
      </c>
      <c r="E10" s="22" t="s">
        <v>15</v>
      </c>
      <c r="F10" s="22" t="s">
        <v>16</v>
      </c>
      <c r="G10" s="22" t="s">
        <v>17</v>
      </c>
      <c r="H10" s="23"/>
    </row>
    <row r="11" ht="15.75" customHeight="1">
      <c r="A11" s="21"/>
      <c r="B11" s="24"/>
      <c r="C11" s="25"/>
      <c r="D11" s="26"/>
      <c r="E11" s="27"/>
      <c r="F11" s="26"/>
      <c r="G11" s="28"/>
      <c r="H11" s="23"/>
    </row>
    <row r="12" ht="15.75" customHeight="1">
      <c r="A12" s="21"/>
      <c r="B12" s="29"/>
      <c r="C12" s="29"/>
      <c r="D12" s="29"/>
      <c r="E12" s="29"/>
      <c r="F12" s="29"/>
      <c r="G12" s="30"/>
      <c r="H12" s="23"/>
    </row>
    <row r="13" ht="15.75" customHeight="1">
      <c r="A13" s="21"/>
      <c r="B13" s="29"/>
      <c r="C13" s="29"/>
      <c r="D13" s="29"/>
      <c r="E13" s="29"/>
      <c r="F13" s="29"/>
      <c r="G13" s="31"/>
      <c r="H13" s="23"/>
      <c r="I13" s="32"/>
    </row>
    <row r="14" ht="15.75" customHeight="1">
      <c r="A14" s="21"/>
      <c r="B14" s="29"/>
      <c r="C14" s="29"/>
      <c r="D14" s="29"/>
      <c r="E14" s="29"/>
      <c r="F14" s="29"/>
      <c r="G14" s="31"/>
      <c r="H14" s="23"/>
    </row>
    <row r="15" ht="15.75" customHeight="1">
      <c r="A15" s="21"/>
      <c r="B15" s="29"/>
      <c r="C15" s="29"/>
      <c r="D15" s="29"/>
      <c r="E15" s="29"/>
      <c r="F15" s="29"/>
      <c r="G15" s="31"/>
      <c r="H15" s="23"/>
    </row>
    <row r="16" ht="15.75" customHeight="1">
      <c r="A16" s="21"/>
      <c r="B16" s="29"/>
      <c r="C16" s="29"/>
      <c r="D16" s="29"/>
      <c r="E16" s="29"/>
      <c r="F16" s="29"/>
      <c r="G16" s="31"/>
      <c r="H16" s="23"/>
    </row>
    <row r="17" ht="15.75" customHeight="1">
      <c r="A17" s="21"/>
      <c r="B17" s="29"/>
      <c r="C17" s="29"/>
      <c r="D17" s="29"/>
      <c r="E17" s="29"/>
      <c r="F17" s="29"/>
      <c r="G17" s="31"/>
      <c r="H17" s="23"/>
    </row>
    <row r="18" ht="15.75" customHeight="1">
      <c r="A18" s="21"/>
      <c r="B18" s="33"/>
      <c r="C18" s="33"/>
      <c r="D18" s="33"/>
      <c r="E18" s="33"/>
      <c r="F18" s="33"/>
      <c r="G18" s="34"/>
      <c r="H18" s="23"/>
    </row>
    <row r="19" ht="15.75" customHeight="1">
      <c r="A19" s="21"/>
      <c r="B19" s="33"/>
      <c r="C19" s="33"/>
      <c r="D19" s="33"/>
      <c r="E19" s="33"/>
      <c r="F19" s="33"/>
      <c r="G19" s="34"/>
      <c r="H19" s="23"/>
    </row>
    <row r="20" ht="15.75" customHeight="1">
      <c r="A20" s="21"/>
      <c r="B20" s="33"/>
      <c r="C20" s="33"/>
      <c r="D20" s="33"/>
      <c r="E20" s="33"/>
      <c r="F20" s="33"/>
      <c r="G20" s="34"/>
      <c r="H20" s="23"/>
    </row>
    <row r="21" ht="15.75" customHeight="1">
      <c r="A21" s="21"/>
      <c r="B21" s="33"/>
      <c r="C21" s="33"/>
      <c r="D21" s="33"/>
      <c r="E21" s="33"/>
      <c r="F21" s="33"/>
      <c r="G21" s="34"/>
      <c r="H21" s="23"/>
    </row>
    <row r="22" ht="15.75" customHeight="1">
      <c r="A22" s="21"/>
      <c r="B22" s="33"/>
      <c r="C22" s="33"/>
      <c r="D22" s="33"/>
      <c r="E22" s="33"/>
      <c r="F22" s="33"/>
      <c r="G22" s="34"/>
      <c r="H22" s="23"/>
    </row>
    <row r="23" ht="15.75" customHeight="1">
      <c r="A23" s="21"/>
      <c r="B23" s="33"/>
      <c r="C23" s="33"/>
      <c r="D23" s="33"/>
      <c r="E23" s="33"/>
      <c r="F23" s="33"/>
      <c r="G23" s="34"/>
      <c r="H23" s="23"/>
    </row>
    <row r="24" ht="15.75" customHeight="1">
      <c r="B24" s="35"/>
      <c r="C24" s="35"/>
      <c r="D24" s="35"/>
      <c r="E24" s="35"/>
      <c r="F24" s="35"/>
      <c r="G24" s="35"/>
    </row>
    <row r="25" ht="15.75" customHeight="1">
      <c r="B25" s="36" t="s">
        <v>18</v>
      </c>
      <c r="C25" s="37"/>
      <c r="D25" s="37"/>
      <c r="E25" s="37"/>
      <c r="F25" s="37"/>
      <c r="G25" s="37"/>
    </row>
    <row r="26" ht="15.75" customHeight="1">
      <c r="B26" s="38" t="s">
        <v>19</v>
      </c>
      <c r="C26" s="37"/>
      <c r="D26" s="37"/>
      <c r="E26" s="37"/>
      <c r="F26" s="37"/>
      <c r="G26" s="37"/>
    </row>
    <row r="27" ht="15.75" customHeight="1">
      <c r="B27" s="38" t="s">
        <v>20</v>
      </c>
      <c r="C27" s="37"/>
      <c r="D27" s="37"/>
      <c r="E27" s="37"/>
      <c r="F27" s="37"/>
      <c r="G27" s="37"/>
    </row>
    <row r="28" ht="15.75" customHeight="1">
      <c r="B28" s="38" t="s">
        <v>21</v>
      </c>
      <c r="C28" s="37"/>
      <c r="D28" s="37"/>
      <c r="E28" s="37"/>
      <c r="F28" s="37"/>
      <c r="G28" s="37"/>
    </row>
    <row r="29" ht="15.75" customHeight="1">
      <c r="B29" s="37"/>
      <c r="C29" s="37"/>
      <c r="D29" s="37"/>
      <c r="E29" s="37"/>
      <c r="F29" s="37"/>
      <c r="G29" s="37"/>
    </row>
    <row r="30" ht="15.75" customHeight="1">
      <c r="B30" s="37"/>
      <c r="C30" s="37"/>
      <c r="D30" s="37"/>
      <c r="E30" s="37"/>
      <c r="F30" s="37"/>
      <c r="G30" s="37"/>
    </row>
    <row r="31" ht="15.75" customHeight="1">
      <c r="B31" s="37"/>
      <c r="C31" s="37"/>
      <c r="D31" s="37"/>
      <c r="E31" s="37"/>
      <c r="F31" s="37"/>
      <c r="G31" s="3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7:G7"/>
    <mergeCell ref="C5:E6"/>
    <mergeCell ref="C2:G2"/>
    <mergeCell ref="B9:G9"/>
    <mergeCell ref="C4:E4"/>
    <mergeCell ref="C3:E3"/>
    <mergeCell ref="C8:G8"/>
    <mergeCell ref="B5:B6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D2F1DA"/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ColWidth="12.5703125" defaultRowHeight="15" customHeight="1"/>
  <cols>
    <col customWidth="1" min="1" max="1" style="1" width="1"/>
    <col customWidth="1" min="2" max="2" style="1" width="11"/>
    <col customWidth="1" min="3" max="3" style="1" width="26.7109375"/>
    <col customWidth="1" min="4" max="4" style="1" width="46.42578125"/>
    <col customWidth="1" min="5" max="22" style="1" width="12.57421875"/>
    <col customWidth="1" min="23" max="28" style="1" width="9.5703125"/>
  </cols>
  <sheetData>
    <row r="1" ht="15.75" customHeight="1">
      <c r="A1" s="39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39"/>
      <c r="X1" s="39"/>
      <c r="Y1" s="39"/>
      <c r="Z1" s="39"/>
      <c r="AA1" s="39"/>
      <c r="AB1" s="39"/>
    </row>
    <row r="2" ht="24.75" customHeight="1">
      <c r="A2" s="39"/>
      <c r="B2" s="41"/>
      <c r="C2" s="41"/>
      <c r="D2" s="41"/>
      <c r="E2" s="42" t="s">
        <v>22</v>
      </c>
      <c r="F2" s="16"/>
      <c r="G2" s="16"/>
      <c r="H2" s="16"/>
      <c r="I2" s="16"/>
      <c r="J2" s="16"/>
      <c r="K2" s="16"/>
      <c r="L2" s="16"/>
      <c r="M2" s="17"/>
      <c r="N2" s="43" t="s">
        <v>23</v>
      </c>
      <c r="O2" s="4"/>
      <c r="P2" s="4"/>
      <c r="Q2" s="4"/>
      <c r="R2" s="4"/>
      <c r="S2" s="4"/>
      <c r="T2" s="4"/>
      <c r="U2" s="4"/>
      <c r="V2" s="5"/>
      <c r="W2" s="39"/>
      <c r="X2" s="39"/>
      <c r="Y2" s="39"/>
      <c r="Z2" s="39"/>
      <c r="AA2" s="39"/>
      <c r="AB2" s="39"/>
    </row>
    <row r="3" ht="30.75" customHeight="1">
      <c r="A3" s="44"/>
      <c r="B3" s="45" t="s">
        <v>24</v>
      </c>
      <c r="C3" s="46" t="s">
        <v>25</v>
      </c>
      <c r="D3" s="46" t="s">
        <v>26</v>
      </c>
      <c r="E3" s="47" t="s">
        <v>27</v>
      </c>
      <c r="F3" s="48" t="s">
        <v>28</v>
      </c>
      <c r="G3" s="48" t="s">
        <v>29</v>
      </c>
      <c r="H3" s="46" t="s">
        <v>30</v>
      </c>
      <c r="I3" s="46" t="s">
        <v>31</v>
      </c>
      <c r="J3" s="46" t="s">
        <v>32</v>
      </c>
      <c r="K3" s="46" t="s">
        <v>33</v>
      </c>
      <c r="L3" s="46" t="s">
        <v>34</v>
      </c>
      <c r="M3" s="49" t="s">
        <v>35</v>
      </c>
      <c r="N3" s="48" t="s">
        <v>36</v>
      </c>
      <c r="O3" s="48" t="s">
        <v>28</v>
      </c>
      <c r="P3" s="48" t="s">
        <v>29</v>
      </c>
      <c r="Q3" s="43" t="s">
        <v>30</v>
      </c>
      <c r="R3" s="43" t="s">
        <v>31</v>
      </c>
      <c r="S3" s="43" t="s">
        <v>32</v>
      </c>
      <c r="T3" s="43" t="s">
        <v>33</v>
      </c>
      <c r="U3" s="43" t="s">
        <v>34</v>
      </c>
      <c r="V3" s="50" t="s">
        <v>35</v>
      </c>
      <c r="W3" s="44"/>
      <c r="X3" s="44"/>
      <c r="Y3" s="44"/>
      <c r="Z3" s="44"/>
      <c r="AA3" s="44"/>
      <c r="AB3" s="39"/>
    </row>
    <row r="4" ht="15.75" customHeight="1">
      <c r="A4" s="39"/>
      <c r="B4" s="51" t="s">
        <v>37</v>
      </c>
      <c r="C4" s="52" t="s">
        <v>38</v>
      </c>
      <c r="D4" s="52" t="s">
        <v>38</v>
      </c>
      <c r="E4" s="53" t="e">
        <f t="shared" ref="E4:E9" si="0">F4/G4</f>
        <v>#NAME?</v>
      </c>
      <c r="F4" s="54" t="e">
        <f t="shared" ref="F4:F9" si="1">SUM(H4:L4)</f>
        <v>#NAME?</v>
      </c>
      <c r="G4" s="54" t="e">
        <f t="shared" ref="G4:G9" si="2">SUM(H4:M4)</f>
        <v>#NAME?</v>
      </c>
      <c r="H4" s="54" t="e">
        <f ca="1">COUNTIFS(
  INDIRECT("'"&amp;$B$4&amp;"'!M13:M1048576"),H$3,
  INDIRECT("'"&amp;$B$4&amp;"'!B13:B1048576"),$C4,
  INDIRECT("'"&amp;$B$4&amp;"'!C13:C1048576"),$D4
)</f>
        <v>#NAME?</v>
      </c>
      <c r="I4" s="54" t="e">
        <f>#NAME?</f>
        <v>#NAME?</v>
      </c>
      <c r="J4" s="54" t="e">
        <f>#NAME?</f>
        <v>#NAME?</v>
      </c>
      <c r="K4" s="54" t="e">
        <f>#NAME?</f>
        <v>#NAME?</v>
      </c>
      <c r="L4" s="54" t="e">
        <f>#NAME?</f>
        <v>#NAME?</v>
      </c>
      <c r="M4" s="54" t="e">
        <f>#NAME?</f>
        <v>#NAME?</v>
      </c>
      <c r="N4" s="53" t="e">
        <f t="shared" ref="N4:N9" si="3">O4/P4</f>
        <v>#NAME?</v>
      </c>
      <c r="O4" s="54" t="e">
        <f t="shared" ref="O4:O9" si="4">SUM(Q4:U4)</f>
        <v>#NAME?</v>
      </c>
      <c r="P4" s="54" t="e">
        <f t="shared" ref="P4:P9" si="5">SUM(Q4:V4)</f>
        <v>#NAME?</v>
      </c>
      <c r="Q4" s="54" t="e">
        <f ca="1">COUNTIFS(
  INDIRECT("'"&amp;$B$4&amp;"'!R13:R1048576"),H$3,
  INDIRECT("'"&amp;$B$4&amp;"'!B13:B1048576"),$C4,
  INDIRECT("'"&amp;$B$4&amp;"'!C13:C1048576"),$D4
)</f>
        <v>#NAME?</v>
      </c>
      <c r="R4" s="54" t="e">
        <f>#NAME?</f>
        <v>#NAME?</v>
      </c>
      <c r="S4" s="54" t="e">
        <f>#NAME?</f>
        <v>#NAME?</v>
      </c>
      <c r="T4" s="54" t="e">
        <f>#NAME?</f>
        <v>#NAME?</v>
      </c>
      <c r="U4" s="54" t="e">
        <f>#NAME?</f>
        <v>#NAME?</v>
      </c>
      <c r="V4" s="54" t="e">
        <f>#NAME?</f>
        <v>#NAME?</v>
      </c>
      <c r="W4" s="39"/>
      <c r="X4" s="39"/>
      <c r="Y4" s="39"/>
      <c r="Z4" s="39"/>
      <c r="AA4" s="39"/>
      <c r="AB4" s="39"/>
    </row>
    <row r="5" ht="15.75" customHeight="1">
      <c r="A5" s="39"/>
      <c r="B5" s="55"/>
      <c r="C5" s="52" t="s">
        <v>39</v>
      </c>
      <c r="D5" s="52" t="s">
        <v>39</v>
      </c>
      <c r="E5" s="53" t="e">
        <f t="shared" si="0"/>
        <v>#VALUE!</v>
      </c>
      <c r="F5" s="54" t="e">
        <f t="shared" si="1"/>
        <v>#VALUE!</v>
      </c>
      <c r="G5" s="54" t="e">
        <f t="shared" si="2"/>
        <v>#VALUE!</v>
      </c>
      <c r="H5" s="54" t="e">
        <f t="shared" ref="H5:H9" ca="1" si="6">COUNTIFS(
INDIRECT("'"&amp;$B$4&amp;"'!M13:M1048576"),H$3,
INDIRECT("'"&amp;$B$4&amp;"'!B13:B1048576"),$C5,
INDIRECT("'"&amp;$B$4&amp;"'!C13:C1048576"),
$D5)</f>
        <v>#VALUE!</v>
      </c>
      <c r="I5" s="54" t="e">
        <f>#NAME?</f>
        <v>#NAME?</v>
      </c>
      <c r="J5" s="54" t="e">
        <f>#NAME?</f>
        <v>#NAME?</v>
      </c>
      <c r="K5" s="54" t="e">
        <f>#NAME?</f>
        <v>#NAME?</v>
      </c>
      <c r="L5" s="54" t="e">
        <f>#NAME?</f>
        <v>#NAME?</v>
      </c>
      <c r="M5" s="54" t="e">
        <f>#NAME?</f>
        <v>#NAME?</v>
      </c>
      <c r="N5" s="53" t="e">
        <f t="shared" si="3"/>
        <v>#VALUE!</v>
      </c>
      <c r="O5" s="54" t="e">
        <f t="shared" si="4"/>
        <v>#VALUE!</v>
      </c>
      <c r="P5" s="54" t="e">
        <f t="shared" si="5"/>
        <v>#VALUE!</v>
      </c>
      <c r="Q5" s="54" t="e">
        <f t="shared" ref="Q5:Q9" ca="1" si="7">COUNTIFS(
INDIRECT("'"&amp;$B$4&amp;"'!R13:R1048576"),H$3,
INDIRECT("'"&amp;$B$4&amp;"'!B13:B1048576"),$C5,
INDIRECT("'"&amp;$B$4&amp;"'!C13:C1048576"),
$D5)</f>
        <v>#VALUE!</v>
      </c>
      <c r="R5" s="54" t="e">
        <f>#NAME?</f>
        <v>#NAME?</v>
      </c>
      <c r="S5" s="54" t="e">
        <f>#NAME?</f>
        <v>#NAME?</v>
      </c>
      <c r="T5" s="54" t="e">
        <f>#NAME?</f>
        <v>#NAME?</v>
      </c>
      <c r="U5" s="54" t="e">
        <f>#NAME?</f>
        <v>#NAME?</v>
      </c>
      <c r="V5" s="54" t="e">
        <f>#NAME?</f>
        <v>#NAME?</v>
      </c>
      <c r="W5" s="39"/>
      <c r="X5" s="39"/>
      <c r="Y5" s="39"/>
      <c r="Z5" s="39"/>
      <c r="AA5" s="39"/>
      <c r="AB5" s="39"/>
    </row>
    <row r="6" ht="15.75" customHeight="1">
      <c r="A6" s="39"/>
      <c r="B6" s="55"/>
      <c r="C6" s="56" t="s">
        <v>40</v>
      </c>
      <c r="D6" s="57" t="s">
        <v>41</v>
      </c>
      <c r="E6" s="53" t="e">
        <f t="shared" si="0"/>
        <v>#VALUE!</v>
      </c>
      <c r="F6" s="54" t="e">
        <f t="shared" si="1"/>
        <v>#VALUE!</v>
      </c>
      <c r="G6" s="54" t="e">
        <f t="shared" si="2"/>
        <v>#VALUE!</v>
      </c>
      <c r="H6" s="54" t="e">
        <f t="shared" ca="1" si="6"/>
        <v>#VALUE!</v>
      </c>
      <c r="I6" s="54" t="e">
        <f>#NAME?</f>
        <v>#NAME?</v>
      </c>
      <c r="J6" s="54" t="e">
        <f>#NAME?</f>
        <v>#NAME?</v>
      </c>
      <c r="K6" s="54" t="e">
        <f>#NAME?</f>
        <v>#NAME?</v>
      </c>
      <c r="L6" s="54" t="e">
        <f>#NAME?</f>
        <v>#NAME?</v>
      </c>
      <c r="M6" s="54" t="e">
        <f>#NAME?</f>
        <v>#NAME?</v>
      </c>
      <c r="N6" s="53" t="e">
        <f t="shared" si="3"/>
        <v>#VALUE!</v>
      </c>
      <c r="O6" s="54" t="e">
        <f t="shared" si="4"/>
        <v>#VALUE!</v>
      </c>
      <c r="P6" s="54" t="e">
        <f t="shared" si="5"/>
        <v>#VALUE!</v>
      </c>
      <c r="Q6" s="54" t="e">
        <f t="shared" ca="1" si="7"/>
        <v>#VALUE!</v>
      </c>
      <c r="R6" s="54" t="e">
        <f>#NAME?</f>
        <v>#NAME?</v>
      </c>
      <c r="S6" s="54" t="e">
        <f>#NAME?</f>
        <v>#NAME?</v>
      </c>
      <c r="T6" s="54" t="e">
        <f>#NAME?</f>
        <v>#NAME?</v>
      </c>
      <c r="U6" s="54" t="e">
        <f>#NAME?</f>
        <v>#NAME?</v>
      </c>
      <c r="V6" s="54" t="e">
        <f>#NAME?</f>
        <v>#NAME?</v>
      </c>
      <c r="W6" s="39"/>
      <c r="X6" s="39"/>
      <c r="Y6" s="39"/>
      <c r="Z6" s="39"/>
      <c r="AA6" s="39"/>
      <c r="AB6" s="39"/>
    </row>
    <row r="7" ht="15.75" customHeight="1">
      <c r="A7" s="39"/>
      <c r="B7" s="55"/>
      <c r="C7" s="56" t="s">
        <v>40</v>
      </c>
      <c r="D7" s="57" t="s">
        <v>42</v>
      </c>
      <c r="E7" s="53" t="e">
        <f t="shared" si="0"/>
        <v>#VALUE!</v>
      </c>
      <c r="F7" s="54" t="e">
        <f t="shared" si="1"/>
        <v>#VALUE!</v>
      </c>
      <c r="G7" s="54" t="e">
        <f t="shared" si="2"/>
        <v>#VALUE!</v>
      </c>
      <c r="H7" s="54" t="e">
        <f t="shared" ca="1" si="6"/>
        <v>#VALUE!</v>
      </c>
      <c r="I7" s="54" t="e">
        <f>#NAME?</f>
        <v>#NAME?</v>
      </c>
      <c r="J7" s="54" t="e">
        <f>#NAME?</f>
        <v>#NAME?</v>
      </c>
      <c r="K7" s="54" t="e">
        <f>#NAME?</f>
        <v>#NAME?</v>
      </c>
      <c r="L7" s="54" t="e">
        <f>#NAME?</f>
        <v>#NAME?</v>
      </c>
      <c r="M7" s="54" t="e">
        <f>#NAME?</f>
        <v>#NAME?</v>
      </c>
      <c r="N7" s="53" t="e">
        <f t="shared" si="3"/>
        <v>#VALUE!</v>
      </c>
      <c r="O7" s="54" t="e">
        <f t="shared" si="4"/>
        <v>#VALUE!</v>
      </c>
      <c r="P7" s="54" t="e">
        <f t="shared" si="5"/>
        <v>#VALUE!</v>
      </c>
      <c r="Q7" s="54" t="e">
        <f t="shared" ca="1" si="7"/>
        <v>#VALUE!</v>
      </c>
      <c r="R7" s="54" t="e">
        <f>#NAME?</f>
        <v>#NAME?</v>
      </c>
      <c r="S7" s="54" t="e">
        <f>#NAME?</f>
        <v>#NAME?</v>
      </c>
      <c r="T7" s="54" t="e">
        <f>#NAME?</f>
        <v>#NAME?</v>
      </c>
      <c r="U7" s="54" t="e">
        <f>#NAME?</f>
        <v>#NAME?</v>
      </c>
      <c r="V7" s="54" t="e">
        <f>#NAME?</f>
        <v>#NAME?</v>
      </c>
      <c r="W7" s="39"/>
      <c r="X7" s="39"/>
      <c r="Y7" s="39"/>
      <c r="Z7" s="39"/>
      <c r="AA7" s="39"/>
      <c r="AB7" s="39"/>
    </row>
    <row r="8" ht="15.75" customHeight="1">
      <c r="A8" s="39"/>
      <c r="B8" s="55"/>
      <c r="C8" s="56" t="s">
        <v>40</v>
      </c>
      <c r="D8" s="58" t="s">
        <v>43</v>
      </c>
      <c r="E8" s="53" t="e">
        <f t="shared" si="0"/>
        <v>#VALUE!</v>
      </c>
      <c r="F8" s="54" t="e">
        <f t="shared" si="1"/>
        <v>#VALUE!</v>
      </c>
      <c r="G8" s="54" t="e">
        <f t="shared" si="2"/>
        <v>#VALUE!</v>
      </c>
      <c r="H8" s="54" t="e">
        <f t="shared" ca="1" si="6"/>
        <v>#VALUE!</v>
      </c>
      <c r="I8" s="54" t="e">
        <f>#NAME?</f>
        <v>#NAME?</v>
      </c>
      <c r="J8" s="54" t="e">
        <f>#NAME?</f>
        <v>#NAME?</v>
      </c>
      <c r="K8" s="54" t="e">
        <f>#NAME?</f>
        <v>#NAME?</v>
      </c>
      <c r="L8" s="54" t="e">
        <f>#NAME?</f>
        <v>#NAME?</v>
      </c>
      <c r="M8" s="54" t="e">
        <f>#NAME?</f>
        <v>#NAME?</v>
      </c>
      <c r="N8" s="53" t="e">
        <f t="shared" si="3"/>
        <v>#VALUE!</v>
      </c>
      <c r="O8" s="54" t="e">
        <f t="shared" si="4"/>
        <v>#VALUE!</v>
      </c>
      <c r="P8" s="54" t="e">
        <f t="shared" si="5"/>
        <v>#VALUE!</v>
      </c>
      <c r="Q8" s="54" t="e">
        <f t="shared" ca="1" si="7"/>
        <v>#VALUE!</v>
      </c>
      <c r="R8" s="54" t="e">
        <f>#NAME?</f>
        <v>#NAME?</v>
      </c>
      <c r="S8" s="54" t="e">
        <f>#NAME?</f>
        <v>#NAME?</v>
      </c>
      <c r="T8" s="54" t="e">
        <f>#NAME?</f>
        <v>#NAME?</v>
      </c>
      <c r="U8" s="54" t="e">
        <f>#NAME?</f>
        <v>#NAME?</v>
      </c>
      <c r="V8" s="54" t="e">
        <f>#NAME?</f>
        <v>#NAME?</v>
      </c>
      <c r="W8" s="39"/>
      <c r="X8" s="39"/>
      <c r="Y8" s="39"/>
      <c r="Z8" s="39"/>
      <c r="AA8" s="39"/>
      <c r="AB8" s="39"/>
    </row>
    <row r="9" ht="15.75" customHeight="1">
      <c r="A9" s="39"/>
      <c r="B9" s="55"/>
      <c r="C9" s="56" t="s">
        <v>40</v>
      </c>
      <c r="D9" s="57" t="s">
        <v>44</v>
      </c>
      <c r="E9" s="53" t="e">
        <f t="shared" si="0"/>
        <v>#VALUE!</v>
      </c>
      <c r="F9" s="54" t="e">
        <f t="shared" si="1"/>
        <v>#VALUE!</v>
      </c>
      <c r="G9" s="54" t="e">
        <f t="shared" si="2"/>
        <v>#VALUE!</v>
      </c>
      <c r="H9" s="54" t="e">
        <f t="shared" ca="1" si="6"/>
        <v>#VALUE!</v>
      </c>
      <c r="I9" s="54" t="e">
        <f>#NAME?</f>
        <v>#NAME?</v>
      </c>
      <c r="J9" s="54" t="e">
        <f>#NAME?</f>
        <v>#NAME?</v>
      </c>
      <c r="K9" s="54" t="e">
        <f>#NAME?</f>
        <v>#NAME?</v>
      </c>
      <c r="L9" s="54" t="e">
        <f>#NAME?</f>
        <v>#NAME?</v>
      </c>
      <c r="M9" s="54" t="e">
        <f>#NAME?</f>
        <v>#NAME?</v>
      </c>
      <c r="N9" s="53" t="e">
        <f t="shared" si="3"/>
        <v>#VALUE!</v>
      </c>
      <c r="O9" s="54" t="e">
        <f t="shared" si="4"/>
        <v>#VALUE!</v>
      </c>
      <c r="P9" s="54" t="e">
        <f t="shared" si="5"/>
        <v>#VALUE!</v>
      </c>
      <c r="Q9" s="54" t="e">
        <f t="shared" ca="1" si="7"/>
        <v>#VALUE!</v>
      </c>
      <c r="R9" s="54" t="e">
        <f>#NAME?</f>
        <v>#NAME?</v>
      </c>
      <c r="S9" s="54" t="e">
        <f>#NAME?</f>
        <v>#NAME?</v>
      </c>
      <c r="T9" s="54" t="e">
        <f>#NAME?</f>
        <v>#NAME?</v>
      </c>
      <c r="U9" s="54" t="e">
        <f>#NAME?</f>
        <v>#NAME?</v>
      </c>
      <c r="V9" s="54" t="e">
        <f>#NAME?</f>
        <v>#NAME?</v>
      </c>
      <c r="W9" s="39"/>
      <c r="X9" s="39"/>
      <c r="Y9" s="39"/>
      <c r="Z9" s="39"/>
      <c r="AA9" s="39"/>
      <c r="AB9" s="39"/>
    </row>
    <row r="10" ht="15.75" customHeight="1">
      <c r="A10" s="39"/>
      <c r="B10" s="55"/>
      <c r="C10" s="56" t="s">
        <v>40</v>
      </c>
      <c r="D10" s="52" t="s">
        <v>45</v>
      </c>
      <c r="E10" s="53" t="e">
        <f t="shared" ref="E10:E54" si="8">F10/G10</f>
        <v>#VALUE!</v>
      </c>
      <c r="F10" s="54" t="e">
        <f t="shared" ref="F10:F39" si="9">SUM(H10:L10)</f>
        <v>#VALUE!</v>
      </c>
      <c r="G10" s="54" t="e">
        <f t="shared" ref="G10:G39" si="10">SUM(H10:M10)</f>
        <v>#VALUE!</v>
      </c>
      <c r="H10" s="54" t="e">
        <f t="shared" ref="H10:H31" ca="1" si="11">COUNTIFS(
INDIRECT("'"&amp;$B$4&amp;"'!M13:M1048576"),H$3,
INDIRECT("'"&amp;$B$4&amp;"'!B13:B1048576"),$C10,
INDIRECT("'"&amp;$B$4&amp;"'!C13:C1048576"),
$D10)</f>
        <v>#VALUE!</v>
      </c>
      <c r="I10" s="54" t="e">
        <f>#NAME?</f>
        <v>#NAME?</v>
      </c>
      <c r="J10" s="54" t="e">
        <f>#NAME?</f>
        <v>#NAME?</v>
      </c>
      <c r="K10" s="54" t="e">
        <f>#NAME?</f>
        <v>#NAME?</v>
      </c>
      <c r="L10" s="54" t="e">
        <f>#NAME?</f>
        <v>#NAME?</v>
      </c>
      <c r="M10" s="54" t="e">
        <f>#NAME?</f>
        <v>#NAME?</v>
      </c>
      <c r="N10" s="53" t="e">
        <f t="shared" ref="N10:N54" si="12">O10/P10</f>
        <v>#VALUE!</v>
      </c>
      <c r="O10" s="54" t="e">
        <f t="shared" ref="O10:O39" si="13">SUM(Q10:U10)</f>
        <v>#VALUE!</v>
      </c>
      <c r="P10" s="54" t="e">
        <f t="shared" ref="P10:P39" si="14">SUM(Q10:V10)</f>
        <v>#VALUE!</v>
      </c>
      <c r="Q10" s="54" t="e">
        <f t="shared" ref="Q10:Q31" ca="1" si="15">COUNTIFS(
INDIRECT("'"&amp;$B$4&amp;"'!R13:R1048576"),H$3,
INDIRECT("'"&amp;$B$4&amp;"'!B13:B1048576"),$C10,
INDIRECT("'"&amp;$B$4&amp;"'!C13:C1048576"),
$D10)</f>
        <v>#VALUE!</v>
      </c>
      <c r="R10" s="54" t="e">
        <f>#NAME?</f>
        <v>#NAME?</v>
      </c>
      <c r="S10" s="54" t="e">
        <f>#NAME?</f>
        <v>#NAME?</v>
      </c>
      <c r="T10" s="54" t="e">
        <f>#NAME?</f>
        <v>#NAME?</v>
      </c>
      <c r="U10" s="54" t="e">
        <f>#NAME?</f>
        <v>#NAME?</v>
      </c>
      <c r="V10" s="54" t="e">
        <f>#NAME?</f>
        <v>#NAME?</v>
      </c>
      <c r="W10" s="39"/>
      <c r="X10" s="39"/>
      <c r="Y10" s="39"/>
      <c r="Z10" s="39"/>
      <c r="AA10" s="39"/>
      <c r="AB10" s="39"/>
    </row>
    <row r="11" ht="15.75" customHeight="1">
      <c r="A11" s="39"/>
      <c r="B11" s="55"/>
      <c r="C11" s="56" t="s">
        <v>40</v>
      </c>
      <c r="D11" s="57" t="s">
        <v>46</v>
      </c>
      <c r="E11" s="53" t="e">
        <f t="shared" si="8"/>
        <v>#VALUE!</v>
      </c>
      <c r="F11" s="54" t="e">
        <f t="shared" si="9"/>
        <v>#VALUE!</v>
      </c>
      <c r="G11" s="54" t="e">
        <f t="shared" si="10"/>
        <v>#VALUE!</v>
      </c>
      <c r="H11" s="54" t="e">
        <f t="shared" ca="1" si="11"/>
        <v>#VALUE!</v>
      </c>
      <c r="I11" s="54" t="e">
        <f>#NAME?</f>
        <v>#NAME?</v>
      </c>
      <c r="J11" s="54" t="e">
        <f>#NAME?</f>
        <v>#NAME?</v>
      </c>
      <c r="K11" s="54" t="e">
        <f>#NAME?</f>
        <v>#NAME?</v>
      </c>
      <c r="L11" s="54" t="e">
        <f>#NAME?</f>
        <v>#NAME?</v>
      </c>
      <c r="M11" s="54" t="e">
        <f>#NAME?</f>
        <v>#NAME?</v>
      </c>
      <c r="N11" s="53" t="e">
        <f t="shared" si="12"/>
        <v>#VALUE!</v>
      </c>
      <c r="O11" s="54" t="e">
        <f t="shared" si="13"/>
        <v>#VALUE!</v>
      </c>
      <c r="P11" s="54" t="e">
        <f t="shared" si="14"/>
        <v>#VALUE!</v>
      </c>
      <c r="Q11" s="54" t="e">
        <f t="shared" ca="1" si="15"/>
        <v>#VALUE!</v>
      </c>
      <c r="R11" s="54" t="e">
        <f>#NAME?</f>
        <v>#NAME?</v>
      </c>
      <c r="S11" s="54" t="e">
        <f>#NAME?</f>
        <v>#NAME?</v>
      </c>
      <c r="T11" s="54" t="e">
        <f>#NAME?</f>
        <v>#NAME?</v>
      </c>
      <c r="U11" s="54" t="e">
        <f>#NAME?</f>
        <v>#NAME?</v>
      </c>
      <c r="V11" s="54" t="e">
        <f>#NAME?</f>
        <v>#NAME?</v>
      </c>
      <c r="W11" s="39"/>
      <c r="X11" s="39"/>
      <c r="Y11" s="39"/>
      <c r="Z11" s="39"/>
      <c r="AA11" s="39"/>
      <c r="AB11" s="39"/>
    </row>
    <row r="12" ht="15.75" customHeight="1">
      <c r="A12" s="39"/>
      <c r="B12" s="55"/>
      <c r="C12" s="56" t="s">
        <v>40</v>
      </c>
      <c r="D12" s="52" t="s">
        <v>47</v>
      </c>
      <c r="E12" s="53" t="e">
        <f t="shared" si="8"/>
        <v>#VALUE!</v>
      </c>
      <c r="F12" s="54" t="e">
        <f t="shared" si="9"/>
        <v>#VALUE!</v>
      </c>
      <c r="G12" s="54" t="e">
        <f t="shared" si="10"/>
        <v>#VALUE!</v>
      </c>
      <c r="H12" s="54" t="e">
        <f t="shared" ca="1" si="11"/>
        <v>#VALUE!</v>
      </c>
      <c r="I12" s="54" t="e">
        <f>#NAME?</f>
        <v>#NAME?</v>
      </c>
      <c r="J12" s="54" t="e">
        <f>#NAME?</f>
        <v>#NAME?</v>
      </c>
      <c r="K12" s="54" t="e">
        <f>#NAME?</f>
        <v>#NAME?</v>
      </c>
      <c r="L12" s="54" t="e">
        <f>#NAME?</f>
        <v>#NAME?</v>
      </c>
      <c r="M12" s="54" t="e">
        <f>#NAME?</f>
        <v>#NAME?</v>
      </c>
      <c r="N12" s="53" t="e">
        <f t="shared" si="12"/>
        <v>#VALUE!</v>
      </c>
      <c r="O12" s="54" t="e">
        <f t="shared" si="13"/>
        <v>#VALUE!</v>
      </c>
      <c r="P12" s="54" t="e">
        <f t="shared" si="14"/>
        <v>#VALUE!</v>
      </c>
      <c r="Q12" s="54" t="e">
        <f t="shared" ca="1" si="15"/>
        <v>#VALUE!</v>
      </c>
      <c r="R12" s="54" t="e">
        <f>#NAME?</f>
        <v>#NAME?</v>
      </c>
      <c r="S12" s="54" t="e">
        <f>#NAME?</f>
        <v>#NAME?</v>
      </c>
      <c r="T12" s="54" t="e">
        <f>#NAME?</f>
        <v>#NAME?</v>
      </c>
      <c r="U12" s="54" t="e">
        <f>#NAME?</f>
        <v>#NAME?</v>
      </c>
      <c r="V12" s="54" t="e">
        <f>#NAME?</f>
        <v>#NAME?</v>
      </c>
      <c r="W12" s="39"/>
      <c r="X12" s="39"/>
      <c r="Y12" s="39"/>
      <c r="Z12" s="39"/>
      <c r="AA12" s="39"/>
      <c r="AB12" s="39"/>
    </row>
    <row r="13" ht="15.75" customHeight="1">
      <c r="A13" s="39"/>
      <c r="B13" s="55"/>
      <c r="C13" s="56" t="s">
        <v>48</v>
      </c>
      <c r="D13" s="57" t="s">
        <v>49</v>
      </c>
      <c r="E13" s="53" t="e">
        <f t="shared" si="8"/>
        <v>#VALUE!</v>
      </c>
      <c r="F13" s="54" t="e">
        <f t="shared" si="9"/>
        <v>#VALUE!</v>
      </c>
      <c r="G13" s="54" t="e">
        <f t="shared" si="10"/>
        <v>#VALUE!</v>
      </c>
      <c r="H13" s="54" t="e">
        <f t="shared" ca="1" si="11"/>
        <v>#VALUE!</v>
      </c>
      <c r="I13" s="54" t="e">
        <f>#NAME?</f>
        <v>#NAME?</v>
      </c>
      <c r="J13" s="54" t="e">
        <f>#NAME?</f>
        <v>#NAME?</v>
      </c>
      <c r="K13" s="54" t="e">
        <f>#NAME?</f>
        <v>#NAME?</v>
      </c>
      <c r="L13" s="54" t="e">
        <f>#NAME?</f>
        <v>#NAME?</v>
      </c>
      <c r="M13" s="54" t="e">
        <f>#NAME?</f>
        <v>#NAME?</v>
      </c>
      <c r="N13" s="53" t="e">
        <f t="shared" si="12"/>
        <v>#VALUE!</v>
      </c>
      <c r="O13" s="54" t="e">
        <f t="shared" si="13"/>
        <v>#VALUE!</v>
      </c>
      <c r="P13" s="54" t="e">
        <f t="shared" si="14"/>
        <v>#VALUE!</v>
      </c>
      <c r="Q13" s="54" t="e">
        <f t="shared" ca="1" si="15"/>
        <v>#VALUE!</v>
      </c>
      <c r="R13" s="54" t="e">
        <f>#NAME?</f>
        <v>#NAME?</v>
      </c>
      <c r="S13" s="54" t="e">
        <f>#NAME?</f>
        <v>#NAME?</v>
      </c>
      <c r="T13" s="54" t="e">
        <f>#NAME?</f>
        <v>#NAME?</v>
      </c>
      <c r="U13" s="54" t="e">
        <f>#NAME?</f>
        <v>#NAME?</v>
      </c>
      <c r="V13" s="54" t="e">
        <f>#NAME?</f>
        <v>#NAME?</v>
      </c>
      <c r="W13" s="39"/>
      <c r="X13" s="39"/>
      <c r="Y13" s="39"/>
      <c r="Z13" s="39"/>
      <c r="AA13" s="39"/>
      <c r="AB13" s="39"/>
    </row>
    <row r="14" ht="15.75" customHeight="1">
      <c r="A14" s="39"/>
      <c r="B14" s="55"/>
      <c r="C14" s="56" t="s">
        <v>48</v>
      </c>
      <c r="D14" s="58" t="s">
        <v>43</v>
      </c>
      <c r="E14" s="53" t="e">
        <f t="shared" si="8"/>
        <v>#VALUE!</v>
      </c>
      <c r="F14" s="54" t="e">
        <f t="shared" si="9"/>
        <v>#VALUE!</v>
      </c>
      <c r="G14" s="54" t="e">
        <f t="shared" si="10"/>
        <v>#VALUE!</v>
      </c>
      <c r="H14" s="54" t="e">
        <f t="shared" ca="1" si="11"/>
        <v>#VALUE!</v>
      </c>
      <c r="I14" s="54" t="e">
        <f>#NAME?</f>
        <v>#NAME?</v>
      </c>
      <c r="J14" s="54" t="e">
        <f>#NAME?</f>
        <v>#NAME?</v>
      </c>
      <c r="K14" s="54" t="e">
        <f>#NAME?</f>
        <v>#NAME?</v>
      </c>
      <c r="L14" s="54" t="e">
        <f>#NAME?</f>
        <v>#NAME?</v>
      </c>
      <c r="M14" s="54" t="e">
        <f>#NAME?</f>
        <v>#NAME?</v>
      </c>
      <c r="N14" s="53" t="e">
        <f t="shared" si="12"/>
        <v>#VALUE!</v>
      </c>
      <c r="O14" s="54" t="e">
        <f t="shared" si="13"/>
        <v>#VALUE!</v>
      </c>
      <c r="P14" s="54" t="e">
        <f t="shared" si="14"/>
        <v>#VALUE!</v>
      </c>
      <c r="Q14" s="54" t="e">
        <f t="shared" ca="1" si="15"/>
        <v>#VALUE!</v>
      </c>
      <c r="R14" s="54" t="e">
        <f>#NAME?</f>
        <v>#NAME?</v>
      </c>
      <c r="S14" s="54" t="e">
        <f>#NAME?</f>
        <v>#NAME?</v>
      </c>
      <c r="T14" s="54" t="e">
        <f>#NAME?</f>
        <v>#NAME?</v>
      </c>
      <c r="U14" s="54" t="e">
        <f>#NAME?</f>
        <v>#NAME?</v>
      </c>
      <c r="V14" s="54" t="e">
        <f>#NAME?</f>
        <v>#NAME?</v>
      </c>
      <c r="W14" s="39"/>
      <c r="X14" s="39"/>
      <c r="Y14" s="39"/>
      <c r="Z14" s="39"/>
      <c r="AA14" s="39"/>
      <c r="AB14" s="39"/>
    </row>
    <row r="15" ht="15.75" customHeight="1">
      <c r="A15" s="39"/>
      <c r="B15" s="55"/>
      <c r="C15" s="56" t="s">
        <v>48</v>
      </c>
      <c r="D15" s="57" t="s">
        <v>44</v>
      </c>
      <c r="E15" s="53" t="e">
        <f t="shared" si="8"/>
        <v>#VALUE!</v>
      </c>
      <c r="F15" s="54" t="e">
        <f t="shared" si="9"/>
        <v>#VALUE!</v>
      </c>
      <c r="G15" s="54" t="e">
        <f t="shared" si="10"/>
        <v>#VALUE!</v>
      </c>
      <c r="H15" s="54" t="e">
        <f t="shared" ca="1" si="11"/>
        <v>#VALUE!</v>
      </c>
      <c r="I15" s="54" t="e">
        <f>#NAME?</f>
        <v>#NAME?</v>
      </c>
      <c r="J15" s="54" t="e">
        <f>#NAME?</f>
        <v>#NAME?</v>
      </c>
      <c r="K15" s="54" t="e">
        <f>#NAME?</f>
        <v>#NAME?</v>
      </c>
      <c r="L15" s="54" t="e">
        <f>#NAME?</f>
        <v>#NAME?</v>
      </c>
      <c r="M15" s="54" t="e">
        <f>#NAME?</f>
        <v>#NAME?</v>
      </c>
      <c r="N15" s="53" t="e">
        <f t="shared" si="12"/>
        <v>#VALUE!</v>
      </c>
      <c r="O15" s="54" t="e">
        <f t="shared" si="13"/>
        <v>#VALUE!</v>
      </c>
      <c r="P15" s="54" t="e">
        <f t="shared" si="14"/>
        <v>#VALUE!</v>
      </c>
      <c r="Q15" s="54" t="e">
        <f t="shared" ca="1" si="15"/>
        <v>#VALUE!</v>
      </c>
      <c r="R15" s="54" t="e">
        <f>#NAME?</f>
        <v>#NAME?</v>
      </c>
      <c r="S15" s="54" t="e">
        <f>#NAME?</f>
        <v>#NAME?</v>
      </c>
      <c r="T15" s="54" t="e">
        <f>#NAME?</f>
        <v>#NAME?</v>
      </c>
      <c r="U15" s="54" t="e">
        <f>#NAME?</f>
        <v>#NAME?</v>
      </c>
      <c r="V15" s="54" t="e">
        <f>#NAME?</f>
        <v>#NAME?</v>
      </c>
      <c r="W15" s="39"/>
      <c r="X15" s="39"/>
      <c r="Y15" s="39"/>
      <c r="Z15" s="39"/>
      <c r="AA15" s="39"/>
      <c r="AB15" s="39"/>
    </row>
    <row r="16" ht="15.75" customHeight="1">
      <c r="A16" s="39"/>
      <c r="B16" s="55"/>
      <c r="C16" s="56" t="s">
        <v>48</v>
      </c>
      <c r="D16" s="52" t="s">
        <v>45</v>
      </c>
      <c r="E16" s="53" t="e">
        <f t="shared" si="8"/>
        <v>#VALUE!</v>
      </c>
      <c r="F16" s="54" t="e">
        <f t="shared" si="9"/>
        <v>#VALUE!</v>
      </c>
      <c r="G16" s="54" t="e">
        <f t="shared" si="10"/>
        <v>#VALUE!</v>
      </c>
      <c r="H16" s="54" t="e">
        <f t="shared" ca="1" si="11"/>
        <v>#VALUE!</v>
      </c>
      <c r="I16" s="54" t="e">
        <f>#NAME?</f>
        <v>#NAME?</v>
      </c>
      <c r="J16" s="54" t="e">
        <f>#NAME?</f>
        <v>#NAME?</v>
      </c>
      <c r="K16" s="54" t="e">
        <f>#NAME?</f>
        <v>#NAME?</v>
      </c>
      <c r="L16" s="54" t="e">
        <f>#NAME?</f>
        <v>#NAME?</v>
      </c>
      <c r="M16" s="54" t="e">
        <f>#NAME?</f>
        <v>#NAME?</v>
      </c>
      <c r="N16" s="53" t="e">
        <f t="shared" si="12"/>
        <v>#VALUE!</v>
      </c>
      <c r="O16" s="54" t="e">
        <f t="shared" si="13"/>
        <v>#VALUE!</v>
      </c>
      <c r="P16" s="54" t="e">
        <f t="shared" si="14"/>
        <v>#VALUE!</v>
      </c>
      <c r="Q16" s="54" t="e">
        <f t="shared" ca="1" si="15"/>
        <v>#VALUE!</v>
      </c>
      <c r="R16" s="54" t="e">
        <f>#NAME?</f>
        <v>#NAME?</v>
      </c>
      <c r="S16" s="54" t="e">
        <f>#NAME?</f>
        <v>#NAME?</v>
      </c>
      <c r="T16" s="54" t="e">
        <f>#NAME?</f>
        <v>#NAME?</v>
      </c>
      <c r="U16" s="54" t="e">
        <f>#NAME?</f>
        <v>#NAME?</v>
      </c>
      <c r="V16" s="54" t="e">
        <f>#NAME?</f>
        <v>#NAME?</v>
      </c>
      <c r="W16" s="39"/>
      <c r="X16" s="39"/>
      <c r="Y16" s="39"/>
      <c r="Z16" s="39"/>
      <c r="AA16" s="39"/>
      <c r="AB16" s="39"/>
    </row>
    <row r="17" ht="15.75" customHeight="1">
      <c r="A17" s="39"/>
      <c r="B17" s="55"/>
      <c r="C17" s="56" t="s">
        <v>48</v>
      </c>
      <c r="D17" s="52" t="s">
        <v>47</v>
      </c>
      <c r="E17" s="53" t="e">
        <f t="shared" si="8"/>
        <v>#VALUE!</v>
      </c>
      <c r="F17" s="54" t="e">
        <f t="shared" si="9"/>
        <v>#VALUE!</v>
      </c>
      <c r="G17" s="54" t="e">
        <f t="shared" si="10"/>
        <v>#VALUE!</v>
      </c>
      <c r="H17" s="54" t="e">
        <f t="shared" ca="1" si="11"/>
        <v>#VALUE!</v>
      </c>
      <c r="I17" s="54" t="e">
        <f>#NAME?</f>
        <v>#NAME?</v>
      </c>
      <c r="J17" s="54" t="e">
        <f>#NAME?</f>
        <v>#NAME?</v>
      </c>
      <c r="K17" s="54" t="e">
        <f>#NAME?</f>
        <v>#NAME?</v>
      </c>
      <c r="L17" s="54" t="e">
        <f>#NAME?</f>
        <v>#NAME?</v>
      </c>
      <c r="M17" s="54" t="e">
        <f>#NAME?</f>
        <v>#NAME?</v>
      </c>
      <c r="N17" s="53" t="e">
        <f t="shared" si="12"/>
        <v>#VALUE!</v>
      </c>
      <c r="O17" s="54" t="e">
        <f t="shared" si="13"/>
        <v>#VALUE!</v>
      </c>
      <c r="P17" s="54" t="e">
        <f t="shared" si="14"/>
        <v>#VALUE!</v>
      </c>
      <c r="Q17" s="54" t="e">
        <f t="shared" ca="1" si="15"/>
        <v>#VALUE!</v>
      </c>
      <c r="R17" s="54" t="e">
        <f>#NAME?</f>
        <v>#NAME?</v>
      </c>
      <c r="S17" s="54" t="e">
        <f>#NAME?</f>
        <v>#NAME?</v>
      </c>
      <c r="T17" s="54" t="e">
        <f>#NAME?</f>
        <v>#NAME?</v>
      </c>
      <c r="U17" s="54" t="e">
        <f>#NAME?</f>
        <v>#NAME?</v>
      </c>
      <c r="V17" s="54" t="e">
        <f>#NAME?</f>
        <v>#NAME?</v>
      </c>
      <c r="W17" s="39"/>
      <c r="X17" s="39"/>
      <c r="Y17" s="39"/>
      <c r="Z17" s="39"/>
      <c r="AA17" s="39"/>
      <c r="AB17" s="39"/>
    </row>
    <row r="18" ht="15.75" customHeight="1">
      <c r="A18" s="39"/>
      <c r="B18" s="55"/>
      <c r="C18" s="56" t="s">
        <v>50</v>
      </c>
      <c r="D18" s="59" t="s">
        <v>51</v>
      </c>
      <c r="E18" s="53" t="e">
        <f t="shared" si="8"/>
        <v>#VALUE!</v>
      </c>
      <c r="F18" s="54" t="e">
        <f t="shared" si="9"/>
        <v>#VALUE!</v>
      </c>
      <c r="G18" s="54" t="e">
        <f t="shared" si="10"/>
        <v>#VALUE!</v>
      </c>
      <c r="H18" s="54" t="e">
        <f t="shared" ca="1" si="11"/>
        <v>#VALUE!</v>
      </c>
      <c r="I18" s="54" t="e">
        <f>#NAME?</f>
        <v>#NAME?</v>
      </c>
      <c r="J18" s="54" t="e">
        <f>#NAME?</f>
        <v>#NAME?</v>
      </c>
      <c r="K18" s="54" t="e">
        <f>#NAME?</f>
        <v>#NAME?</v>
      </c>
      <c r="L18" s="54" t="e">
        <f>#NAME?</f>
        <v>#NAME?</v>
      </c>
      <c r="M18" s="54" t="e">
        <f>#NAME?</f>
        <v>#NAME?</v>
      </c>
      <c r="N18" s="53" t="e">
        <f t="shared" si="12"/>
        <v>#VALUE!</v>
      </c>
      <c r="O18" s="54" t="e">
        <f t="shared" si="13"/>
        <v>#VALUE!</v>
      </c>
      <c r="P18" s="54" t="e">
        <f t="shared" si="14"/>
        <v>#VALUE!</v>
      </c>
      <c r="Q18" s="54" t="e">
        <f t="shared" ca="1" si="15"/>
        <v>#VALUE!</v>
      </c>
      <c r="R18" s="54" t="e">
        <f>#NAME?</f>
        <v>#NAME?</v>
      </c>
      <c r="S18" s="54" t="e">
        <f>#NAME?</f>
        <v>#NAME?</v>
      </c>
      <c r="T18" s="54" t="e">
        <f>#NAME?</f>
        <v>#NAME?</v>
      </c>
      <c r="U18" s="54" t="e">
        <f>#NAME?</f>
        <v>#NAME?</v>
      </c>
      <c r="V18" s="54" t="e">
        <f>#NAME?</f>
        <v>#NAME?</v>
      </c>
      <c r="W18" s="39"/>
      <c r="X18" s="39"/>
      <c r="Y18" s="39"/>
      <c r="Z18" s="39"/>
      <c r="AA18" s="39"/>
      <c r="AB18" s="39"/>
    </row>
    <row r="19" ht="15.75" customHeight="1">
      <c r="A19" s="39"/>
      <c r="B19" s="55"/>
      <c r="C19" s="56" t="s">
        <v>50</v>
      </c>
      <c r="D19" s="59" t="s">
        <v>52</v>
      </c>
      <c r="E19" s="53" t="e">
        <f t="shared" si="8"/>
        <v>#VALUE!</v>
      </c>
      <c r="F19" s="54" t="e">
        <f t="shared" si="9"/>
        <v>#VALUE!</v>
      </c>
      <c r="G19" s="54" t="e">
        <f t="shared" si="10"/>
        <v>#VALUE!</v>
      </c>
      <c r="H19" s="54" t="e">
        <f t="shared" ca="1" si="11"/>
        <v>#VALUE!</v>
      </c>
      <c r="I19" s="54" t="e">
        <f>#NAME?</f>
        <v>#NAME?</v>
      </c>
      <c r="J19" s="54" t="e">
        <f>#NAME?</f>
        <v>#NAME?</v>
      </c>
      <c r="K19" s="54" t="e">
        <f>#NAME?</f>
        <v>#NAME?</v>
      </c>
      <c r="L19" s="54" t="e">
        <f>#NAME?</f>
        <v>#NAME?</v>
      </c>
      <c r="M19" s="54" t="e">
        <f>#NAME?</f>
        <v>#NAME?</v>
      </c>
      <c r="N19" s="53" t="e">
        <f t="shared" si="12"/>
        <v>#VALUE!</v>
      </c>
      <c r="O19" s="54" t="e">
        <f t="shared" si="13"/>
        <v>#VALUE!</v>
      </c>
      <c r="P19" s="54" t="e">
        <f t="shared" si="14"/>
        <v>#VALUE!</v>
      </c>
      <c r="Q19" s="54" t="e">
        <f t="shared" ca="1" si="15"/>
        <v>#VALUE!</v>
      </c>
      <c r="R19" s="54" t="e">
        <f>#NAME?</f>
        <v>#NAME?</v>
      </c>
      <c r="S19" s="54" t="e">
        <f>#NAME?</f>
        <v>#NAME?</v>
      </c>
      <c r="T19" s="54" t="e">
        <f>#NAME?</f>
        <v>#NAME?</v>
      </c>
      <c r="U19" s="54" t="e">
        <f>#NAME?</f>
        <v>#NAME?</v>
      </c>
      <c r="V19" s="54" t="e">
        <f>#NAME?</f>
        <v>#NAME?</v>
      </c>
      <c r="W19" s="39"/>
      <c r="X19" s="39"/>
      <c r="Y19" s="39"/>
      <c r="Z19" s="39"/>
      <c r="AA19" s="39"/>
      <c r="AB19" s="39"/>
    </row>
    <row r="20" ht="15.75" customHeight="1">
      <c r="A20" s="39"/>
      <c r="B20" s="55"/>
      <c r="C20" s="56" t="s">
        <v>50</v>
      </c>
      <c r="D20" s="59" t="s">
        <v>53</v>
      </c>
      <c r="E20" s="53" t="e">
        <f t="shared" si="8"/>
        <v>#VALUE!</v>
      </c>
      <c r="F20" s="54" t="e">
        <f t="shared" si="9"/>
        <v>#VALUE!</v>
      </c>
      <c r="G20" s="54" t="e">
        <f t="shared" si="10"/>
        <v>#VALUE!</v>
      </c>
      <c r="H20" s="54" t="e">
        <f t="shared" ca="1" si="11"/>
        <v>#VALUE!</v>
      </c>
      <c r="I20" s="54" t="e">
        <f>#NAME?</f>
        <v>#NAME?</v>
      </c>
      <c r="J20" s="54" t="e">
        <f>#NAME?</f>
        <v>#NAME?</v>
      </c>
      <c r="K20" s="54" t="e">
        <f>#NAME?</f>
        <v>#NAME?</v>
      </c>
      <c r="L20" s="54" t="e">
        <f>#NAME?</f>
        <v>#NAME?</v>
      </c>
      <c r="M20" s="54" t="e">
        <f>#NAME?</f>
        <v>#NAME?</v>
      </c>
      <c r="N20" s="53" t="e">
        <f t="shared" si="12"/>
        <v>#VALUE!</v>
      </c>
      <c r="O20" s="54" t="e">
        <f t="shared" si="13"/>
        <v>#VALUE!</v>
      </c>
      <c r="P20" s="54" t="e">
        <f t="shared" si="14"/>
        <v>#VALUE!</v>
      </c>
      <c r="Q20" s="54" t="e">
        <f t="shared" ca="1" si="15"/>
        <v>#VALUE!</v>
      </c>
      <c r="R20" s="54" t="e">
        <f>#NAME?</f>
        <v>#NAME?</v>
      </c>
      <c r="S20" s="54" t="e">
        <f>#NAME?</f>
        <v>#NAME?</v>
      </c>
      <c r="T20" s="54" t="e">
        <f>#NAME?</f>
        <v>#NAME?</v>
      </c>
      <c r="U20" s="54" t="e">
        <f>#NAME?</f>
        <v>#NAME?</v>
      </c>
      <c r="V20" s="54" t="e">
        <f>#NAME?</f>
        <v>#NAME?</v>
      </c>
      <c r="W20" s="39"/>
      <c r="X20" s="39"/>
      <c r="Y20" s="39"/>
      <c r="Z20" s="39"/>
      <c r="AA20" s="39"/>
      <c r="AB20" s="39"/>
    </row>
    <row r="21" ht="15.75" customHeight="1">
      <c r="A21" s="39"/>
      <c r="B21" s="55"/>
      <c r="C21" s="56" t="s">
        <v>50</v>
      </c>
      <c r="D21" s="59" t="s">
        <v>54</v>
      </c>
      <c r="E21" s="53" t="e">
        <f t="shared" si="8"/>
        <v>#VALUE!</v>
      </c>
      <c r="F21" s="54" t="e">
        <f t="shared" si="9"/>
        <v>#VALUE!</v>
      </c>
      <c r="G21" s="54" t="e">
        <f t="shared" si="10"/>
        <v>#VALUE!</v>
      </c>
      <c r="H21" s="54" t="e">
        <f t="shared" ca="1" si="11"/>
        <v>#VALUE!</v>
      </c>
      <c r="I21" s="54" t="e">
        <f>#NAME?</f>
        <v>#NAME?</v>
      </c>
      <c r="J21" s="54" t="e">
        <f>#NAME?</f>
        <v>#NAME?</v>
      </c>
      <c r="K21" s="54" t="e">
        <f>#NAME?</f>
        <v>#NAME?</v>
      </c>
      <c r="L21" s="54" t="e">
        <f>#NAME?</f>
        <v>#NAME?</v>
      </c>
      <c r="M21" s="54" t="e">
        <f>#NAME?</f>
        <v>#NAME?</v>
      </c>
      <c r="N21" s="53" t="e">
        <f t="shared" si="12"/>
        <v>#VALUE!</v>
      </c>
      <c r="O21" s="54" t="e">
        <f t="shared" si="13"/>
        <v>#VALUE!</v>
      </c>
      <c r="P21" s="54" t="e">
        <f t="shared" si="14"/>
        <v>#VALUE!</v>
      </c>
      <c r="Q21" s="54" t="e">
        <f t="shared" ca="1" si="15"/>
        <v>#VALUE!</v>
      </c>
      <c r="R21" s="54" t="e">
        <f>#NAME?</f>
        <v>#NAME?</v>
      </c>
      <c r="S21" s="54" t="e">
        <f>#NAME?</f>
        <v>#NAME?</v>
      </c>
      <c r="T21" s="54" t="e">
        <f>#NAME?</f>
        <v>#NAME?</v>
      </c>
      <c r="U21" s="54" t="e">
        <f>#NAME?</f>
        <v>#NAME?</v>
      </c>
      <c r="V21" s="54" t="e">
        <f>#NAME?</f>
        <v>#NAME?</v>
      </c>
      <c r="W21" s="39"/>
      <c r="X21" s="39"/>
      <c r="Y21" s="39"/>
      <c r="Z21" s="39"/>
      <c r="AA21" s="39"/>
      <c r="AB21" s="39"/>
    </row>
    <row r="22" ht="15.75" customHeight="1">
      <c r="A22" s="39"/>
      <c r="B22" s="55"/>
      <c r="C22" s="56" t="s">
        <v>50</v>
      </c>
      <c r="D22" s="59" t="s">
        <v>55</v>
      </c>
      <c r="E22" s="53" t="e">
        <f t="shared" si="8"/>
        <v>#VALUE!</v>
      </c>
      <c r="F22" s="54" t="e">
        <f t="shared" si="9"/>
        <v>#VALUE!</v>
      </c>
      <c r="G22" s="54" t="e">
        <f t="shared" si="10"/>
        <v>#VALUE!</v>
      </c>
      <c r="H22" s="54" t="e">
        <f t="shared" ca="1" si="11"/>
        <v>#VALUE!</v>
      </c>
      <c r="I22" s="54" t="e">
        <f>#NAME?</f>
        <v>#NAME?</v>
      </c>
      <c r="J22" s="54" t="e">
        <f>#NAME?</f>
        <v>#NAME?</v>
      </c>
      <c r="K22" s="54" t="e">
        <f>#NAME?</f>
        <v>#NAME?</v>
      </c>
      <c r="L22" s="54" t="e">
        <f>#NAME?</f>
        <v>#NAME?</v>
      </c>
      <c r="M22" s="54" t="e">
        <f>#NAME?</f>
        <v>#NAME?</v>
      </c>
      <c r="N22" s="53" t="e">
        <f t="shared" si="12"/>
        <v>#VALUE!</v>
      </c>
      <c r="O22" s="54" t="e">
        <f t="shared" si="13"/>
        <v>#VALUE!</v>
      </c>
      <c r="P22" s="54" t="e">
        <f t="shared" si="14"/>
        <v>#VALUE!</v>
      </c>
      <c r="Q22" s="54" t="e">
        <f t="shared" ca="1" si="15"/>
        <v>#VALUE!</v>
      </c>
      <c r="R22" s="54" t="e">
        <f>#NAME?</f>
        <v>#NAME?</v>
      </c>
      <c r="S22" s="54" t="e">
        <f>#NAME?</f>
        <v>#NAME?</v>
      </c>
      <c r="T22" s="54" t="e">
        <f>#NAME?</f>
        <v>#NAME?</v>
      </c>
      <c r="U22" s="54" t="e">
        <f>#NAME?</f>
        <v>#NAME?</v>
      </c>
      <c r="V22" s="54" t="e">
        <f>#NAME?</f>
        <v>#NAME?</v>
      </c>
      <c r="W22" s="39"/>
      <c r="X22" s="39"/>
      <c r="Y22" s="39"/>
      <c r="Z22" s="39"/>
      <c r="AA22" s="39"/>
      <c r="AB22" s="39"/>
    </row>
    <row r="23" ht="15.75" customHeight="1">
      <c r="A23" s="39"/>
      <c r="B23" s="55"/>
      <c r="C23" s="56" t="s">
        <v>50</v>
      </c>
      <c r="D23" s="59" t="s">
        <v>56</v>
      </c>
      <c r="E23" s="53" t="e">
        <f t="shared" si="8"/>
        <v>#VALUE!</v>
      </c>
      <c r="F23" s="54" t="e">
        <f t="shared" si="9"/>
        <v>#VALUE!</v>
      </c>
      <c r="G23" s="54" t="e">
        <f t="shared" si="10"/>
        <v>#VALUE!</v>
      </c>
      <c r="H23" s="54" t="e">
        <f t="shared" ca="1" si="11"/>
        <v>#VALUE!</v>
      </c>
      <c r="I23" s="54" t="e">
        <f>#NAME?</f>
        <v>#NAME?</v>
      </c>
      <c r="J23" s="54" t="e">
        <f>#NAME?</f>
        <v>#NAME?</v>
      </c>
      <c r="K23" s="54" t="e">
        <f>#NAME?</f>
        <v>#NAME?</v>
      </c>
      <c r="L23" s="54" t="e">
        <f>#NAME?</f>
        <v>#NAME?</v>
      </c>
      <c r="M23" s="54" t="e">
        <f>#NAME?</f>
        <v>#NAME?</v>
      </c>
      <c r="N23" s="53" t="e">
        <f t="shared" si="12"/>
        <v>#VALUE!</v>
      </c>
      <c r="O23" s="54" t="e">
        <f t="shared" si="13"/>
        <v>#VALUE!</v>
      </c>
      <c r="P23" s="54" t="e">
        <f t="shared" si="14"/>
        <v>#VALUE!</v>
      </c>
      <c r="Q23" s="54" t="e">
        <f t="shared" ca="1" si="15"/>
        <v>#VALUE!</v>
      </c>
      <c r="R23" s="54" t="e">
        <f>#NAME?</f>
        <v>#NAME?</v>
      </c>
      <c r="S23" s="54" t="e">
        <f>#NAME?</f>
        <v>#NAME?</v>
      </c>
      <c r="T23" s="54" t="e">
        <f>#NAME?</f>
        <v>#NAME?</v>
      </c>
      <c r="U23" s="54" t="e">
        <f>#NAME?</f>
        <v>#NAME?</v>
      </c>
      <c r="V23" s="54" t="e">
        <f>#NAME?</f>
        <v>#NAME?</v>
      </c>
      <c r="W23" s="39"/>
      <c r="X23" s="39"/>
      <c r="Y23" s="39"/>
      <c r="Z23" s="39"/>
      <c r="AA23" s="39"/>
      <c r="AB23" s="39"/>
    </row>
    <row r="24" ht="15.75" customHeight="1">
      <c r="A24" s="39"/>
      <c r="B24" s="55"/>
      <c r="C24" s="56" t="s">
        <v>50</v>
      </c>
      <c r="D24" s="59" t="s">
        <v>57</v>
      </c>
      <c r="E24" s="53" t="e">
        <f t="shared" si="8"/>
        <v>#VALUE!</v>
      </c>
      <c r="F24" s="54" t="e">
        <f t="shared" si="9"/>
        <v>#VALUE!</v>
      </c>
      <c r="G24" s="54" t="e">
        <f t="shared" si="10"/>
        <v>#VALUE!</v>
      </c>
      <c r="H24" s="54" t="e">
        <f t="shared" ca="1" si="11"/>
        <v>#VALUE!</v>
      </c>
      <c r="I24" s="54" t="e">
        <f>#NAME?</f>
        <v>#NAME?</v>
      </c>
      <c r="J24" s="54" t="e">
        <f>#NAME?</f>
        <v>#NAME?</v>
      </c>
      <c r="K24" s="54" t="e">
        <f>#NAME?</f>
        <v>#NAME?</v>
      </c>
      <c r="L24" s="54" t="e">
        <f>#NAME?</f>
        <v>#NAME?</v>
      </c>
      <c r="M24" s="54" t="e">
        <f>#NAME?</f>
        <v>#NAME?</v>
      </c>
      <c r="N24" s="53" t="e">
        <f t="shared" si="12"/>
        <v>#VALUE!</v>
      </c>
      <c r="O24" s="54" t="e">
        <f t="shared" si="13"/>
        <v>#VALUE!</v>
      </c>
      <c r="P24" s="54" t="e">
        <f t="shared" si="14"/>
        <v>#VALUE!</v>
      </c>
      <c r="Q24" s="54" t="e">
        <f t="shared" ca="1" si="15"/>
        <v>#VALUE!</v>
      </c>
      <c r="R24" s="54" t="e">
        <f>#NAME?</f>
        <v>#NAME?</v>
      </c>
      <c r="S24" s="54" t="e">
        <f>#NAME?</f>
        <v>#NAME?</v>
      </c>
      <c r="T24" s="54" t="e">
        <f>#NAME?</f>
        <v>#NAME?</v>
      </c>
      <c r="U24" s="54" t="e">
        <f>#NAME?</f>
        <v>#NAME?</v>
      </c>
      <c r="V24" s="54" t="e">
        <f>#NAME?</f>
        <v>#NAME?</v>
      </c>
      <c r="W24" s="39"/>
      <c r="X24" s="39"/>
      <c r="Y24" s="39"/>
      <c r="Z24" s="39"/>
      <c r="AA24" s="39"/>
      <c r="AB24" s="39"/>
    </row>
    <row r="25" ht="15.75" customHeight="1">
      <c r="A25" s="39"/>
      <c r="B25" s="55"/>
      <c r="C25" s="56" t="s">
        <v>50</v>
      </c>
      <c r="D25" s="59" t="s">
        <v>58</v>
      </c>
      <c r="E25" s="53" t="e">
        <f t="shared" si="8"/>
        <v>#VALUE!</v>
      </c>
      <c r="F25" s="54" t="e">
        <f t="shared" si="9"/>
        <v>#VALUE!</v>
      </c>
      <c r="G25" s="54" t="e">
        <f t="shared" si="10"/>
        <v>#VALUE!</v>
      </c>
      <c r="H25" s="54" t="e">
        <f t="shared" ca="1" si="11"/>
        <v>#VALUE!</v>
      </c>
      <c r="I25" s="54" t="e">
        <f>#NAME?</f>
        <v>#NAME?</v>
      </c>
      <c r="J25" s="54" t="e">
        <f>#NAME?</f>
        <v>#NAME?</v>
      </c>
      <c r="K25" s="54" t="e">
        <f>#NAME?</f>
        <v>#NAME?</v>
      </c>
      <c r="L25" s="54" t="e">
        <f>#NAME?</f>
        <v>#NAME?</v>
      </c>
      <c r="M25" s="54" t="e">
        <f>#NAME?</f>
        <v>#NAME?</v>
      </c>
      <c r="N25" s="53" t="e">
        <f t="shared" si="12"/>
        <v>#VALUE!</v>
      </c>
      <c r="O25" s="54" t="e">
        <f t="shared" si="13"/>
        <v>#VALUE!</v>
      </c>
      <c r="P25" s="54" t="e">
        <f t="shared" si="14"/>
        <v>#VALUE!</v>
      </c>
      <c r="Q25" s="54" t="e">
        <f t="shared" ca="1" si="15"/>
        <v>#VALUE!</v>
      </c>
      <c r="R25" s="54" t="e">
        <f>#NAME?</f>
        <v>#NAME?</v>
      </c>
      <c r="S25" s="54" t="e">
        <f>#NAME?</f>
        <v>#NAME?</v>
      </c>
      <c r="T25" s="54" t="e">
        <f>#NAME?</f>
        <v>#NAME?</v>
      </c>
      <c r="U25" s="54" t="e">
        <f>#NAME?</f>
        <v>#NAME?</v>
      </c>
      <c r="V25" s="54" t="e">
        <f>#NAME?</f>
        <v>#NAME?</v>
      </c>
      <c r="W25" s="39"/>
      <c r="X25" s="39"/>
      <c r="Y25" s="39"/>
      <c r="Z25" s="39"/>
      <c r="AA25" s="39"/>
      <c r="AB25" s="39"/>
    </row>
    <row r="26" ht="15.75" customHeight="1">
      <c r="A26" s="39"/>
      <c r="B26" s="55"/>
      <c r="C26" s="56" t="s">
        <v>50</v>
      </c>
      <c r="D26" s="59" t="s">
        <v>59</v>
      </c>
      <c r="E26" s="53" t="e">
        <f t="shared" si="8"/>
        <v>#VALUE!</v>
      </c>
      <c r="F26" s="54" t="e">
        <f t="shared" si="9"/>
        <v>#VALUE!</v>
      </c>
      <c r="G26" s="54" t="e">
        <f t="shared" si="10"/>
        <v>#VALUE!</v>
      </c>
      <c r="H26" s="54" t="e">
        <f t="shared" ca="1" si="11"/>
        <v>#VALUE!</v>
      </c>
      <c r="I26" s="54" t="e">
        <f>#NAME?</f>
        <v>#NAME?</v>
      </c>
      <c r="J26" s="54" t="e">
        <f>#NAME?</f>
        <v>#NAME?</v>
      </c>
      <c r="K26" s="54" t="e">
        <f>#NAME?</f>
        <v>#NAME?</v>
      </c>
      <c r="L26" s="54" t="e">
        <f>#NAME?</f>
        <v>#NAME?</v>
      </c>
      <c r="M26" s="54" t="e">
        <f>#NAME?</f>
        <v>#NAME?</v>
      </c>
      <c r="N26" s="53" t="e">
        <f t="shared" si="12"/>
        <v>#VALUE!</v>
      </c>
      <c r="O26" s="54" t="e">
        <f t="shared" si="13"/>
        <v>#VALUE!</v>
      </c>
      <c r="P26" s="54" t="e">
        <f t="shared" si="14"/>
        <v>#VALUE!</v>
      </c>
      <c r="Q26" s="54" t="e">
        <f t="shared" ca="1" si="15"/>
        <v>#VALUE!</v>
      </c>
      <c r="R26" s="54" t="e">
        <f>#NAME?</f>
        <v>#NAME?</v>
      </c>
      <c r="S26" s="54" t="e">
        <f>#NAME?</f>
        <v>#NAME?</v>
      </c>
      <c r="T26" s="54" t="e">
        <f>#NAME?</f>
        <v>#NAME?</v>
      </c>
      <c r="U26" s="54" t="e">
        <f>#NAME?</f>
        <v>#NAME?</v>
      </c>
      <c r="V26" s="54" t="e">
        <f>#NAME?</f>
        <v>#NAME?</v>
      </c>
      <c r="W26" s="39"/>
      <c r="X26" s="39"/>
      <c r="Y26" s="39"/>
      <c r="Z26" s="39"/>
      <c r="AA26" s="39"/>
      <c r="AB26" s="39"/>
    </row>
    <row r="27" ht="15.75" customHeight="1">
      <c r="A27" s="39"/>
      <c r="B27" s="55"/>
      <c r="C27" s="56" t="s">
        <v>50</v>
      </c>
      <c r="D27" s="59" t="s">
        <v>60</v>
      </c>
      <c r="E27" s="53" t="e">
        <f t="shared" si="8"/>
        <v>#VALUE!</v>
      </c>
      <c r="F27" s="54" t="e">
        <f t="shared" si="9"/>
        <v>#VALUE!</v>
      </c>
      <c r="G27" s="54" t="e">
        <f t="shared" si="10"/>
        <v>#VALUE!</v>
      </c>
      <c r="H27" s="54" t="e">
        <f t="shared" ca="1" si="11"/>
        <v>#VALUE!</v>
      </c>
      <c r="I27" s="54" t="e">
        <f>#NAME?</f>
        <v>#NAME?</v>
      </c>
      <c r="J27" s="54" t="e">
        <f>#NAME?</f>
        <v>#NAME?</v>
      </c>
      <c r="K27" s="54" t="e">
        <f>#NAME?</f>
        <v>#NAME?</v>
      </c>
      <c r="L27" s="54" t="e">
        <f>#NAME?</f>
        <v>#NAME?</v>
      </c>
      <c r="M27" s="54" t="e">
        <f>#NAME?</f>
        <v>#NAME?</v>
      </c>
      <c r="N27" s="53" t="e">
        <f t="shared" si="12"/>
        <v>#VALUE!</v>
      </c>
      <c r="O27" s="54" t="e">
        <f t="shared" si="13"/>
        <v>#VALUE!</v>
      </c>
      <c r="P27" s="54" t="e">
        <f t="shared" si="14"/>
        <v>#VALUE!</v>
      </c>
      <c r="Q27" s="54" t="e">
        <f t="shared" ca="1" si="15"/>
        <v>#VALUE!</v>
      </c>
      <c r="R27" s="54" t="e">
        <f>#NAME?</f>
        <v>#NAME?</v>
      </c>
      <c r="S27" s="54" t="e">
        <f>#NAME?</f>
        <v>#NAME?</v>
      </c>
      <c r="T27" s="54" t="e">
        <f>#NAME?</f>
        <v>#NAME?</v>
      </c>
      <c r="U27" s="54" t="e">
        <f>#NAME?</f>
        <v>#NAME?</v>
      </c>
      <c r="V27" s="54" t="e">
        <f>#NAME?</f>
        <v>#NAME?</v>
      </c>
      <c r="W27" s="39"/>
      <c r="X27" s="39"/>
      <c r="Y27" s="39"/>
      <c r="Z27" s="39"/>
      <c r="AA27" s="39"/>
      <c r="AB27" s="39"/>
    </row>
    <row r="28" ht="15.75" customHeight="1">
      <c r="A28" s="39"/>
      <c r="B28" s="55"/>
      <c r="C28" s="56" t="s">
        <v>50</v>
      </c>
      <c r="D28" s="59" t="s">
        <v>61</v>
      </c>
      <c r="E28" s="53" t="e">
        <f t="shared" si="8"/>
        <v>#VALUE!</v>
      </c>
      <c r="F28" s="54" t="e">
        <f t="shared" si="9"/>
        <v>#VALUE!</v>
      </c>
      <c r="G28" s="54" t="e">
        <f t="shared" si="10"/>
        <v>#VALUE!</v>
      </c>
      <c r="H28" s="54" t="e">
        <f t="shared" ca="1" si="11"/>
        <v>#VALUE!</v>
      </c>
      <c r="I28" s="54" t="e">
        <f>#NAME?</f>
        <v>#NAME?</v>
      </c>
      <c r="J28" s="54" t="e">
        <f>#NAME?</f>
        <v>#NAME?</v>
      </c>
      <c r="K28" s="54" t="e">
        <f>#NAME?</f>
        <v>#NAME?</v>
      </c>
      <c r="L28" s="54" t="e">
        <f>#NAME?</f>
        <v>#NAME?</v>
      </c>
      <c r="M28" s="54" t="e">
        <f>#NAME?</f>
        <v>#NAME?</v>
      </c>
      <c r="N28" s="53" t="e">
        <f t="shared" si="12"/>
        <v>#VALUE!</v>
      </c>
      <c r="O28" s="54" t="e">
        <f t="shared" si="13"/>
        <v>#VALUE!</v>
      </c>
      <c r="P28" s="54" t="e">
        <f t="shared" si="14"/>
        <v>#VALUE!</v>
      </c>
      <c r="Q28" s="54" t="e">
        <f t="shared" ca="1" si="15"/>
        <v>#VALUE!</v>
      </c>
      <c r="R28" s="54" t="e">
        <f>#NAME?</f>
        <v>#NAME?</v>
      </c>
      <c r="S28" s="54" t="e">
        <f>#NAME?</f>
        <v>#NAME?</v>
      </c>
      <c r="T28" s="54" t="e">
        <f>#NAME?</f>
        <v>#NAME?</v>
      </c>
      <c r="U28" s="54" t="e">
        <f>#NAME?</f>
        <v>#NAME?</v>
      </c>
      <c r="V28" s="54" t="e">
        <f>#NAME?</f>
        <v>#NAME?</v>
      </c>
      <c r="W28" s="39"/>
      <c r="X28" s="39"/>
      <c r="Y28" s="39"/>
      <c r="Z28" s="39"/>
      <c r="AA28" s="39"/>
      <c r="AB28" s="39"/>
    </row>
    <row r="29" ht="15.75" customHeight="1">
      <c r="A29" s="39"/>
      <c r="B29" s="55"/>
      <c r="C29" s="56" t="s">
        <v>50</v>
      </c>
      <c r="D29" s="52" t="s">
        <v>62</v>
      </c>
      <c r="E29" s="53" t="e">
        <f t="shared" si="8"/>
        <v>#VALUE!</v>
      </c>
      <c r="F29" s="54" t="e">
        <f t="shared" si="9"/>
        <v>#VALUE!</v>
      </c>
      <c r="G29" s="54" t="e">
        <f t="shared" si="10"/>
        <v>#VALUE!</v>
      </c>
      <c r="H29" s="54" t="e">
        <f t="shared" ca="1" si="11"/>
        <v>#VALUE!</v>
      </c>
      <c r="I29" s="54" t="e">
        <f>#NAME?</f>
        <v>#NAME?</v>
      </c>
      <c r="J29" s="54" t="e">
        <f>#NAME?</f>
        <v>#NAME?</v>
      </c>
      <c r="K29" s="54" t="e">
        <f>#NAME?</f>
        <v>#NAME?</v>
      </c>
      <c r="L29" s="54" t="e">
        <f>#NAME?</f>
        <v>#NAME?</v>
      </c>
      <c r="M29" s="54" t="e">
        <f>#NAME?</f>
        <v>#NAME?</v>
      </c>
      <c r="N29" s="53" t="e">
        <f t="shared" si="12"/>
        <v>#VALUE!</v>
      </c>
      <c r="O29" s="54" t="e">
        <f t="shared" si="13"/>
        <v>#VALUE!</v>
      </c>
      <c r="P29" s="54" t="e">
        <f t="shared" si="14"/>
        <v>#VALUE!</v>
      </c>
      <c r="Q29" s="54" t="e">
        <f t="shared" ca="1" si="15"/>
        <v>#VALUE!</v>
      </c>
      <c r="R29" s="54" t="e">
        <f>#NAME?</f>
        <v>#NAME?</v>
      </c>
      <c r="S29" s="54" t="e">
        <f>#NAME?</f>
        <v>#NAME?</v>
      </c>
      <c r="T29" s="54" t="e">
        <f>#NAME?</f>
        <v>#NAME?</v>
      </c>
      <c r="U29" s="54" t="e">
        <f>#NAME?</f>
        <v>#NAME?</v>
      </c>
      <c r="V29" s="54" t="e">
        <f>#NAME?</f>
        <v>#NAME?</v>
      </c>
      <c r="W29" s="39"/>
      <c r="X29" s="39"/>
      <c r="Y29" s="39"/>
      <c r="Z29" s="39"/>
      <c r="AA29" s="39"/>
      <c r="AB29" s="39"/>
    </row>
    <row r="30" ht="15.75" customHeight="1">
      <c r="A30" s="39"/>
      <c r="B30" s="55"/>
      <c r="C30" s="56" t="s">
        <v>50</v>
      </c>
      <c r="D30" s="59" t="s">
        <v>63</v>
      </c>
      <c r="E30" s="53" t="e">
        <f t="shared" si="8"/>
        <v>#VALUE!</v>
      </c>
      <c r="F30" s="54" t="e">
        <f t="shared" si="9"/>
        <v>#VALUE!</v>
      </c>
      <c r="G30" s="54" t="e">
        <f t="shared" si="10"/>
        <v>#VALUE!</v>
      </c>
      <c r="H30" s="54" t="e">
        <f t="shared" ca="1" si="11"/>
        <v>#VALUE!</v>
      </c>
      <c r="I30" s="54" t="e">
        <f>#NAME?</f>
        <v>#NAME?</v>
      </c>
      <c r="J30" s="54" t="e">
        <f>#NAME?</f>
        <v>#NAME?</v>
      </c>
      <c r="K30" s="54" t="e">
        <f>#NAME?</f>
        <v>#NAME?</v>
      </c>
      <c r="L30" s="54" t="e">
        <f>#NAME?</f>
        <v>#NAME?</v>
      </c>
      <c r="M30" s="54" t="e">
        <f>#NAME?</f>
        <v>#NAME?</v>
      </c>
      <c r="N30" s="53" t="e">
        <f t="shared" si="12"/>
        <v>#VALUE!</v>
      </c>
      <c r="O30" s="54" t="e">
        <f t="shared" si="13"/>
        <v>#VALUE!</v>
      </c>
      <c r="P30" s="54" t="e">
        <f t="shared" si="14"/>
        <v>#VALUE!</v>
      </c>
      <c r="Q30" s="54" t="e">
        <f t="shared" ca="1" si="15"/>
        <v>#VALUE!</v>
      </c>
      <c r="R30" s="54" t="e">
        <f>#NAME?</f>
        <v>#NAME?</v>
      </c>
      <c r="S30" s="54" t="e">
        <f>#NAME?</f>
        <v>#NAME?</v>
      </c>
      <c r="T30" s="54" t="e">
        <f>#NAME?</f>
        <v>#NAME?</v>
      </c>
      <c r="U30" s="54" t="e">
        <f>#NAME?</f>
        <v>#NAME?</v>
      </c>
      <c r="V30" s="54" t="e">
        <f>#NAME?</f>
        <v>#NAME?</v>
      </c>
      <c r="W30" s="39"/>
      <c r="X30" s="39"/>
      <c r="Y30" s="39"/>
      <c r="Z30" s="39"/>
      <c r="AA30" s="39"/>
      <c r="AB30" s="39"/>
    </row>
    <row r="31" ht="15.75" customHeight="1">
      <c r="A31" s="39"/>
      <c r="B31" s="55"/>
      <c r="C31" s="56" t="s">
        <v>50</v>
      </c>
      <c r="D31" s="59" t="s">
        <v>64</v>
      </c>
      <c r="E31" s="53" t="e">
        <f t="shared" si="8"/>
        <v>#VALUE!</v>
      </c>
      <c r="F31" s="54" t="e">
        <f t="shared" si="9"/>
        <v>#VALUE!</v>
      </c>
      <c r="G31" s="54" t="e">
        <f t="shared" si="10"/>
        <v>#VALUE!</v>
      </c>
      <c r="H31" s="54" t="e">
        <f t="shared" ca="1" si="11"/>
        <v>#VALUE!</v>
      </c>
      <c r="I31" s="54" t="e">
        <f>#NAME?</f>
        <v>#NAME?</v>
      </c>
      <c r="J31" s="54" t="e">
        <f>#NAME?</f>
        <v>#NAME?</v>
      </c>
      <c r="K31" s="54" t="e">
        <f>#NAME?</f>
        <v>#NAME?</v>
      </c>
      <c r="L31" s="54" t="e">
        <f>#NAME?</f>
        <v>#NAME?</v>
      </c>
      <c r="M31" s="54" t="e">
        <f>#NAME?</f>
        <v>#NAME?</v>
      </c>
      <c r="N31" s="53" t="e">
        <f t="shared" si="12"/>
        <v>#VALUE!</v>
      </c>
      <c r="O31" s="54" t="e">
        <f t="shared" si="13"/>
        <v>#VALUE!</v>
      </c>
      <c r="P31" s="54" t="e">
        <f t="shared" si="14"/>
        <v>#VALUE!</v>
      </c>
      <c r="Q31" s="54" t="e">
        <f t="shared" ca="1" si="15"/>
        <v>#VALUE!</v>
      </c>
      <c r="R31" s="54" t="e">
        <f>#NAME?</f>
        <v>#NAME?</v>
      </c>
      <c r="S31" s="54" t="e">
        <f>#NAME?</f>
        <v>#NAME?</v>
      </c>
      <c r="T31" s="54" t="e">
        <f>#NAME?</f>
        <v>#NAME?</v>
      </c>
      <c r="U31" s="54" t="e">
        <f>#NAME?</f>
        <v>#NAME?</v>
      </c>
      <c r="V31" s="54" t="e">
        <f>#NAME?</f>
        <v>#NAME?</v>
      </c>
      <c r="W31" s="39"/>
      <c r="X31" s="39"/>
      <c r="Y31" s="39"/>
      <c r="Z31" s="39"/>
      <c r="AA31" s="39"/>
      <c r="AB31" s="39"/>
    </row>
    <row r="32" ht="15.75" customHeight="1">
      <c r="A32" s="39"/>
      <c r="B32" s="14"/>
      <c r="C32" s="60" t="s">
        <v>29</v>
      </c>
      <c r="D32" s="60"/>
      <c r="E32" s="61" t="e">
        <f t="shared" si="8"/>
        <v>#NAME?</v>
      </c>
      <c r="F32" s="62" t="e">
        <f t="shared" si="9"/>
        <v>#NAME?</v>
      </c>
      <c r="G32" s="62" t="e">
        <f t="shared" si="10"/>
        <v>#NAME?</v>
      </c>
      <c r="H32" s="62" t="e">
        <f>SUM(H4:H31)</f>
        <v>#NAME?</v>
      </c>
      <c r="I32" s="62" t="e">
        <f>SUM(I4:I31)</f>
        <v>#NAME?</v>
      </c>
      <c r="J32" s="62" t="e">
        <f>SUM(J4:J31)</f>
        <v>#NAME?</v>
      </c>
      <c r="K32" s="62" t="e">
        <f>SUM(K4:K31)</f>
        <v>#NAME?</v>
      </c>
      <c r="L32" s="62" t="e">
        <f>SUM(L4:L31)</f>
        <v>#NAME?</v>
      </c>
      <c r="M32" s="62" t="e">
        <f>SUM(M4:M31)</f>
        <v>#NAME?</v>
      </c>
      <c r="N32" s="61" t="e">
        <f t="shared" si="12"/>
        <v>#NAME?</v>
      </c>
      <c r="O32" s="62" t="e">
        <f t="shared" si="13"/>
        <v>#NAME?</v>
      </c>
      <c r="P32" s="62" t="e">
        <f t="shared" si="14"/>
        <v>#NAME?</v>
      </c>
      <c r="Q32" s="62" t="e">
        <f>SUM(Q4:Q31)</f>
        <v>#NAME?</v>
      </c>
      <c r="R32" s="62" t="e">
        <f>SUM(R4:R31)</f>
        <v>#NAME?</v>
      </c>
      <c r="S32" s="62" t="e">
        <f>SUM(S4:S31)</f>
        <v>#NAME?</v>
      </c>
      <c r="T32" s="62" t="e">
        <f>SUM(T4:T31)</f>
        <v>#NAME?</v>
      </c>
      <c r="U32" s="62" t="e">
        <f>SUM(U4:U31)</f>
        <v>#NAME?</v>
      </c>
      <c r="V32" s="62" t="e">
        <f>SUM(V4:V31)</f>
        <v>#NAME?</v>
      </c>
      <c r="W32" s="39"/>
      <c r="X32" s="39"/>
      <c r="Y32" s="39"/>
      <c r="Z32" s="39"/>
      <c r="AA32" s="39"/>
      <c r="AB32" s="39"/>
    </row>
    <row r="33" ht="15.75" customHeight="1">
      <c r="A33" s="39"/>
      <c r="B33" s="51" t="s">
        <v>65</v>
      </c>
      <c r="C33" s="52" t="s">
        <v>38</v>
      </c>
      <c r="D33" s="52" t="s">
        <v>38</v>
      </c>
      <c r="E33" s="53" t="e">
        <f t="shared" si="8"/>
        <v>#NAME?</v>
      </c>
      <c r="F33" s="54" t="e">
        <f t="shared" si="9"/>
        <v>#NAME?</v>
      </c>
      <c r="G33" s="54" t="e">
        <f t="shared" si="10"/>
        <v>#NAME?</v>
      </c>
      <c r="H33" s="54" t="e">
        <f ca="1">COUNTIFS(
  INDIRECT("'"&amp;$B$33&amp;"'!M13:M1048576"),H$3,
  INDIRECT("'"&amp;$B$33&amp;"'!B13:B1048576"),$C33,
  INDIRECT("'"&amp;$B$33&amp;"'!C13:C1048576"),$D33
)</f>
        <v>#NAME?</v>
      </c>
      <c r="I33" s="54" t="e">
        <f>#NAME?</f>
        <v>#NAME?</v>
      </c>
      <c r="J33" s="54" t="e">
        <f>#NAME?</f>
        <v>#NAME?</v>
      </c>
      <c r="K33" s="54" t="e">
        <f>#NAME?</f>
        <v>#NAME?</v>
      </c>
      <c r="L33" s="54" t="e">
        <f>#NAME?</f>
        <v>#NAME?</v>
      </c>
      <c r="M33" s="54" t="e">
        <f>#NAME?</f>
        <v>#NAME?</v>
      </c>
      <c r="N33" s="53" t="e">
        <f t="shared" si="12"/>
        <v>#NAME?</v>
      </c>
      <c r="O33" s="54" t="e">
        <f t="shared" si="13"/>
        <v>#NAME?</v>
      </c>
      <c r="P33" s="54" t="e">
        <f t="shared" si="14"/>
        <v>#NAME?</v>
      </c>
      <c r="Q33" s="54" t="e">
        <f ca="1">COUNTIFS(
  INDIRECT("'"&amp;$B$33&amp;"'!R13:R1048576"),H$3,
  INDIRECT("'"&amp;$B$33&amp;"'!B13:B1048576"),$C33,
  INDIRECT("'"&amp;$B$33&amp;"'!C13:C1048576"),$D33
)</f>
        <v>#NAME?</v>
      </c>
      <c r="R33" s="54" t="e">
        <f>#NAME?</f>
        <v>#NAME?</v>
      </c>
      <c r="S33" s="54" t="e">
        <f>#NAME?</f>
        <v>#NAME?</v>
      </c>
      <c r="T33" s="54" t="e">
        <f>#NAME?</f>
        <v>#NAME?</v>
      </c>
      <c r="U33" s="54" t="e">
        <f>#NAME?</f>
        <v>#NAME?</v>
      </c>
      <c r="V33" s="54" t="e">
        <f>#NAME?</f>
        <v>#NAME?</v>
      </c>
      <c r="W33" s="39"/>
      <c r="X33" s="39"/>
      <c r="Y33" s="39"/>
      <c r="Z33" s="39"/>
      <c r="AA33" s="39"/>
      <c r="AB33" s="39"/>
    </row>
    <row r="34" ht="15.75" customHeight="1">
      <c r="A34" s="39"/>
      <c r="B34" s="55"/>
      <c r="C34" s="52" t="s">
        <v>39</v>
      </c>
      <c r="D34" s="52" t="s">
        <v>39</v>
      </c>
      <c r="E34" s="53" t="e">
        <f t="shared" si="8"/>
        <v>#VALUE!</v>
      </c>
      <c r="F34" s="54" t="e">
        <f t="shared" si="9"/>
        <v>#VALUE!</v>
      </c>
      <c r="G34" s="54" t="e">
        <f t="shared" si="10"/>
        <v>#VALUE!</v>
      </c>
      <c r="H34" s="54" t="e">
        <f t="shared" ref="H34:H39" ca="1" si="16">COUNTIFS(
INDIRECT("'"&amp;$B$33&amp;"'!M13:M1048576"),H$3,
INDIRECT("'"&amp;$B$33&amp;"'!B13:B1048576"),$C34,
INDIRECT("'"&amp;$B$33&amp;"'!C13:C1048576"),
$D34)</f>
        <v>#VALUE!</v>
      </c>
      <c r="I34" s="54" t="e">
        <f>#NAME?</f>
        <v>#NAME?</v>
      </c>
      <c r="J34" s="54" t="e">
        <f>#NAME?</f>
        <v>#NAME?</v>
      </c>
      <c r="K34" s="54" t="e">
        <f>#NAME?</f>
        <v>#NAME?</v>
      </c>
      <c r="L34" s="54" t="e">
        <f>#NAME?</f>
        <v>#NAME?</v>
      </c>
      <c r="M34" s="54" t="e">
        <f>#NAME?</f>
        <v>#NAME?</v>
      </c>
      <c r="N34" s="53" t="e">
        <f t="shared" si="12"/>
        <v>#VALUE!</v>
      </c>
      <c r="O34" s="54" t="e">
        <f t="shared" si="13"/>
        <v>#VALUE!</v>
      </c>
      <c r="P34" s="54" t="e">
        <f t="shared" si="14"/>
        <v>#VALUE!</v>
      </c>
      <c r="Q34" s="54" t="e">
        <f t="shared" ref="Q34:Q39" ca="1" si="17">COUNTIFS(
INDIRECT("'"&amp;$B$33&amp;"'!R13:R1048576"),H$3,
INDIRECT("'"&amp;$B$33&amp;"'!B13:B1048576"),$C34,
INDIRECT("'"&amp;$B$33&amp;"'!C13:C1048576"),
$D34)</f>
        <v>#VALUE!</v>
      </c>
      <c r="R34" s="54" t="e">
        <f>#NAME?</f>
        <v>#NAME?</v>
      </c>
      <c r="S34" s="54" t="e">
        <f>#NAME?</f>
        <v>#NAME?</v>
      </c>
      <c r="T34" s="54" t="e">
        <f>#NAME?</f>
        <v>#NAME?</v>
      </c>
      <c r="U34" s="54" t="e">
        <f>#NAME?</f>
        <v>#NAME?</v>
      </c>
      <c r="V34" s="54" t="e">
        <f>#NAME?</f>
        <v>#NAME?</v>
      </c>
      <c r="W34" s="39"/>
      <c r="X34" s="39"/>
      <c r="Y34" s="39"/>
      <c r="Z34" s="39"/>
      <c r="AA34" s="39"/>
      <c r="AB34" s="39"/>
    </row>
    <row r="35" ht="15.75" customHeight="1">
      <c r="A35" s="39"/>
      <c r="B35" s="55"/>
      <c r="C35" s="59" t="s">
        <v>66</v>
      </c>
      <c r="D35" s="59" t="s">
        <v>67</v>
      </c>
      <c r="E35" s="53" t="e">
        <f t="shared" si="8"/>
        <v>#VALUE!</v>
      </c>
      <c r="F35" s="54" t="e">
        <f t="shared" si="9"/>
        <v>#VALUE!</v>
      </c>
      <c r="G35" s="54" t="e">
        <f t="shared" si="10"/>
        <v>#VALUE!</v>
      </c>
      <c r="H35" s="54" t="e">
        <f t="shared" ca="1" si="16"/>
        <v>#VALUE!</v>
      </c>
      <c r="I35" s="54" t="e">
        <f>#NAME?</f>
        <v>#NAME?</v>
      </c>
      <c r="J35" s="54" t="e">
        <f>#NAME?</f>
        <v>#NAME?</v>
      </c>
      <c r="K35" s="54" t="e">
        <f>#NAME?</f>
        <v>#NAME?</v>
      </c>
      <c r="L35" s="54" t="e">
        <f>#NAME?</f>
        <v>#NAME?</v>
      </c>
      <c r="M35" s="54" t="e">
        <f>#NAME?</f>
        <v>#NAME?</v>
      </c>
      <c r="N35" s="53" t="e">
        <f t="shared" si="12"/>
        <v>#VALUE!</v>
      </c>
      <c r="O35" s="54" t="e">
        <f t="shared" si="13"/>
        <v>#VALUE!</v>
      </c>
      <c r="P35" s="54" t="e">
        <f t="shared" si="14"/>
        <v>#VALUE!</v>
      </c>
      <c r="Q35" s="54" t="e">
        <f t="shared" ca="1" si="17"/>
        <v>#VALUE!</v>
      </c>
      <c r="R35" s="54" t="e">
        <f>#NAME?</f>
        <v>#NAME?</v>
      </c>
      <c r="S35" s="54" t="e">
        <f>#NAME?</f>
        <v>#NAME?</v>
      </c>
      <c r="T35" s="54" t="e">
        <f>#NAME?</f>
        <v>#NAME?</v>
      </c>
      <c r="U35" s="54" t="e">
        <f>#NAME?</f>
        <v>#NAME?</v>
      </c>
      <c r="V35" s="54" t="e">
        <f>#NAME?</f>
        <v>#NAME?</v>
      </c>
      <c r="W35" s="39"/>
      <c r="X35" s="39"/>
      <c r="Y35" s="39"/>
      <c r="Z35" s="39"/>
      <c r="AA35" s="39"/>
      <c r="AB35" s="39"/>
    </row>
    <row r="36" ht="15.75" customHeight="1">
      <c r="A36" s="39"/>
      <c r="B36" s="55"/>
      <c r="C36" s="59" t="s">
        <v>66</v>
      </c>
      <c r="D36" s="59" t="s">
        <v>68</v>
      </c>
      <c r="E36" s="53" t="e">
        <f t="shared" si="8"/>
        <v>#VALUE!</v>
      </c>
      <c r="F36" s="54" t="e">
        <f t="shared" si="9"/>
        <v>#VALUE!</v>
      </c>
      <c r="G36" s="54" t="e">
        <f t="shared" si="10"/>
        <v>#VALUE!</v>
      </c>
      <c r="H36" s="54" t="e">
        <f t="shared" ca="1" si="16"/>
        <v>#VALUE!</v>
      </c>
      <c r="I36" s="54" t="e">
        <f>#NAME?</f>
        <v>#NAME?</v>
      </c>
      <c r="J36" s="54" t="e">
        <f>#NAME?</f>
        <v>#NAME?</v>
      </c>
      <c r="K36" s="54" t="e">
        <f>#NAME?</f>
        <v>#NAME?</v>
      </c>
      <c r="L36" s="54" t="e">
        <f>#NAME?</f>
        <v>#NAME?</v>
      </c>
      <c r="M36" s="54" t="e">
        <f>#NAME?</f>
        <v>#NAME?</v>
      </c>
      <c r="N36" s="53" t="e">
        <f t="shared" si="12"/>
        <v>#VALUE!</v>
      </c>
      <c r="O36" s="54" t="e">
        <f t="shared" si="13"/>
        <v>#VALUE!</v>
      </c>
      <c r="P36" s="54" t="e">
        <f t="shared" si="14"/>
        <v>#VALUE!</v>
      </c>
      <c r="Q36" s="54" t="e">
        <f t="shared" ca="1" si="17"/>
        <v>#VALUE!</v>
      </c>
      <c r="R36" s="54" t="e">
        <f>#NAME?</f>
        <v>#NAME?</v>
      </c>
      <c r="S36" s="54" t="e">
        <f>#NAME?</f>
        <v>#NAME?</v>
      </c>
      <c r="T36" s="54" t="e">
        <f>#NAME?</f>
        <v>#NAME?</v>
      </c>
      <c r="U36" s="54" t="e">
        <f>#NAME?</f>
        <v>#NAME?</v>
      </c>
      <c r="V36" s="54" t="e">
        <f>#NAME?</f>
        <v>#NAME?</v>
      </c>
      <c r="W36" s="39"/>
      <c r="X36" s="39"/>
      <c r="Y36" s="39"/>
      <c r="Z36" s="39"/>
      <c r="AA36" s="39"/>
      <c r="AB36" s="39"/>
    </row>
    <row r="37" ht="15.75" customHeight="1">
      <c r="A37" s="39"/>
      <c r="B37" s="55"/>
      <c r="C37" s="59" t="s">
        <v>66</v>
      </c>
      <c r="D37" s="57" t="s">
        <v>41</v>
      </c>
      <c r="E37" s="53" t="e">
        <f t="shared" si="8"/>
        <v>#VALUE!</v>
      </c>
      <c r="F37" s="54" t="e">
        <f t="shared" si="9"/>
        <v>#VALUE!</v>
      </c>
      <c r="G37" s="54" t="e">
        <f t="shared" si="10"/>
        <v>#VALUE!</v>
      </c>
      <c r="H37" s="54" t="e">
        <f t="shared" ca="1" si="16"/>
        <v>#VALUE!</v>
      </c>
      <c r="I37" s="54" t="e">
        <f>#NAME?</f>
        <v>#NAME?</v>
      </c>
      <c r="J37" s="54" t="e">
        <f>#NAME?</f>
        <v>#NAME?</v>
      </c>
      <c r="K37" s="54" t="e">
        <f>#NAME?</f>
        <v>#NAME?</v>
      </c>
      <c r="L37" s="54" t="e">
        <f>#NAME?</f>
        <v>#NAME?</v>
      </c>
      <c r="M37" s="54" t="e">
        <f>#NAME?</f>
        <v>#NAME?</v>
      </c>
      <c r="N37" s="53" t="e">
        <f t="shared" si="12"/>
        <v>#VALUE!</v>
      </c>
      <c r="O37" s="54" t="e">
        <f t="shared" si="13"/>
        <v>#VALUE!</v>
      </c>
      <c r="P37" s="54" t="e">
        <f t="shared" si="14"/>
        <v>#VALUE!</v>
      </c>
      <c r="Q37" s="54" t="e">
        <f t="shared" ca="1" si="17"/>
        <v>#VALUE!</v>
      </c>
      <c r="R37" s="54" t="e">
        <f>#NAME?</f>
        <v>#NAME?</v>
      </c>
      <c r="S37" s="54" t="e">
        <f>#NAME?</f>
        <v>#NAME?</v>
      </c>
      <c r="T37" s="54" t="e">
        <f>#NAME?</f>
        <v>#NAME?</v>
      </c>
      <c r="U37" s="54" t="e">
        <f>#NAME?</f>
        <v>#NAME?</v>
      </c>
      <c r="V37" s="54" t="e">
        <f>#NAME?</f>
        <v>#NAME?</v>
      </c>
      <c r="W37" s="39"/>
      <c r="X37" s="39"/>
      <c r="Y37" s="39"/>
      <c r="Z37" s="39"/>
      <c r="AA37" s="39"/>
      <c r="AB37" s="39"/>
    </row>
    <row r="38" ht="15.75" customHeight="1">
      <c r="A38" s="39"/>
      <c r="B38" s="55"/>
      <c r="C38" s="59" t="s">
        <v>66</v>
      </c>
      <c r="D38" s="59" t="s">
        <v>69</v>
      </c>
      <c r="E38" s="53" t="e">
        <f t="shared" si="8"/>
        <v>#VALUE!</v>
      </c>
      <c r="F38" s="54" t="e">
        <f t="shared" si="9"/>
        <v>#VALUE!</v>
      </c>
      <c r="G38" s="54" t="e">
        <f t="shared" si="10"/>
        <v>#VALUE!</v>
      </c>
      <c r="H38" s="54" t="e">
        <f t="shared" ca="1" si="16"/>
        <v>#VALUE!</v>
      </c>
      <c r="I38" s="54" t="e">
        <f>#NAME?</f>
        <v>#NAME?</v>
      </c>
      <c r="J38" s="54" t="e">
        <f>#NAME?</f>
        <v>#NAME?</v>
      </c>
      <c r="K38" s="54" t="e">
        <f>#NAME?</f>
        <v>#NAME?</v>
      </c>
      <c r="L38" s="54" t="e">
        <f>#NAME?</f>
        <v>#NAME?</v>
      </c>
      <c r="M38" s="54" t="e">
        <f>#NAME?</f>
        <v>#NAME?</v>
      </c>
      <c r="N38" s="53" t="e">
        <f t="shared" si="12"/>
        <v>#VALUE!</v>
      </c>
      <c r="O38" s="54" t="e">
        <f t="shared" si="13"/>
        <v>#VALUE!</v>
      </c>
      <c r="P38" s="54" t="e">
        <f t="shared" si="14"/>
        <v>#VALUE!</v>
      </c>
      <c r="Q38" s="54" t="e">
        <f t="shared" ca="1" si="17"/>
        <v>#VALUE!</v>
      </c>
      <c r="R38" s="54" t="e">
        <f>#NAME?</f>
        <v>#NAME?</v>
      </c>
      <c r="S38" s="54" t="e">
        <f>#NAME?</f>
        <v>#NAME?</v>
      </c>
      <c r="T38" s="54" t="e">
        <f>#NAME?</f>
        <v>#NAME?</v>
      </c>
      <c r="U38" s="54" t="e">
        <f>#NAME?</f>
        <v>#NAME?</v>
      </c>
      <c r="V38" s="54" t="e">
        <f>#NAME?</f>
        <v>#NAME?</v>
      </c>
      <c r="W38" s="39"/>
      <c r="X38" s="39"/>
      <c r="Y38" s="39"/>
      <c r="Z38" s="39"/>
      <c r="AA38" s="39"/>
      <c r="AB38" s="39"/>
    </row>
    <row r="39" ht="15.75" customHeight="1">
      <c r="A39" s="39"/>
      <c r="B39" s="55"/>
      <c r="C39" s="59" t="s">
        <v>66</v>
      </c>
      <c r="D39" s="59" t="s">
        <v>55</v>
      </c>
      <c r="E39" s="53" t="e">
        <f t="shared" si="8"/>
        <v>#VALUE!</v>
      </c>
      <c r="F39" s="54" t="e">
        <f t="shared" si="9"/>
        <v>#VALUE!</v>
      </c>
      <c r="G39" s="54" t="e">
        <f t="shared" si="10"/>
        <v>#VALUE!</v>
      </c>
      <c r="H39" s="54" t="e">
        <f t="shared" ca="1" si="16"/>
        <v>#VALUE!</v>
      </c>
      <c r="I39" s="54" t="e">
        <f>#NAME?</f>
        <v>#NAME?</v>
      </c>
      <c r="J39" s="54" t="e">
        <f>#NAME?</f>
        <v>#NAME?</v>
      </c>
      <c r="K39" s="54" t="e">
        <f>#NAME?</f>
        <v>#NAME?</v>
      </c>
      <c r="L39" s="54" t="e">
        <f>#NAME?</f>
        <v>#NAME?</v>
      </c>
      <c r="M39" s="54" t="e">
        <f>#NAME?</f>
        <v>#NAME?</v>
      </c>
      <c r="N39" s="53" t="e">
        <f t="shared" si="12"/>
        <v>#VALUE!</v>
      </c>
      <c r="O39" s="54" t="e">
        <f t="shared" si="13"/>
        <v>#VALUE!</v>
      </c>
      <c r="P39" s="54" t="e">
        <f t="shared" si="14"/>
        <v>#VALUE!</v>
      </c>
      <c r="Q39" s="54" t="e">
        <f t="shared" ca="1" si="17"/>
        <v>#VALUE!</v>
      </c>
      <c r="R39" s="54" t="e">
        <f>#NAME?</f>
        <v>#NAME?</v>
      </c>
      <c r="S39" s="54" t="e">
        <f>#NAME?</f>
        <v>#NAME?</v>
      </c>
      <c r="T39" s="54" t="e">
        <f>#NAME?</f>
        <v>#NAME?</v>
      </c>
      <c r="U39" s="54" t="e">
        <f>#NAME?</f>
        <v>#NAME?</v>
      </c>
      <c r="V39" s="54" t="e">
        <f>#NAME?</f>
        <v>#NAME?</v>
      </c>
      <c r="W39" s="39"/>
      <c r="X39" s="39"/>
      <c r="Y39" s="39"/>
      <c r="Z39" s="39"/>
      <c r="AA39" s="39"/>
      <c r="AB39" s="39"/>
    </row>
    <row r="40" ht="15.75" customHeight="1">
      <c r="A40" s="39"/>
      <c r="B40" s="14"/>
      <c r="C40" s="60" t="s">
        <v>29</v>
      </c>
      <c r="D40" s="60"/>
      <c r="E40" s="61" t="e">
        <f t="shared" si="8"/>
        <v>#NAME?</v>
      </c>
      <c r="F40" s="62" t="e">
        <f>SUM(F33:F39)</f>
        <v>#NAME?</v>
      </c>
      <c r="G40" s="62" t="e">
        <f>SUM(G33:G39)</f>
        <v>#NAME?</v>
      </c>
      <c r="H40" s="62" t="e">
        <f>SUM(H33:H39)</f>
        <v>#NAME?</v>
      </c>
      <c r="I40" s="62" t="e">
        <f>SUM(I33:I39)</f>
        <v>#NAME?</v>
      </c>
      <c r="J40" s="62" t="e">
        <f>SUM(J33:J39)</f>
        <v>#NAME?</v>
      </c>
      <c r="K40" s="62" t="e">
        <f>SUM(K33:K39)</f>
        <v>#NAME?</v>
      </c>
      <c r="L40" s="62" t="e">
        <f>SUM(L33:L39)</f>
        <v>#NAME?</v>
      </c>
      <c r="M40" s="62" t="e">
        <f>SUM(M33:M39)</f>
        <v>#NAME?</v>
      </c>
      <c r="N40" s="61" t="e">
        <f t="shared" si="12"/>
        <v>#NAME?</v>
      </c>
      <c r="O40" s="62" t="e">
        <f>SUM(O33:O39)</f>
        <v>#NAME?</v>
      </c>
      <c r="P40" s="62" t="e">
        <f>SUM(P33:P39)</f>
        <v>#NAME?</v>
      </c>
      <c r="Q40" s="62" t="e">
        <f>SUM(Q33:Q39)</f>
        <v>#NAME?</v>
      </c>
      <c r="R40" s="62" t="e">
        <f>SUM(R33:R39)</f>
        <v>#NAME?</v>
      </c>
      <c r="S40" s="62" t="e">
        <f>SUM(S33:S39)</f>
        <v>#NAME?</v>
      </c>
      <c r="T40" s="62" t="e">
        <f>SUM(T33:T39)</f>
        <v>#NAME?</v>
      </c>
      <c r="U40" s="62" t="e">
        <f>SUM(U33:U39)</f>
        <v>#NAME?</v>
      </c>
      <c r="V40" s="62" t="e">
        <f>SUM(V33:V39)</f>
        <v>#NAME?</v>
      </c>
      <c r="W40" s="39"/>
      <c r="X40" s="39"/>
      <c r="Y40" s="39"/>
      <c r="Z40" s="39"/>
      <c r="AA40" s="39"/>
      <c r="AB40" s="39"/>
    </row>
    <row r="41" ht="15.75" customHeight="1">
      <c r="A41" s="39"/>
      <c r="B41" s="51" t="s">
        <v>70</v>
      </c>
      <c r="C41" s="52" t="s">
        <v>38</v>
      </c>
      <c r="D41" s="52" t="s">
        <v>38</v>
      </c>
      <c r="E41" s="53" t="e">
        <f t="shared" si="8"/>
        <v>#NAME?</v>
      </c>
      <c r="F41" s="54" t="e">
        <f t="shared" ref="F41:F53" si="18">SUM(H41:L41)</f>
        <v>#NAME?</v>
      </c>
      <c r="G41" s="54" t="e">
        <f t="shared" ref="G41:G53" si="19">SUM(H41:M41)</f>
        <v>#NAME?</v>
      </c>
      <c r="H41" s="54" t="e">
        <f ca="1">COUNTIFS(
  INDIRECT("'"&amp;$B$41&amp;"'!M13:M1048576"),H$3,
  INDIRECT("'"&amp;$B$41&amp;"'!B13:B1048576"),$C41,
  INDIRECT("'"&amp;$B$41&amp;"'!C13:C1048576"),$D41
)</f>
        <v>#NAME?</v>
      </c>
      <c r="I41" s="54" t="e">
        <f>#NAME?</f>
        <v>#NAME?</v>
      </c>
      <c r="J41" s="54" t="e">
        <f>#NAME?</f>
        <v>#NAME?</v>
      </c>
      <c r="K41" s="54" t="e">
        <f>#NAME?</f>
        <v>#NAME?</v>
      </c>
      <c r="L41" s="54" t="e">
        <f>#NAME?</f>
        <v>#NAME?</v>
      </c>
      <c r="M41" s="54" t="e">
        <f>#NAME?</f>
        <v>#NAME?</v>
      </c>
      <c r="N41" s="53" t="e">
        <f t="shared" si="12"/>
        <v>#NAME?</v>
      </c>
      <c r="O41" s="54" t="e">
        <f t="shared" ref="O41:O52" si="20">SUM(Q41:U41)</f>
        <v>#NAME?</v>
      </c>
      <c r="P41" s="54" t="e">
        <f t="shared" ref="P41:P52" si="21">SUM(Q41:V41)</f>
        <v>#NAME?</v>
      </c>
      <c r="Q41" s="54" t="e">
        <f ca="1">COUNTIFS(
  INDIRECT("'"&amp;$B$41&amp;"'!R13:R1048576"),H$3,
  INDIRECT("'"&amp;$B$41&amp;"'!B13:B1048576"),$C41,
  INDIRECT("'"&amp;$B$41&amp;"'!C13:C1048576"),$D41
)</f>
        <v>#NAME?</v>
      </c>
      <c r="R41" s="54" t="e">
        <f>#NAME?</f>
        <v>#NAME?</v>
      </c>
      <c r="S41" s="54" t="e">
        <f>#NAME?</f>
        <v>#NAME?</v>
      </c>
      <c r="T41" s="54" t="e">
        <f>#NAME?</f>
        <v>#NAME?</v>
      </c>
      <c r="U41" s="54" t="e">
        <f>#NAME?</f>
        <v>#NAME?</v>
      </c>
      <c r="V41" s="54" t="e">
        <f>#NAME?</f>
        <v>#NAME?</v>
      </c>
      <c r="W41" s="39"/>
      <c r="X41" s="39"/>
      <c r="Y41" s="39"/>
      <c r="Z41" s="39"/>
      <c r="AA41" s="39"/>
      <c r="AB41" s="39"/>
    </row>
    <row r="42" ht="15.75" customHeight="1">
      <c r="A42" s="39"/>
      <c r="B42" s="55"/>
      <c r="C42" s="63" t="s">
        <v>71</v>
      </c>
      <c r="D42" s="59" t="s">
        <v>67</v>
      </c>
      <c r="E42" s="53" t="e">
        <f t="shared" si="8"/>
        <v>#VALUE!</v>
      </c>
      <c r="F42" s="54" t="e">
        <f t="shared" si="18"/>
        <v>#VALUE!</v>
      </c>
      <c r="G42" s="54" t="e">
        <f t="shared" si="19"/>
        <v>#VALUE!</v>
      </c>
      <c r="H42" s="54" t="e">
        <f t="shared" ref="H42:H52" ca="1" si="22">COUNTIFS(
INDIRECT("'"&amp;$B$41&amp;"'!M13:M1048576"),H$3,
INDIRECT("'"&amp;$B$41&amp;"'!B13:B1048576"),$C42,
INDIRECT("'"&amp;$B$41&amp;"'!C13:C1048576"),
$D42)</f>
        <v>#VALUE!</v>
      </c>
      <c r="I42" s="54" t="e">
        <f>#NAME?</f>
        <v>#NAME?</v>
      </c>
      <c r="J42" s="54" t="e">
        <f>#NAME?</f>
        <v>#NAME?</v>
      </c>
      <c r="K42" s="54" t="e">
        <f>#NAME?</f>
        <v>#NAME?</v>
      </c>
      <c r="L42" s="54" t="e">
        <f>#NAME?</f>
        <v>#NAME?</v>
      </c>
      <c r="M42" s="54" t="e">
        <f>#NAME?</f>
        <v>#NAME?</v>
      </c>
      <c r="N42" s="53" t="e">
        <f t="shared" si="12"/>
        <v>#VALUE!</v>
      </c>
      <c r="O42" s="54" t="e">
        <f t="shared" si="20"/>
        <v>#VALUE!</v>
      </c>
      <c r="P42" s="54" t="e">
        <f t="shared" si="21"/>
        <v>#VALUE!</v>
      </c>
      <c r="Q42" s="54" t="e">
        <f t="shared" ref="Q42:Q52" ca="1" si="23">COUNTIFS(
INDIRECT("'"&amp;$B$41&amp;"'!R13:R1048576"),H$3,
INDIRECT("'"&amp;$B$41&amp;"'!B13:B1048576"),$C42,
INDIRECT("'"&amp;$B$41&amp;"'!C13:C1048576"),
$D42)</f>
        <v>#VALUE!</v>
      </c>
      <c r="R42" s="54" t="e">
        <f>#NAME?</f>
        <v>#NAME?</v>
      </c>
      <c r="S42" s="54" t="e">
        <f>#NAME?</f>
        <v>#NAME?</v>
      </c>
      <c r="T42" s="54" t="e">
        <f>#NAME?</f>
        <v>#NAME?</v>
      </c>
      <c r="U42" s="54" t="e">
        <f>#NAME?</f>
        <v>#NAME?</v>
      </c>
      <c r="V42" s="54" t="e">
        <f>#NAME?</f>
        <v>#NAME?</v>
      </c>
      <c r="W42" s="39"/>
      <c r="X42" s="39"/>
      <c r="Y42" s="39"/>
      <c r="Z42" s="39"/>
      <c r="AA42" s="39"/>
      <c r="AB42" s="39"/>
    </row>
    <row r="43" ht="15.75" customHeight="1">
      <c r="A43" s="39"/>
      <c r="B43" s="55"/>
      <c r="C43" s="63" t="s">
        <v>71</v>
      </c>
      <c r="D43" s="59" t="s">
        <v>68</v>
      </c>
      <c r="E43" s="53" t="e">
        <f t="shared" si="8"/>
        <v>#VALUE!</v>
      </c>
      <c r="F43" s="54" t="e">
        <f t="shared" si="18"/>
        <v>#VALUE!</v>
      </c>
      <c r="G43" s="54" t="e">
        <f t="shared" si="19"/>
        <v>#VALUE!</v>
      </c>
      <c r="H43" s="54" t="e">
        <f t="shared" ca="1" si="22"/>
        <v>#VALUE!</v>
      </c>
      <c r="I43" s="54" t="e">
        <f>#NAME?</f>
        <v>#NAME?</v>
      </c>
      <c r="J43" s="54" t="e">
        <f>#NAME?</f>
        <v>#NAME?</v>
      </c>
      <c r="K43" s="54" t="e">
        <f>#NAME?</f>
        <v>#NAME?</v>
      </c>
      <c r="L43" s="54" t="e">
        <f>#NAME?</f>
        <v>#NAME?</v>
      </c>
      <c r="M43" s="54" t="e">
        <f>#NAME?</f>
        <v>#NAME?</v>
      </c>
      <c r="N43" s="53" t="e">
        <f t="shared" si="12"/>
        <v>#VALUE!</v>
      </c>
      <c r="O43" s="54" t="e">
        <f t="shared" si="20"/>
        <v>#VALUE!</v>
      </c>
      <c r="P43" s="54" t="e">
        <f t="shared" si="21"/>
        <v>#VALUE!</v>
      </c>
      <c r="Q43" s="54" t="e">
        <f t="shared" ca="1" si="23"/>
        <v>#VALUE!</v>
      </c>
      <c r="R43" s="54" t="e">
        <f>#NAME?</f>
        <v>#NAME?</v>
      </c>
      <c r="S43" s="54" t="e">
        <f>#NAME?</f>
        <v>#NAME?</v>
      </c>
      <c r="T43" s="54" t="e">
        <f>#NAME?</f>
        <v>#NAME?</v>
      </c>
      <c r="U43" s="54" t="e">
        <f>#NAME?</f>
        <v>#NAME?</v>
      </c>
      <c r="V43" s="54" t="e">
        <f>#NAME?</f>
        <v>#NAME?</v>
      </c>
      <c r="W43" s="39"/>
      <c r="X43" s="39"/>
      <c r="Y43" s="39"/>
      <c r="Z43" s="39"/>
      <c r="AA43" s="39"/>
      <c r="AB43" s="39"/>
    </row>
    <row r="44" ht="15.75" customHeight="1">
      <c r="A44" s="39"/>
      <c r="B44" s="55"/>
      <c r="C44" s="63" t="s">
        <v>71</v>
      </c>
      <c r="D44" s="57" t="s">
        <v>41</v>
      </c>
      <c r="E44" s="53" t="e">
        <f t="shared" si="8"/>
        <v>#VALUE!</v>
      </c>
      <c r="F44" s="54" t="e">
        <f t="shared" si="18"/>
        <v>#VALUE!</v>
      </c>
      <c r="G44" s="54" t="e">
        <f t="shared" si="19"/>
        <v>#VALUE!</v>
      </c>
      <c r="H44" s="54" t="e">
        <f t="shared" ca="1" si="22"/>
        <v>#VALUE!</v>
      </c>
      <c r="I44" s="54" t="e">
        <f>#NAME?</f>
        <v>#NAME?</v>
      </c>
      <c r="J44" s="54" t="e">
        <f>#NAME?</f>
        <v>#NAME?</v>
      </c>
      <c r="K44" s="54" t="e">
        <f>#NAME?</f>
        <v>#NAME?</v>
      </c>
      <c r="L44" s="54" t="e">
        <f>#NAME?</f>
        <v>#NAME?</v>
      </c>
      <c r="M44" s="54" t="e">
        <f>#NAME?</f>
        <v>#NAME?</v>
      </c>
      <c r="N44" s="53" t="e">
        <f t="shared" si="12"/>
        <v>#VALUE!</v>
      </c>
      <c r="O44" s="54" t="e">
        <f t="shared" si="20"/>
        <v>#VALUE!</v>
      </c>
      <c r="P44" s="54" t="e">
        <f t="shared" si="21"/>
        <v>#VALUE!</v>
      </c>
      <c r="Q44" s="54" t="e">
        <f t="shared" ca="1" si="23"/>
        <v>#VALUE!</v>
      </c>
      <c r="R44" s="54" t="e">
        <f>#NAME?</f>
        <v>#NAME?</v>
      </c>
      <c r="S44" s="54" t="e">
        <f>#NAME?</f>
        <v>#NAME?</v>
      </c>
      <c r="T44" s="54" t="e">
        <f>#NAME?</f>
        <v>#NAME?</v>
      </c>
      <c r="U44" s="54" t="e">
        <f>#NAME?</f>
        <v>#NAME?</v>
      </c>
      <c r="V44" s="54" t="e">
        <f>#NAME?</f>
        <v>#NAME?</v>
      </c>
      <c r="W44" s="39"/>
      <c r="X44" s="39"/>
      <c r="Y44" s="39"/>
      <c r="Z44" s="39"/>
      <c r="AA44" s="39"/>
      <c r="AB44" s="39"/>
    </row>
    <row r="45" ht="15.75" customHeight="1">
      <c r="A45" s="39"/>
      <c r="B45" s="55"/>
      <c r="C45" s="63" t="s">
        <v>71</v>
      </c>
      <c r="D45" s="58" t="s">
        <v>43</v>
      </c>
      <c r="E45" s="53" t="e">
        <f t="shared" si="8"/>
        <v>#VALUE!</v>
      </c>
      <c r="F45" s="54" t="e">
        <f t="shared" si="18"/>
        <v>#VALUE!</v>
      </c>
      <c r="G45" s="54" t="e">
        <f t="shared" si="19"/>
        <v>#VALUE!</v>
      </c>
      <c r="H45" s="54" t="e">
        <f t="shared" ca="1" si="22"/>
        <v>#VALUE!</v>
      </c>
      <c r="I45" s="54" t="e">
        <f>#NAME?</f>
        <v>#NAME?</v>
      </c>
      <c r="J45" s="54" t="e">
        <f>#NAME?</f>
        <v>#NAME?</v>
      </c>
      <c r="K45" s="54" t="e">
        <f>#NAME?</f>
        <v>#NAME?</v>
      </c>
      <c r="L45" s="54" t="e">
        <f>#NAME?</f>
        <v>#NAME?</v>
      </c>
      <c r="M45" s="54" t="e">
        <f>#NAME?</f>
        <v>#NAME?</v>
      </c>
      <c r="N45" s="53" t="e">
        <f t="shared" si="12"/>
        <v>#VALUE!</v>
      </c>
      <c r="O45" s="54" t="e">
        <f t="shared" si="20"/>
        <v>#VALUE!</v>
      </c>
      <c r="P45" s="54" t="e">
        <f t="shared" si="21"/>
        <v>#VALUE!</v>
      </c>
      <c r="Q45" s="54" t="e">
        <f t="shared" ca="1" si="23"/>
        <v>#VALUE!</v>
      </c>
      <c r="R45" s="54" t="e">
        <f>#NAME?</f>
        <v>#NAME?</v>
      </c>
      <c r="S45" s="54" t="e">
        <f>#NAME?</f>
        <v>#NAME?</v>
      </c>
      <c r="T45" s="54" t="e">
        <f>#NAME?</f>
        <v>#NAME?</v>
      </c>
      <c r="U45" s="54" t="e">
        <f>#NAME?</f>
        <v>#NAME?</v>
      </c>
      <c r="V45" s="54" t="e">
        <f>#NAME?</f>
        <v>#NAME?</v>
      </c>
      <c r="W45" s="39"/>
      <c r="X45" s="39"/>
      <c r="Y45" s="39"/>
      <c r="Z45" s="39"/>
      <c r="AA45" s="39"/>
      <c r="AB45" s="39"/>
    </row>
    <row r="46" ht="15.75" customHeight="1">
      <c r="A46" s="39"/>
      <c r="B46" s="55"/>
      <c r="C46" s="63" t="s">
        <v>71</v>
      </c>
      <c r="D46" s="57" t="s">
        <v>44</v>
      </c>
      <c r="E46" s="53" t="e">
        <f t="shared" si="8"/>
        <v>#VALUE!</v>
      </c>
      <c r="F46" s="54" t="e">
        <f t="shared" si="18"/>
        <v>#VALUE!</v>
      </c>
      <c r="G46" s="54" t="e">
        <f t="shared" si="19"/>
        <v>#VALUE!</v>
      </c>
      <c r="H46" s="54" t="e">
        <f t="shared" ca="1" si="22"/>
        <v>#VALUE!</v>
      </c>
      <c r="I46" s="54" t="e">
        <f>#NAME?</f>
        <v>#NAME?</v>
      </c>
      <c r="J46" s="54" t="e">
        <f>#NAME?</f>
        <v>#NAME?</v>
      </c>
      <c r="K46" s="54" t="e">
        <f>#NAME?</f>
        <v>#NAME?</v>
      </c>
      <c r="L46" s="54" t="e">
        <f>#NAME?</f>
        <v>#NAME?</v>
      </c>
      <c r="M46" s="54" t="e">
        <f>#NAME?</f>
        <v>#NAME?</v>
      </c>
      <c r="N46" s="53" t="e">
        <f t="shared" si="12"/>
        <v>#VALUE!</v>
      </c>
      <c r="O46" s="54" t="e">
        <f t="shared" si="20"/>
        <v>#VALUE!</v>
      </c>
      <c r="P46" s="54" t="e">
        <f t="shared" si="21"/>
        <v>#VALUE!</v>
      </c>
      <c r="Q46" s="54" t="e">
        <f t="shared" ca="1" si="23"/>
        <v>#VALUE!</v>
      </c>
      <c r="R46" s="54" t="e">
        <f>#NAME?</f>
        <v>#NAME?</v>
      </c>
      <c r="S46" s="54" t="e">
        <f>#NAME?</f>
        <v>#NAME?</v>
      </c>
      <c r="T46" s="54" t="e">
        <f>#NAME?</f>
        <v>#NAME?</v>
      </c>
      <c r="U46" s="54" t="e">
        <f>#NAME?</f>
        <v>#NAME?</v>
      </c>
      <c r="V46" s="54" t="e">
        <f>#NAME?</f>
        <v>#NAME?</v>
      </c>
      <c r="W46" s="39"/>
      <c r="X46" s="39"/>
      <c r="Y46" s="39"/>
      <c r="Z46" s="39"/>
      <c r="AA46" s="39"/>
      <c r="AB46" s="39"/>
    </row>
    <row r="47" ht="15.75" customHeight="1">
      <c r="A47" s="39"/>
      <c r="B47" s="55"/>
      <c r="C47" s="63" t="s">
        <v>71</v>
      </c>
      <c r="D47" s="59" t="s">
        <v>72</v>
      </c>
      <c r="E47" s="53" t="e">
        <f t="shared" si="8"/>
        <v>#VALUE!</v>
      </c>
      <c r="F47" s="54" t="e">
        <f t="shared" si="18"/>
        <v>#VALUE!</v>
      </c>
      <c r="G47" s="54" t="e">
        <f t="shared" si="19"/>
        <v>#VALUE!</v>
      </c>
      <c r="H47" s="54" t="e">
        <f t="shared" ca="1" si="22"/>
        <v>#VALUE!</v>
      </c>
      <c r="I47" s="54" t="e">
        <f>#NAME?</f>
        <v>#NAME?</v>
      </c>
      <c r="J47" s="54" t="e">
        <f>#NAME?</f>
        <v>#NAME?</v>
      </c>
      <c r="K47" s="54" t="e">
        <f>#NAME?</f>
        <v>#NAME?</v>
      </c>
      <c r="L47" s="54" t="e">
        <f>#NAME?</f>
        <v>#NAME?</v>
      </c>
      <c r="M47" s="54" t="e">
        <f>#NAME?</f>
        <v>#NAME?</v>
      </c>
      <c r="N47" s="53" t="e">
        <f t="shared" si="12"/>
        <v>#VALUE!</v>
      </c>
      <c r="O47" s="54" t="e">
        <f t="shared" si="20"/>
        <v>#VALUE!</v>
      </c>
      <c r="P47" s="54" t="e">
        <f t="shared" si="21"/>
        <v>#VALUE!</v>
      </c>
      <c r="Q47" s="54" t="e">
        <f t="shared" ca="1" si="23"/>
        <v>#VALUE!</v>
      </c>
      <c r="R47" s="54" t="e">
        <f>#NAME?</f>
        <v>#NAME?</v>
      </c>
      <c r="S47" s="54" t="e">
        <f>#NAME?</f>
        <v>#NAME?</v>
      </c>
      <c r="T47" s="54" t="e">
        <f>#NAME?</f>
        <v>#NAME?</v>
      </c>
      <c r="U47" s="54" t="e">
        <f>#NAME?</f>
        <v>#NAME?</v>
      </c>
      <c r="V47" s="54" t="e">
        <f>#NAME?</f>
        <v>#NAME?</v>
      </c>
      <c r="W47" s="39"/>
      <c r="X47" s="39"/>
      <c r="Y47" s="39"/>
      <c r="Z47" s="39"/>
      <c r="AA47" s="39"/>
      <c r="AB47" s="39"/>
    </row>
    <row r="48" ht="15.75" customHeight="1">
      <c r="A48" s="39"/>
      <c r="B48" s="55"/>
      <c r="C48" s="63" t="s">
        <v>71</v>
      </c>
      <c r="D48" s="59" t="s">
        <v>73</v>
      </c>
      <c r="E48" s="53" t="e">
        <f t="shared" si="8"/>
        <v>#VALUE!</v>
      </c>
      <c r="F48" s="54" t="e">
        <f t="shared" si="18"/>
        <v>#VALUE!</v>
      </c>
      <c r="G48" s="54" t="e">
        <f t="shared" si="19"/>
        <v>#VALUE!</v>
      </c>
      <c r="H48" s="54" t="e">
        <f t="shared" ca="1" si="22"/>
        <v>#VALUE!</v>
      </c>
      <c r="I48" s="54" t="e">
        <f>#NAME?</f>
        <v>#NAME?</v>
      </c>
      <c r="J48" s="54" t="e">
        <f>#NAME?</f>
        <v>#NAME?</v>
      </c>
      <c r="K48" s="54" t="e">
        <f>#NAME?</f>
        <v>#NAME?</v>
      </c>
      <c r="L48" s="54" t="e">
        <f>#NAME?</f>
        <v>#NAME?</v>
      </c>
      <c r="M48" s="54" t="e">
        <f>#NAME?</f>
        <v>#NAME?</v>
      </c>
      <c r="N48" s="53" t="e">
        <f t="shared" si="12"/>
        <v>#VALUE!</v>
      </c>
      <c r="O48" s="54" t="e">
        <f t="shared" si="20"/>
        <v>#VALUE!</v>
      </c>
      <c r="P48" s="54" t="e">
        <f t="shared" si="21"/>
        <v>#VALUE!</v>
      </c>
      <c r="Q48" s="54" t="e">
        <f t="shared" ca="1" si="23"/>
        <v>#VALUE!</v>
      </c>
      <c r="R48" s="54" t="e">
        <f>#NAME?</f>
        <v>#NAME?</v>
      </c>
      <c r="S48" s="54" t="e">
        <f>#NAME?</f>
        <v>#NAME?</v>
      </c>
      <c r="T48" s="54" t="e">
        <f>#NAME?</f>
        <v>#NAME?</v>
      </c>
      <c r="U48" s="54" t="e">
        <f>#NAME?</f>
        <v>#NAME?</v>
      </c>
      <c r="V48" s="54" t="e">
        <f>#NAME?</f>
        <v>#NAME?</v>
      </c>
      <c r="W48" s="39"/>
      <c r="X48" s="39"/>
      <c r="Y48" s="39"/>
      <c r="Z48" s="39"/>
      <c r="AA48" s="39"/>
      <c r="AB48" s="39"/>
    </row>
    <row r="49" ht="15.75" customHeight="1">
      <c r="A49" s="39"/>
      <c r="B49" s="55"/>
      <c r="C49" s="63" t="s">
        <v>71</v>
      </c>
      <c r="D49" s="59" t="s">
        <v>74</v>
      </c>
      <c r="E49" s="53" t="e">
        <f t="shared" si="8"/>
        <v>#VALUE!</v>
      </c>
      <c r="F49" s="54" t="e">
        <f t="shared" si="18"/>
        <v>#VALUE!</v>
      </c>
      <c r="G49" s="54" t="e">
        <f t="shared" si="19"/>
        <v>#VALUE!</v>
      </c>
      <c r="H49" s="54" t="e">
        <f t="shared" ca="1" si="22"/>
        <v>#VALUE!</v>
      </c>
      <c r="I49" s="54" t="e">
        <f>#NAME?</f>
        <v>#NAME?</v>
      </c>
      <c r="J49" s="54" t="e">
        <f>#NAME?</f>
        <v>#NAME?</v>
      </c>
      <c r="K49" s="54" t="e">
        <f>#NAME?</f>
        <v>#NAME?</v>
      </c>
      <c r="L49" s="54" t="e">
        <f>#NAME?</f>
        <v>#NAME?</v>
      </c>
      <c r="M49" s="54" t="e">
        <f>#NAME?</f>
        <v>#NAME?</v>
      </c>
      <c r="N49" s="53" t="e">
        <f t="shared" si="12"/>
        <v>#VALUE!</v>
      </c>
      <c r="O49" s="54" t="e">
        <f t="shared" si="20"/>
        <v>#VALUE!</v>
      </c>
      <c r="P49" s="54" t="e">
        <f t="shared" si="21"/>
        <v>#VALUE!</v>
      </c>
      <c r="Q49" s="54" t="e">
        <f t="shared" ca="1" si="23"/>
        <v>#VALUE!</v>
      </c>
      <c r="R49" s="54" t="e">
        <f>#NAME?</f>
        <v>#NAME?</v>
      </c>
      <c r="S49" s="54" t="e">
        <f>#NAME?</f>
        <v>#NAME?</v>
      </c>
      <c r="T49" s="54" t="e">
        <f>#NAME?</f>
        <v>#NAME?</v>
      </c>
      <c r="U49" s="54" t="e">
        <f>#NAME?</f>
        <v>#NAME?</v>
      </c>
      <c r="V49" s="54" t="e">
        <f>#NAME?</f>
        <v>#NAME?</v>
      </c>
      <c r="W49" s="39"/>
      <c r="X49" s="39"/>
      <c r="Y49" s="39"/>
      <c r="Z49" s="39"/>
      <c r="AA49" s="39"/>
      <c r="AB49" s="39"/>
    </row>
    <row r="50" ht="15.75" customHeight="1">
      <c r="A50" s="39"/>
      <c r="B50" s="55"/>
      <c r="C50" s="63" t="s">
        <v>71</v>
      </c>
      <c r="D50" s="52" t="s">
        <v>47</v>
      </c>
      <c r="E50" s="53" t="e">
        <f t="shared" si="8"/>
        <v>#VALUE!</v>
      </c>
      <c r="F50" s="54" t="e">
        <f t="shared" si="18"/>
        <v>#VALUE!</v>
      </c>
      <c r="G50" s="54" t="e">
        <f t="shared" si="19"/>
        <v>#VALUE!</v>
      </c>
      <c r="H50" s="54" t="e">
        <f t="shared" ca="1" si="22"/>
        <v>#VALUE!</v>
      </c>
      <c r="I50" s="54" t="e">
        <f>#NAME?</f>
        <v>#NAME?</v>
      </c>
      <c r="J50" s="54" t="e">
        <f>#NAME?</f>
        <v>#NAME?</v>
      </c>
      <c r="K50" s="54" t="e">
        <f>#NAME?</f>
        <v>#NAME?</v>
      </c>
      <c r="L50" s="54" t="e">
        <f>#NAME?</f>
        <v>#NAME?</v>
      </c>
      <c r="M50" s="54" t="e">
        <f>#NAME?</f>
        <v>#NAME?</v>
      </c>
      <c r="N50" s="53" t="e">
        <f t="shared" si="12"/>
        <v>#VALUE!</v>
      </c>
      <c r="O50" s="54" t="e">
        <f t="shared" si="20"/>
        <v>#VALUE!</v>
      </c>
      <c r="P50" s="54" t="e">
        <f t="shared" si="21"/>
        <v>#VALUE!</v>
      </c>
      <c r="Q50" s="54" t="e">
        <f t="shared" ca="1" si="23"/>
        <v>#VALUE!</v>
      </c>
      <c r="R50" s="54" t="e">
        <f>#NAME?</f>
        <v>#NAME?</v>
      </c>
      <c r="S50" s="54" t="e">
        <f>#NAME?</f>
        <v>#NAME?</v>
      </c>
      <c r="T50" s="54" t="e">
        <f>#NAME?</f>
        <v>#NAME?</v>
      </c>
      <c r="U50" s="54" t="e">
        <f>#NAME?</f>
        <v>#NAME?</v>
      </c>
      <c r="V50" s="54" t="e">
        <f>#NAME?</f>
        <v>#NAME?</v>
      </c>
      <c r="W50" s="39"/>
      <c r="X50" s="39"/>
      <c r="Y50" s="39"/>
      <c r="Z50" s="39"/>
      <c r="AA50" s="39"/>
      <c r="AB50" s="39"/>
    </row>
    <row r="51" ht="15.75" customHeight="1">
      <c r="A51" s="39"/>
      <c r="B51" s="55"/>
      <c r="C51" s="63" t="s">
        <v>71</v>
      </c>
      <c r="D51" s="52" t="s">
        <v>45</v>
      </c>
      <c r="E51" s="53" t="e">
        <f t="shared" si="8"/>
        <v>#VALUE!</v>
      </c>
      <c r="F51" s="54" t="e">
        <f t="shared" si="18"/>
        <v>#VALUE!</v>
      </c>
      <c r="G51" s="54" t="e">
        <f t="shared" si="19"/>
        <v>#VALUE!</v>
      </c>
      <c r="H51" s="54" t="e">
        <f t="shared" ca="1" si="22"/>
        <v>#VALUE!</v>
      </c>
      <c r="I51" s="54" t="e">
        <f>#NAME?</f>
        <v>#NAME?</v>
      </c>
      <c r="J51" s="54" t="e">
        <f>#NAME?</f>
        <v>#NAME?</v>
      </c>
      <c r="K51" s="54" t="e">
        <f>#NAME?</f>
        <v>#NAME?</v>
      </c>
      <c r="L51" s="54" t="e">
        <f>#NAME?</f>
        <v>#NAME?</v>
      </c>
      <c r="M51" s="54" t="e">
        <f>#NAME?</f>
        <v>#NAME?</v>
      </c>
      <c r="N51" s="53" t="e">
        <f t="shared" si="12"/>
        <v>#VALUE!</v>
      </c>
      <c r="O51" s="54" t="e">
        <f t="shared" si="20"/>
        <v>#VALUE!</v>
      </c>
      <c r="P51" s="54" t="e">
        <f t="shared" si="21"/>
        <v>#VALUE!</v>
      </c>
      <c r="Q51" s="54" t="e">
        <f t="shared" ca="1" si="23"/>
        <v>#VALUE!</v>
      </c>
      <c r="R51" s="54" t="e">
        <f>#NAME?</f>
        <v>#NAME?</v>
      </c>
      <c r="S51" s="54" t="e">
        <f>#NAME?</f>
        <v>#NAME?</v>
      </c>
      <c r="T51" s="54" t="e">
        <f>#NAME?</f>
        <v>#NAME?</v>
      </c>
      <c r="U51" s="54" t="e">
        <f>#NAME?</f>
        <v>#NAME?</v>
      </c>
      <c r="V51" s="54" t="e">
        <f>#NAME?</f>
        <v>#NAME?</v>
      </c>
      <c r="W51" s="39"/>
      <c r="X51" s="39"/>
      <c r="Y51" s="39"/>
      <c r="Z51" s="39"/>
      <c r="AA51" s="39"/>
      <c r="AB51" s="39"/>
    </row>
    <row r="52" ht="15.75" customHeight="1">
      <c r="A52" s="39"/>
      <c r="B52" s="55"/>
      <c r="C52" s="63" t="s">
        <v>71</v>
      </c>
      <c r="D52" s="58" t="s">
        <v>75</v>
      </c>
      <c r="E52" s="53" t="e">
        <f t="shared" si="8"/>
        <v>#VALUE!</v>
      </c>
      <c r="F52" s="54" t="e">
        <f t="shared" si="18"/>
        <v>#VALUE!</v>
      </c>
      <c r="G52" s="54" t="e">
        <f t="shared" si="19"/>
        <v>#VALUE!</v>
      </c>
      <c r="H52" s="54" t="e">
        <f t="shared" ca="1" si="22"/>
        <v>#VALUE!</v>
      </c>
      <c r="I52" s="54" t="e">
        <f>#NAME?</f>
        <v>#NAME?</v>
      </c>
      <c r="J52" s="54" t="e">
        <f>#NAME?</f>
        <v>#NAME?</v>
      </c>
      <c r="K52" s="54" t="e">
        <f>#NAME?</f>
        <v>#NAME?</v>
      </c>
      <c r="L52" s="54" t="e">
        <f>#NAME?</f>
        <v>#NAME?</v>
      </c>
      <c r="M52" s="54" t="e">
        <f>#NAME?</f>
        <v>#NAME?</v>
      </c>
      <c r="N52" s="53" t="e">
        <f t="shared" si="12"/>
        <v>#VALUE!</v>
      </c>
      <c r="O52" s="54" t="e">
        <f t="shared" si="20"/>
        <v>#VALUE!</v>
      </c>
      <c r="P52" s="54" t="e">
        <f t="shared" si="21"/>
        <v>#VALUE!</v>
      </c>
      <c r="Q52" s="54" t="e">
        <f t="shared" ca="1" si="23"/>
        <v>#VALUE!</v>
      </c>
      <c r="R52" s="54" t="e">
        <f>#NAME?</f>
        <v>#NAME?</v>
      </c>
      <c r="S52" s="54" t="e">
        <f>#NAME?</f>
        <v>#NAME?</v>
      </c>
      <c r="T52" s="54" t="e">
        <f>#NAME?</f>
        <v>#NAME?</v>
      </c>
      <c r="U52" s="54" t="e">
        <f>#NAME?</f>
        <v>#NAME?</v>
      </c>
      <c r="V52" s="54" t="e">
        <f>#NAME?</f>
        <v>#NAME?</v>
      </c>
      <c r="W52" s="39"/>
      <c r="X52" s="39"/>
      <c r="Y52" s="39"/>
      <c r="Z52" s="39"/>
      <c r="AA52" s="39"/>
      <c r="AB52" s="39"/>
    </row>
    <row r="53" ht="15.75" customHeight="1">
      <c r="A53" s="39"/>
      <c r="B53" s="14"/>
      <c r="C53" s="60" t="s">
        <v>29</v>
      </c>
      <c r="D53" s="60"/>
      <c r="E53" s="61" t="e">
        <f t="shared" si="8"/>
        <v>#NAME?</v>
      </c>
      <c r="F53" s="62" t="e">
        <f t="shared" si="18"/>
        <v>#NAME?</v>
      </c>
      <c r="G53" s="62" t="e">
        <f t="shared" si="19"/>
        <v>#NAME?</v>
      </c>
      <c r="H53" s="62" t="e">
        <f>SUM(H41:H52)</f>
        <v>#NAME?</v>
      </c>
      <c r="I53" s="62" t="e">
        <f>SUM(I41:I52)</f>
        <v>#NAME?</v>
      </c>
      <c r="J53" s="62" t="e">
        <f>SUM(J41:J52)</f>
        <v>#NAME?</v>
      </c>
      <c r="K53" s="62" t="e">
        <f>SUM(K41:K52)</f>
        <v>#NAME?</v>
      </c>
      <c r="L53" s="62" t="e">
        <f>SUM(L41:L52)</f>
        <v>#NAME?</v>
      </c>
      <c r="M53" s="62" t="e">
        <f>SUM(M41:M52)</f>
        <v>#NAME?</v>
      </c>
      <c r="N53" s="61" t="e">
        <f t="shared" si="12"/>
        <v>#NAME?</v>
      </c>
      <c r="O53" s="62" t="e">
        <f>SUM(O41:O52)</f>
        <v>#NAME?</v>
      </c>
      <c r="P53" s="62" t="e">
        <f>SUM(P41:P52)</f>
        <v>#NAME?</v>
      </c>
      <c r="Q53" s="62" t="e">
        <f>SUM(Q41:Q52)</f>
        <v>#NAME?</v>
      </c>
      <c r="R53" s="62" t="e">
        <f>SUM(R41:R52)</f>
        <v>#NAME?</v>
      </c>
      <c r="S53" s="62" t="e">
        <f>SUM(S41:S52)</f>
        <v>#NAME?</v>
      </c>
      <c r="T53" s="62" t="e">
        <f>SUM(T41:T52)</f>
        <v>#NAME?</v>
      </c>
      <c r="U53" s="62" t="e">
        <f>SUM(U41:U52)</f>
        <v>#NAME?</v>
      </c>
      <c r="V53" s="62" t="e">
        <f>SUM(V41:V52)</f>
        <v>#NAME?</v>
      </c>
      <c r="W53" s="39"/>
      <c r="X53" s="39"/>
      <c r="Y53" s="39"/>
      <c r="Z53" s="39"/>
      <c r="AA53" s="39"/>
      <c r="AB53" s="39"/>
    </row>
    <row r="54" ht="15.75" customHeight="1">
      <c r="A54" s="39"/>
      <c r="B54" s="64" t="s">
        <v>29</v>
      </c>
      <c r="C54" s="65"/>
      <c r="D54" s="65"/>
      <c r="E54" s="66" t="e">
        <f t="shared" si="8"/>
        <v>#NAME?</v>
      </c>
      <c r="F54" s="67" t="e">
        <f>SUM(F32,F40,F53)</f>
        <v>#NAME?</v>
      </c>
      <c r="G54" s="67" t="e">
        <f>SUM(G32,G40,G53)</f>
        <v>#NAME?</v>
      </c>
      <c r="H54" s="67" t="e">
        <f>SUM(H32,H40,H53)</f>
        <v>#NAME?</v>
      </c>
      <c r="I54" s="67" t="e">
        <f>SUM(I32,I40,I53)</f>
        <v>#NAME?</v>
      </c>
      <c r="J54" s="67" t="e">
        <f>SUM(J32,J40,J53)</f>
        <v>#NAME?</v>
      </c>
      <c r="K54" s="67" t="e">
        <f>SUM(K32,K40,K53)</f>
        <v>#NAME?</v>
      </c>
      <c r="L54" s="67" t="e">
        <f>SUM(L32,L40,L53)</f>
        <v>#NAME?</v>
      </c>
      <c r="M54" s="67" t="e">
        <f>SUM(M32,M40,M53)</f>
        <v>#NAME?</v>
      </c>
      <c r="N54" s="66" t="e">
        <f t="shared" si="12"/>
        <v>#NAME?</v>
      </c>
      <c r="O54" s="67" t="e">
        <f>SUM(O32,O40,O53)</f>
        <v>#NAME?</v>
      </c>
      <c r="P54" s="67" t="e">
        <f>SUM(P32,P40,P53)</f>
        <v>#NAME?</v>
      </c>
      <c r="Q54" s="67" t="e">
        <f>SUM(Q32,Q40,Q53)</f>
        <v>#NAME?</v>
      </c>
      <c r="R54" s="67" t="e">
        <f>SUM(R32,R40,R53)</f>
        <v>#NAME?</v>
      </c>
      <c r="S54" s="67" t="e">
        <f>SUM(S32,S40,S53)</f>
        <v>#NAME?</v>
      </c>
      <c r="T54" s="67" t="e">
        <f>SUM(T32,T40,T53)</f>
        <v>#NAME?</v>
      </c>
      <c r="U54" s="67" t="e">
        <f>SUM(U32,U40,U53)</f>
        <v>#NAME?</v>
      </c>
      <c r="V54" s="67" t="e">
        <f>SUM(V32,V40,V53)</f>
        <v>#NAME?</v>
      </c>
      <c r="W54" s="39"/>
      <c r="X54" s="39"/>
      <c r="Y54" s="39"/>
      <c r="Z54" s="39"/>
      <c r="AA54" s="39"/>
      <c r="AB54" s="39"/>
    </row>
    <row r="55" ht="15.75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</row>
    <row r="59" ht="15.75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</row>
    <row r="60" ht="15.75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</row>
    <row r="61" ht="15.75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</row>
    <row r="62" ht="15.75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</row>
    <row r="63" ht="15.75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ht="15.75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</row>
    <row r="65" ht="15.75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</row>
    <row r="66" ht="15.75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</row>
    <row r="67" ht="15.75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</row>
    <row r="68" ht="15.75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</row>
    <row r="69" ht="15.75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</row>
    <row r="70" ht="15.75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</row>
    <row r="71" ht="15.75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</row>
    <row r="72" ht="15.75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</row>
    <row r="73" ht="15.75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</row>
    <row r="74" ht="15.75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</row>
    <row r="75" ht="15.75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</row>
    <row r="76" ht="15.75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</row>
    <row r="77" ht="15.75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</row>
    <row r="78" ht="15.75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</row>
    <row r="79" ht="15.75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</row>
    <row r="80" ht="15.75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</row>
    <row r="81" ht="15.75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</row>
    <row r="82" ht="15.75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</row>
    <row r="83" ht="15.75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</row>
    <row r="84" ht="15.75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</row>
    <row r="85" ht="15.75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</row>
    <row r="86" ht="15.75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</row>
    <row r="87" ht="15.75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</row>
    <row r="88" ht="15.75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</row>
    <row r="89" ht="15.75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</row>
    <row r="90" ht="15.75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</row>
    <row r="91" ht="15.75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</row>
    <row r="92" ht="15.75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</row>
    <row r="93" ht="15.75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</row>
    <row r="94" ht="15.75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</row>
    <row r="95" ht="15.75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</row>
    <row r="96" ht="15.75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 ht="15.75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</row>
    <row r="98" ht="15.75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 ht="15.75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</row>
    <row r="100" ht="15.75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 ht="15.75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</row>
    <row r="102" ht="15.75" customHeight="1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</row>
    <row r="103" ht="15.75" customHeight="1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</row>
    <row r="104" ht="15.75" customHeight="1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</row>
    <row r="105" ht="15.75" customHeight="1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</row>
    <row r="106" ht="15.75" customHeight="1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</row>
    <row r="107" ht="15.75" customHeight="1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</row>
    <row r="108" ht="15.75" customHeight="1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</row>
    <row r="109" ht="15.75" customHeight="1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</row>
    <row r="110" ht="15.75" customHeight="1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</row>
    <row r="111" ht="15.75" customHeight="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</row>
    <row r="112" ht="15.75" customHeight="1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ht="15.75" customHeight="1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</row>
    <row r="114" ht="15.75" customHeight="1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ht="15.7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ht="15.75" customHeight="1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ht="15.75" customHeight="1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ht="15.75" customHeight="1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ht="15.75" customHeight="1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ht="15.75" customHeight="1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ht="15.75" customHeight="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ht="15.75" customHeight="1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ht="15.75" customHeight="1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ht="15.75" customHeight="1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ht="15.75" customHeight="1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ht="15.75" customHeight="1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ht="15.75" customHeight="1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ht="15.75" customHeight="1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ht="15.75" customHeight="1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ht="15.75" customHeight="1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ht="15.75" customHeight="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ht="15.75" customHeight="1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ht="15.75" customHeight="1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ht="15.75" customHeight="1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ht="15.75" customHeight="1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ht="15.75" customHeight="1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ht="15.75" customHeight="1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ht="15.75" customHeight="1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ht="15.75" customHeight="1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ht="15.75" customHeight="1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ht="15.75" customHeight="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ht="15.75" customHeight="1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ht="15.75" customHeight="1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ht="15.75" customHeight="1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ht="15.75" customHeight="1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ht="15.75" customHeight="1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ht="15.75" customHeight="1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ht="15.75" customHeight="1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ht="15.75" customHeight="1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ht="15.75" customHeight="1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ht="15.75" customHeight="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ht="15.75" customHeight="1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ht="15.75" customHeight="1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ht="15.75" customHeight="1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ht="15.75" customHeight="1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ht="15.75" customHeight="1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ht="15.75" customHeight="1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ht="15.75" customHeight="1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ht="15.75" customHeight="1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ht="15.75" customHeight="1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ht="15.75" customHeight="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ht="15.75" customHeight="1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ht="15.75" customHeight="1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ht="15.75" customHeight="1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ht="15.75" customHeight="1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ht="15.75" customHeight="1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ht="15.75" customHeight="1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ht="15.75" customHeight="1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ht="15.75" customHeight="1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ht="15.75" customHeight="1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ht="15.75" customHeight="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ht="15.75" customHeight="1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ht="15.75" customHeight="1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ht="15.75" customHeight="1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ht="15.75" customHeight="1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ht="15.75" customHeight="1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ht="15.75" customHeight="1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ht="15.75" customHeight="1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ht="15.75" customHeight="1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ht="15.75" customHeight="1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ht="15.75" customHeight="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ht="15.75" customHeight="1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ht="15.75" customHeight="1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ht="15.75" customHeight="1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ht="15.75" customHeight="1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ht="15.75" customHeight="1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ht="15.75" customHeight="1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ht="15.75" customHeight="1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ht="15.75" customHeight="1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ht="15.75" customHeight="1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ht="15.75" customHeight="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ht="15.75" customHeight="1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ht="15.75" customHeight="1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ht="15.75" customHeight="1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ht="15.75" customHeight="1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ht="15.75" customHeight="1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ht="15.75" customHeight="1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ht="15.75" customHeight="1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ht="15.75" customHeight="1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ht="15.75" customHeight="1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ht="15.75" customHeight="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  <row r="202" ht="15.75" customHeight="1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</row>
    <row r="203" ht="15.75" customHeight="1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</row>
    <row r="204" ht="15.75" customHeight="1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</row>
    <row r="205" ht="15.75" customHeight="1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</row>
    <row r="206" ht="15.75" customHeight="1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</row>
    <row r="207" ht="15.75" customHeight="1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</row>
    <row r="208" ht="15.75" customHeight="1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</row>
    <row r="209" ht="15.75" customHeight="1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</row>
    <row r="210" ht="15.75" customHeight="1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</row>
    <row r="211" ht="15.75" customHeight="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</row>
    <row r="212" ht="15.75" customHeight="1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</row>
    <row r="213" ht="15.75" customHeight="1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</row>
    <row r="214" ht="15.75" customHeight="1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</row>
    <row r="215" ht="15.75" customHeight="1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</row>
    <row r="216" ht="15.75" customHeight="1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</row>
    <row r="217" ht="15.75" customHeight="1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</row>
    <row r="218" ht="15.75" customHeight="1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</row>
    <row r="219" ht="15.75" customHeight="1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</row>
  </sheetData>
  <mergeCells count="5">
    <mergeCell ref="E2:M2"/>
    <mergeCell ref="N2:V2"/>
    <mergeCell ref="B4:B32"/>
    <mergeCell ref="B33:B40"/>
    <mergeCell ref="B41:B5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K1" zoomScale="100" workbookViewId="0">
      <selection activeCell="D76" activeCellId="0" sqref="D76"/>
    </sheetView>
  </sheetViews>
  <sheetFormatPr baseColWidth="8" defaultColWidth="12.5703125" defaultRowHeight="15" customHeight="1"/>
  <cols>
    <col customWidth="1" min="1" max="1" style="1" width="4.140625"/>
    <col customWidth="1" min="2" max="3" style="1" width="22.85546875"/>
    <col customWidth="1" min="4" max="4" style="1" width="14.42578125"/>
    <col customWidth="1" min="5" max="5" style="1" width="21.7109375"/>
    <col customWidth="1" min="6" max="6" style="1" width="9.5703125"/>
    <col customWidth="1" min="7" max="7" style="1" width="6.85546875"/>
    <col customWidth="1" min="8" max="8" style="1" width="31.85546875"/>
    <col customWidth="1" min="9" max="9" style="1" width="21.5703125"/>
    <col customWidth="1" min="10" max="10" style="1" width="46.42578125"/>
    <col customWidth="1" min="11" max="11" style="1" width="34.42578125"/>
    <col customWidth="1" min="12" max="12" style="1" width="10.28515625"/>
    <col customWidth="1" min="13" max="16" style="1" width="9.5703125"/>
    <col customWidth="1" min="17" max="17" style="1" width="13.42578125"/>
    <col customWidth="1" min="18" max="19" style="1" width="9.5703125"/>
    <col customWidth="1" min="20" max="20" style="1" width="11.7109375"/>
    <col customWidth="1" min="21" max="21" style="1" width="9.5703125"/>
    <col customWidth="1" min="22" max="22" style="1" width="17.7109375"/>
    <col customWidth="1" min="23" max="29" style="1" width="34"/>
  </cols>
  <sheetData>
    <row r="1" ht="15.75" customHeight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68"/>
      <c r="Q1" s="44"/>
      <c r="R1" s="44"/>
      <c r="S1" s="44"/>
      <c r="T1" s="44"/>
      <c r="U1" s="44"/>
      <c r="V1" s="44"/>
      <c r="W1" s="69"/>
      <c r="X1" s="69"/>
      <c r="Y1" s="69"/>
      <c r="Z1" s="69"/>
      <c r="AA1" s="69"/>
      <c r="AB1" s="69"/>
      <c r="AC1" s="69"/>
    </row>
    <row r="2" ht="15.7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T2" s="44"/>
      <c r="U2" s="44"/>
      <c r="V2" s="44"/>
      <c r="W2" s="69"/>
      <c r="X2" s="69"/>
      <c r="Y2" s="69"/>
      <c r="Z2" s="69"/>
      <c r="AA2" s="69"/>
      <c r="AB2" s="69"/>
      <c r="AC2" s="69"/>
    </row>
    <row r="3" ht="15.75" customHeight="1">
      <c r="A3" s="44"/>
      <c r="B3" s="70" t="s">
        <v>76</v>
      </c>
      <c r="C3" s="71" t="s">
        <v>77</v>
      </c>
      <c r="D3" s="72"/>
      <c r="E3" s="73"/>
      <c r="F3" s="44"/>
      <c r="G3" s="44"/>
      <c r="H3" s="44"/>
      <c r="I3" s="44"/>
      <c r="J3" s="44"/>
      <c r="K3" s="70" t="s">
        <v>78</v>
      </c>
      <c r="L3" s="74" t="s">
        <v>29</v>
      </c>
      <c r="M3" s="74" t="s">
        <v>30</v>
      </c>
      <c r="N3" s="74" t="s">
        <v>31</v>
      </c>
      <c r="O3" s="74" t="s">
        <v>32</v>
      </c>
      <c r="P3" s="75" t="s">
        <v>33</v>
      </c>
      <c r="Q3" s="74" t="s">
        <v>34</v>
      </c>
      <c r="R3" s="74" t="s">
        <v>35</v>
      </c>
      <c r="S3" s="44"/>
      <c r="T3" s="44"/>
      <c r="U3" s="44"/>
      <c r="V3" s="44"/>
      <c r="W3" s="69"/>
      <c r="X3" s="69"/>
      <c r="Y3" s="69"/>
      <c r="Z3" s="69"/>
      <c r="AA3" s="69"/>
      <c r="AB3" s="69"/>
      <c r="AC3" s="69"/>
    </row>
    <row r="4" ht="15.75" customHeight="1">
      <c r="A4" s="44"/>
      <c r="B4" s="70" t="s">
        <v>79</v>
      </c>
      <c r="C4" s="76" t="s">
        <v>80</v>
      </c>
      <c r="D4" s="77"/>
      <c r="E4" s="73"/>
      <c r="F4" s="44"/>
      <c r="G4" s="44"/>
      <c r="H4" s="44"/>
      <c r="I4" s="44"/>
      <c r="J4" s="44"/>
      <c r="K4" s="70" t="s">
        <v>81</v>
      </c>
      <c r="L4" s="78">
        <f>COUNTA($G$13:$G$165)</f>
        <v>150</v>
      </c>
      <c r="M4" s="79">
        <f>COUNTIF($M$25:$M994,M3)</f>
        <v>33</v>
      </c>
      <c r="N4" s="79">
        <f>COUNTIF($M$25:$M994,N3)</f>
        <v>30</v>
      </c>
      <c r="O4" s="79">
        <f>COUNTIF($M$25:$M994,O3)</f>
        <v>73</v>
      </c>
      <c r="P4" s="80">
        <f>COUNTIF($M$25:$M994,P3)</f>
        <v>0</v>
      </c>
      <c r="Q4" s="79">
        <f>COUNTIF($M$25:$M994,Q3)</f>
        <v>2</v>
      </c>
      <c r="R4" s="79">
        <f>L4-SUM(M4:Q4)</f>
        <v>12</v>
      </c>
      <c r="S4" s="81"/>
      <c r="T4" s="44"/>
      <c r="U4" s="44"/>
      <c r="V4" s="44"/>
      <c r="W4" s="69"/>
      <c r="X4" s="69"/>
      <c r="Y4" s="69"/>
      <c r="Z4" s="69"/>
      <c r="AA4" s="69"/>
      <c r="AB4" s="69"/>
      <c r="AC4" s="69"/>
    </row>
    <row r="5" ht="15.75" customHeight="1">
      <c r="A5" s="44"/>
      <c r="B5" s="70" t="s">
        <v>3</v>
      </c>
      <c r="C5" s="76" t="s">
        <v>82</v>
      </c>
      <c r="D5" s="77"/>
      <c r="E5" s="73"/>
      <c r="F5" s="44"/>
      <c r="G5" s="44"/>
      <c r="H5" s="44"/>
      <c r="I5" s="44"/>
      <c r="J5" s="44"/>
      <c r="K5" s="14"/>
      <c r="L5" s="14"/>
      <c r="M5" s="82">
        <f>M4/$L$4</f>
        <v>0.22</v>
      </c>
      <c r="N5" s="82">
        <f>N4/$L$4</f>
        <v>0.20000000000000001</v>
      </c>
      <c r="O5" s="82">
        <f>O4/$L$4</f>
        <v>0.48666666666666669</v>
      </c>
      <c r="P5" s="83">
        <f>P4/$L$4</f>
        <v>0</v>
      </c>
      <c r="Q5" s="82">
        <f>Q4/$L$4</f>
        <v>1.3333333333333334e-002</v>
      </c>
      <c r="R5" s="82">
        <f>R4/$L$4</f>
        <v>8.0000000000000002e-002</v>
      </c>
      <c r="S5" s="44"/>
      <c r="T5" s="44"/>
      <c r="U5" s="44"/>
      <c r="V5" s="44"/>
      <c r="W5" s="69"/>
      <c r="X5" s="69"/>
      <c r="Y5" s="69"/>
      <c r="Z5" s="69"/>
      <c r="AA5" s="69"/>
      <c r="AB5" s="69"/>
      <c r="AC5" s="69"/>
    </row>
    <row r="6" ht="15.75" customHeight="1">
      <c r="A6" s="44"/>
      <c r="B6" s="70" t="s">
        <v>83</v>
      </c>
      <c r="C6" s="84">
        <v>46031</v>
      </c>
      <c r="D6" s="77"/>
      <c r="E6" s="73"/>
      <c r="F6" s="44"/>
      <c r="G6" s="44"/>
      <c r="H6" s="44"/>
      <c r="I6" s="44"/>
      <c r="J6" s="44"/>
      <c r="K6" s="85" t="s">
        <v>84</v>
      </c>
      <c r="L6" s="86">
        <f>COUNTA($G$13:$G$165)</f>
        <v>150</v>
      </c>
      <c r="M6" s="87">
        <f>COUNTIF($R$25:$R$168,M3)</f>
        <v>0</v>
      </c>
      <c r="N6" s="87">
        <f>COUNTIF($R$25:$R$168,N3)</f>
        <v>0</v>
      </c>
      <c r="O6" s="87">
        <f>COUNTIF($R$25:$R$168,O3)</f>
        <v>0</v>
      </c>
      <c r="P6" s="88">
        <f>COUNTIF($R$25:$R$168,P3)</f>
        <v>0</v>
      </c>
      <c r="Q6" s="87">
        <f>COUNTIF($R$25:$R$168,Q3)</f>
        <v>0</v>
      </c>
      <c r="R6" s="87">
        <f>L6-SUM(M6:Q6)</f>
        <v>150</v>
      </c>
      <c r="S6" s="81"/>
      <c r="T6" s="44"/>
      <c r="U6" s="44"/>
      <c r="V6" s="44"/>
      <c r="W6" s="69"/>
      <c r="X6" s="69"/>
      <c r="Y6" s="69"/>
      <c r="Z6" s="69"/>
      <c r="AA6" s="69"/>
      <c r="AB6" s="69"/>
      <c r="AC6" s="69"/>
    </row>
    <row r="7" ht="15.75" customHeight="1">
      <c r="A7" s="44"/>
      <c r="B7" s="70" t="s">
        <v>17</v>
      </c>
      <c r="C7" s="89"/>
      <c r="D7" s="90"/>
      <c r="E7" s="73"/>
      <c r="F7" s="44"/>
      <c r="G7" s="44"/>
      <c r="H7" s="44"/>
      <c r="I7" s="44"/>
      <c r="J7" s="44"/>
      <c r="K7" s="14"/>
      <c r="L7" s="14"/>
      <c r="M7" s="91">
        <f>M6/$L$6</f>
        <v>0</v>
      </c>
      <c r="N7" s="91">
        <f>N6/$L$6</f>
        <v>0</v>
      </c>
      <c r="O7" s="91">
        <f>O6/$L$6</f>
        <v>0</v>
      </c>
      <c r="P7" s="92">
        <f>P6/$L$6</f>
        <v>0</v>
      </c>
      <c r="Q7" s="91">
        <f>Q6/$L$6</f>
        <v>0</v>
      </c>
      <c r="R7" s="91">
        <f>R6/$L$6</f>
        <v>1</v>
      </c>
      <c r="S7" s="44"/>
      <c r="T7" s="44"/>
      <c r="U7" s="44"/>
      <c r="V7" s="44"/>
      <c r="W7" s="69"/>
      <c r="X7" s="69"/>
      <c r="Y7" s="69"/>
      <c r="Z7" s="69"/>
      <c r="AA7" s="69"/>
      <c r="AB7" s="69"/>
      <c r="AC7" s="69"/>
    </row>
    <row r="8" ht="15.75" customHeight="1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68"/>
      <c r="Q8" s="44"/>
      <c r="R8" s="44"/>
      <c r="S8" s="44"/>
      <c r="T8" s="44"/>
      <c r="U8" s="44"/>
      <c r="V8" s="44"/>
      <c r="W8" s="69"/>
      <c r="X8" s="69"/>
      <c r="Y8" s="69"/>
      <c r="Z8" s="69"/>
      <c r="AA8" s="69"/>
      <c r="AB8" s="69"/>
      <c r="AC8" s="69"/>
    </row>
    <row r="9" ht="15.75" customHeight="1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68"/>
      <c r="Q9" s="44"/>
      <c r="R9" s="44"/>
      <c r="S9" s="44"/>
      <c r="T9" s="44"/>
      <c r="U9" s="44"/>
      <c r="V9" s="44"/>
      <c r="W9" s="69"/>
      <c r="X9" s="69"/>
      <c r="Y9" s="69"/>
      <c r="Z9" s="69"/>
      <c r="AA9" s="69"/>
      <c r="AB9" s="69"/>
      <c r="AC9" s="69"/>
    </row>
    <row r="10" ht="15.75" customHeight="1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4" t="s">
        <v>81</v>
      </c>
      <c r="N10" s="4"/>
      <c r="O10" s="4"/>
      <c r="P10" s="4"/>
      <c r="Q10" s="5"/>
      <c r="R10" s="95" t="s">
        <v>84</v>
      </c>
      <c r="S10" s="4"/>
      <c r="T10" s="4"/>
      <c r="U10" s="4"/>
      <c r="V10" s="5"/>
      <c r="W10" s="69"/>
      <c r="X10" s="69"/>
      <c r="Y10" s="69"/>
      <c r="Z10" s="69"/>
      <c r="AA10" s="69"/>
      <c r="AB10" s="69"/>
      <c r="AC10" s="69"/>
    </row>
    <row r="11" ht="15.75" customHeight="1">
      <c r="A11" s="96"/>
      <c r="B11" s="97" t="s">
        <v>85</v>
      </c>
      <c r="C11" s="4"/>
      <c r="D11" s="5"/>
      <c r="E11" s="97"/>
      <c r="F11" s="98" t="s">
        <v>86</v>
      </c>
      <c r="G11" s="98" t="s">
        <v>87</v>
      </c>
      <c r="H11" s="98" t="s">
        <v>88</v>
      </c>
      <c r="I11" s="98" t="s">
        <v>89</v>
      </c>
      <c r="J11" s="98" t="s">
        <v>90</v>
      </c>
      <c r="K11" s="98" t="s">
        <v>91</v>
      </c>
      <c r="L11" s="98" t="s">
        <v>92</v>
      </c>
      <c r="M11" s="98" t="s">
        <v>93</v>
      </c>
      <c r="N11" s="98" t="s">
        <v>94</v>
      </c>
      <c r="O11" s="98" t="s">
        <v>95</v>
      </c>
      <c r="P11" s="99" t="s">
        <v>96</v>
      </c>
      <c r="Q11" s="98" t="s">
        <v>97</v>
      </c>
      <c r="R11" s="100" t="s">
        <v>93</v>
      </c>
      <c r="S11" s="100" t="s">
        <v>94</v>
      </c>
      <c r="T11" s="100" t="s">
        <v>95</v>
      </c>
      <c r="U11" s="100" t="s">
        <v>96</v>
      </c>
      <c r="V11" s="100" t="s">
        <v>97</v>
      </c>
      <c r="W11" s="101" t="s">
        <v>98</v>
      </c>
      <c r="X11" s="98" t="s">
        <v>99</v>
      </c>
      <c r="Y11" s="69"/>
      <c r="Z11" s="69"/>
      <c r="AA11" s="69"/>
      <c r="AB11" s="69"/>
      <c r="AC11" s="69"/>
    </row>
    <row r="12" ht="15.75" customHeight="1">
      <c r="A12" s="96" t="s">
        <v>100</v>
      </c>
      <c r="B12" s="98" t="s">
        <v>101</v>
      </c>
      <c r="C12" s="98" t="s">
        <v>102</v>
      </c>
      <c r="D12" s="98" t="s">
        <v>103</v>
      </c>
      <c r="E12" s="98" t="s">
        <v>104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102"/>
      <c r="X12" s="103"/>
      <c r="Y12" s="69"/>
      <c r="Z12" s="69"/>
      <c r="AA12" s="69"/>
      <c r="AB12" s="69"/>
      <c r="AC12" s="69"/>
    </row>
    <row r="13" ht="87" customHeight="1">
      <c r="A13" s="104">
        <v>1</v>
      </c>
      <c r="B13" s="104" t="s">
        <v>105</v>
      </c>
      <c r="C13" s="104" t="s">
        <v>105</v>
      </c>
      <c r="D13" s="104"/>
      <c r="E13" s="104"/>
      <c r="F13" s="105" t="s">
        <v>106</v>
      </c>
      <c r="G13" s="105" t="s">
        <v>107</v>
      </c>
      <c r="H13" s="106" t="s">
        <v>108</v>
      </c>
      <c r="I13" s="106"/>
      <c r="J13" s="106" t="s">
        <v>109</v>
      </c>
      <c r="K13" s="106" t="s">
        <v>110</v>
      </c>
      <c r="L13" s="106"/>
      <c r="M13" s="105" t="s">
        <v>30</v>
      </c>
      <c r="N13" s="106" t="s">
        <v>82</v>
      </c>
      <c r="O13" s="106" t="s">
        <v>111</v>
      </c>
      <c r="P13" s="106"/>
      <c r="Q13" s="105" t="s">
        <v>30</v>
      </c>
      <c r="R13" s="106" t="s">
        <v>82</v>
      </c>
      <c r="S13" s="106" t="s">
        <v>112</v>
      </c>
      <c r="T13" s="107">
        <v>46164</v>
      </c>
      <c r="U13" s="108"/>
      <c r="V13" s="109"/>
      <c r="W13" s="110"/>
      <c r="X13" s="73"/>
      <c r="Y13" s="73"/>
      <c r="Z13" s="73"/>
      <c r="AA13" s="73"/>
      <c r="AB13" s="73"/>
      <c r="AC13" s="69"/>
    </row>
    <row r="14" ht="64.5" customHeight="1">
      <c r="A14" s="104">
        <v>2</v>
      </c>
      <c r="B14" s="106" t="s">
        <v>113</v>
      </c>
      <c r="C14" s="104" t="s">
        <v>114</v>
      </c>
      <c r="D14" s="104"/>
      <c r="E14" s="104"/>
      <c r="F14" s="105" t="s">
        <v>115</v>
      </c>
      <c r="G14" s="105" t="s">
        <v>116</v>
      </c>
      <c r="H14" s="106" t="s">
        <v>117</v>
      </c>
      <c r="I14" s="106"/>
      <c r="J14" s="106" t="s">
        <v>118</v>
      </c>
      <c r="K14" s="106" t="s">
        <v>119</v>
      </c>
      <c r="L14" s="106"/>
      <c r="M14" s="105" t="s">
        <v>30</v>
      </c>
      <c r="N14" s="106" t="s">
        <v>82</v>
      </c>
      <c r="O14" s="106" t="s">
        <v>111</v>
      </c>
      <c r="P14" s="106"/>
      <c r="Q14" s="105" t="s">
        <v>30</v>
      </c>
      <c r="R14" s="106" t="s">
        <v>82</v>
      </c>
      <c r="S14" s="106" t="s">
        <v>112</v>
      </c>
      <c r="T14" s="107">
        <v>46164</v>
      </c>
      <c r="U14" s="108"/>
      <c r="V14" s="109"/>
      <c r="W14" s="110"/>
      <c r="X14" s="73"/>
      <c r="Y14" s="73"/>
      <c r="Z14" s="73"/>
      <c r="AA14" s="73"/>
      <c r="AB14" s="73"/>
      <c r="AC14" s="69"/>
    </row>
    <row r="15" ht="52.5" customHeight="1">
      <c r="A15" s="104">
        <v>3</v>
      </c>
      <c r="B15" s="55"/>
      <c r="C15" s="104" t="s">
        <v>120</v>
      </c>
      <c r="D15" s="104"/>
      <c r="E15" s="104"/>
      <c r="F15" s="105" t="s">
        <v>115</v>
      </c>
      <c r="G15" s="105" t="s">
        <v>121</v>
      </c>
      <c r="H15" s="106" t="s">
        <v>122</v>
      </c>
      <c r="I15" s="106"/>
      <c r="J15" s="106" t="s">
        <v>123</v>
      </c>
      <c r="K15" s="106" t="s">
        <v>124</v>
      </c>
      <c r="L15" s="106"/>
      <c r="M15" s="105" t="s">
        <v>30</v>
      </c>
      <c r="N15" s="106" t="s">
        <v>82</v>
      </c>
      <c r="O15" s="106" t="s">
        <v>111</v>
      </c>
      <c r="P15" s="106"/>
      <c r="Q15" s="105" t="s">
        <v>30</v>
      </c>
      <c r="R15" s="106" t="s">
        <v>82</v>
      </c>
      <c r="S15" s="106" t="s">
        <v>112</v>
      </c>
      <c r="T15" s="107">
        <v>46164</v>
      </c>
      <c r="U15" s="108"/>
      <c r="V15" s="109"/>
      <c r="W15" s="110"/>
      <c r="X15" s="73"/>
      <c r="Y15" s="73"/>
      <c r="Z15" s="73"/>
      <c r="AA15" s="73"/>
      <c r="AB15" s="73"/>
      <c r="AC15" s="69"/>
    </row>
    <row r="16" ht="30.75" customHeight="1">
      <c r="A16" s="104">
        <v>4</v>
      </c>
      <c r="B16" s="55"/>
      <c r="C16" s="106" t="s">
        <v>125</v>
      </c>
      <c r="D16" s="104"/>
      <c r="E16" s="104"/>
      <c r="F16" s="105" t="s">
        <v>126</v>
      </c>
      <c r="G16" s="105" t="s">
        <v>127</v>
      </c>
      <c r="H16" s="106" t="s">
        <v>128</v>
      </c>
      <c r="I16" s="106"/>
      <c r="J16" s="106" t="s">
        <v>129</v>
      </c>
      <c r="K16" s="106" t="s">
        <v>130</v>
      </c>
      <c r="L16" s="106"/>
      <c r="M16" s="105" t="s">
        <v>30</v>
      </c>
      <c r="N16" s="106" t="s">
        <v>82</v>
      </c>
      <c r="O16" s="106" t="s">
        <v>111</v>
      </c>
      <c r="P16" s="106"/>
      <c r="Q16" s="105" t="s">
        <v>30</v>
      </c>
      <c r="R16" s="106" t="s">
        <v>82</v>
      </c>
      <c r="S16" s="106" t="s">
        <v>112</v>
      </c>
      <c r="T16" s="107">
        <v>46164</v>
      </c>
      <c r="U16" s="108"/>
      <c r="V16" s="109"/>
      <c r="W16" s="110"/>
      <c r="X16" s="73"/>
      <c r="Y16" s="73"/>
      <c r="Z16" s="73"/>
      <c r="AA16" s="73"/>
      <c r="AB16" s="73"/>
      <c r="AC16" s="69"/>
    </row>
    <row r="17" ht="38.25" customHeight="1">
      <c r="A17" s="104">
        <v>5</v>
      </c>
      <c r="B17" s="55"/>
      <c r="C17" s="55"/>
      <c r="D17" s="104"/>
      <c r="E17" s="104"/>
      <c r="F17" s="105" t="s">
        <v>126</v>
      </c>
      <c r="G17" s="105" t="s">
        <v>131</v>
      </c>
      <c r="H17" s="106" t="s">
        <v>132</v>
      </c>
      <c r="I17" s="106"/>
      <c r="J17" s="106" t="s">
        <v>133</v>
      </c>
      <c r="K17" s="106" t="s">
        <v>134</v>
      </c>
      <c r="L17" s="106"/>
      <c r="M17" s="105" t="s">
        <v>30</v>
      </c>
      <c r="N17" s="106" t="s">
        <v>82</v>
      </c>
      <c r="O17" s="106" t="s">
        <v>111</v>
      </c>
      <c r="P17" s="106"/>
      <c r="Q17" s="105" t="s">
        <v>30</v>
      </c>
      <c r="R17" s="106" t="s">
        <v>82</v>
      </c>
      <c r="S17" s="106" t="s">
        <v>112</v>
      </c>
      <c r="T17" s="107">
        <v>46164</v>
      </c>
      <c r="U17" s="108"/>
      <c r="V17" s="109"/>
      <c r="W17" s="110"/>
      <c r="X17" s="73"/>
      <c r="Y17" s="73"/>
      <c r="Z17" s="73"/>
      <c r="AA17" s="73"/>
      <c r="AB17" s="73"/>
      <c r="AC17" s="69"/>
    </row>
    <row r="18" ht="38.25" customHeight="1">
      <c r="A18" s="104">
        <v>6</v>
      </c>
      <c r="B18" s="55"/>
      <c r="C18" s="14"/>
      <c r="D18" s="104"/>
      <c r="E18" s="104"/>
      <c r="F18" s="105" t="s">
        <v>115</v>
      </c>
      <c r="G18" s="105" t="s">
        <v>135</v>
      </c>
      <c r="H18" s="106" t="s">
        <v>136</v>
      </c>
      <c r="I18" s="106"/>
      <c r="J18" s="106" t="s">
        <v>137</v>
      </c>
      <c r="K18" s="106" t="s">
        <v>138</v>
      </c>
      <c r="L18" s="106"/>
      <c r="M18" s="105" t="s">
        <v>30</v>
      </c>
      <c r="N18" s="106" t="s">
        <v>82</v>
      </c>
      <c r="O18" s="106" t="s">
        <v>111</v>
      </c>
      <c r="P18" s="106"/>
      <c r="Q18" s="105" t="s">
        <v>30</v>
      </c>
      <c r="R18" s="106" t="s">
        <v>82</v>
      </c>
      <c r="S18" s="106" t="s">
        <v>112</v>
      </c>
      <c r="T18" s="107">
        <v>46164</v>
      </c>
      <c r="U18" s="108"/>
      <c r="V18" s="109"/>
      <c r="W18" s="110"/>
      <c r="X18" s="73"/>
      <c r="Y18" s="73"/>
      <c r="Z18" s="73"/>
      <c r="AA18" s="73"/>
      <c r="AB18" s="73"/>
      <c r="AC18" s="69"/>
    </row>
    <row r="19" ht="47.25" customHeight="1">
      <c r="A19" s="104">
        <v>7</v>
      </c>
      <c r="B19" s="55"/>
      <c r="C19" s="106" t="s">
        <v>139</v>
      </c>
      <c r="D19" s="104"/>
      <c r="E19" s="104"/>
      <c r="F19" s="105" t="s">
        <v>106</v>
      </c>
      <c r="G19" s="105" t="s">
        <v>140</v>
      </c>
      <c r="H19" s="106" t="s">
        <v>141</v>
      </c>
      <c r="I19" s="106"/>
      <c r="J19" s="106" t="s">
        <v>142</v>
      </c>
      <c r="K19" s="106" t="s">
        <v>143</v>
      </c>
      <c r="L19" s="106"/>
      <c r="M19" s="105" t="s">
        <v>30</v>
      </c>
      <c r="N19" s="106" t="s">
        <v>82</v>
      </c>
      <c r="O19" s="106" t="s">
        <v>111</v>
      </c>
      <c r="P19" s="106"/>
      <c r="Q19" s="105" t="s">
        <v>30</v>
      </c>
      <c r="R19" s="106" t="s">
        <v>82</v>
      </c>
      <c r="S19" s="106" t="s">
        <v>112</v>
      </c>
      <c r="T19" s="107">
        <v>46164</v>
      </c>
      <c r="U19" s="108"/>
      <c r="V19" s="109"/>
      <c r="W19" s="110"/>
      <c r="X19" s="73"/>
      <c r="Y19" s="73"/>
      <c r="Z19" s="73"/>
      <c r="AA19" s="73"/>
      <c r="AB19" s="73"/>
      <c r="AC19" s="69"/>
    </row>
    <row r="20" ht="47.25" customHeight="1">
      <c r="A20" s="104">
        <v>8</v>
      </c>
      <c r="B20" s="55"/>
      <c r="C20" s="55"/>
      <c r="D20" s="104"/>
      <c r="E20" s="104"/>
      <c r="F20" s="105" t="s">
        <v>126</v>
      </c>
      <c r="G20" s="105" t="s">
        <v>144</v>
      </c>
      <c r="H20" s="106" t="s">
        <v>145</v>
      </c>
      <c r="I20" s="106"/>
      <c r="J20" s="106" t="s">
        <v>146</v>
      </c>
      <c r="K20" s="106" t="s">
        <v>147</v>
      </c>
      <c r="L20" s="106"/>
      <c r="M20" s="105" t="s">
        <v>30</v>
      </c>
      <c r="N20" s="106" t="s">
        <v>82</v>
      </c>
      <c r="O20" s="106" t="s">
        <v>111</v>
      </c>
      <c r="P20" s="106"/>
      <c r="Q20" s="105" t="s">
        <v>30</v>
      </c>
      <c r="R20" s="106" t="s">
        <v>82</v>
      </c>
      <c r="S20" s="106" t="s">
        <v>112</v>
      </c>
      <c r="T20" s="107">
        <v>46164</v>
      </c>
      <c r="U20" s="108"/>
      <c r="V20" s="109"/>
      <c r="W20" s="110"/>
      <c r="X20" s="73"/>
      <c r="Y20" s="73"/>
      <c r="Z20" s="73"/>
      <c r="AA20" s="73"/>
      <c r="AB20" s="73"/>
      <c r="AC20" s="69"/>
    </row>
    <row r="21" ht="43.5" customHeight="1">
      <c r="A21" s="104">
        <v>9</v>
      </c>
      <c r="B21" s="55"/>
      <c r="C21" s="55"/>
      <c r="D21" s="104"/>
      <c r="E21" s="104"/>
      <c r="F21" s="105" t="s">
        <v>126</v>
      </c>
      <c r="G21" s="105" t="s">
        <v>148</v>
      </c>
      <c r="H21" s="106" t="s">
        <v>149</v>
      </c>
      <c r="I21" s="106"/>
      <c r="J21" s="106" t="s">
        <v>150</v>
      </c>
      <c r="K21" s="106" t="s">
        <v>151</v>
      </c>
      <c r="L21" s="106"/>
      <c r="M21" s="105" t="s">
        <v>30</v>
      </c>
      <c r="N21" s="106" t="s">
        <v>82</v>
      </c>
      <c r="O21" s="106" t="s">
        <v>111</v>
      </c>
      <c r="P21" s="106"/>
      <c r="Q21" s="105" t="s">
        <v>30</v>
      </c>
      <c r="R21" s="106" t="s">
        <v>82</v>
      </c>
      <c r="S21" s="106" t="s">
        <v>112</v>
      </c>
      <c r="T21" s="107">
        <v>46164</v>
      </c>
      <c r="U21" s="108"/>
      <c r="V21" s="109"/>
      <c r="W21" s="110"/>
      <c r="X21" s="73"/>
      <c r="Y21" s="73"/>
      <c r="Z21" s="73"/>
      <c r="AA21" s="73"/>
      <c r="AB21" s="73"/>
      <c r="AC21" s="69"/>
    </row>
    <row r="22" ht="48" customHeight="1">
      <c r="A22" s="104">
        <v>10</v>
      </c>
      <c r="B22" s="55"/>
      <c r="C22" s="55"/>
      <c r="D22" s="104"/>
      <c r="E22" s="104"/>
      <c r="F22" s="105" t="s">
        <v>126</v>
      </c>
      <c r="G22" s="105" t="s">
        <v>152</v>
      </c>
      <c r="H22" s="106" t="s">
        <v>153</v>
      </c>
      <c r="I22" s="106"/>
      <c r="J22" s="106" t="s">
        <v>154</v>
      </c>
      <c r="K22" s="106" t="s">
        <v>155</v>
      </c>
      <c r="L22" s="106"/>
      <c r="M22" s="105" t="s">
        <v>31</v>
      </c>
      <c r="N22" s="106" t="s">
        <v>82</v>
      </c>
      <c r="O22" s="106" t="s">
        <v>111</v>
      </c>
      <c r="P22" s="106">
        <v>7</v>
      </c>
      <c r="Q22" s="105" t="s">
        <v>30</v>
      </c>
      <c r="R22" s="106" t="s">
        <v>82</v>
      </c>
      <c r="S22" s="106" t="s">
        <v>112</v>
      </c>
      <c r="T22" s="107">
        <v>46164</v>
      </c>
      <c r="U22" s="108"/>
      <c r="V22" s="109"/>
      <c r="W22" s="110"/>
      <c r="X22" s="73"/>
      <c r="Y22" s="73"/>
      <c r="Z22" s="73"/>
      <c r="AA22" s="73"/>
      <c r="AB22" s="73"/>
      <c r="AC22" s="69"/>
    </row>
    <row r="23" ht="54.75" customHeight="1">
      <c r="A23" s="104">
        <v>11</v>
      </c>
      <c r="B23" s="55"/>
      <c r="C23" s="55"/>
      <c r="D23" s="104"/>
      <c r="E23" s="104"/>
      <c r="F23" s="105" t="s">
        <v>106</v>
      </c>
      <c r="G23" s="105" t="s">
        <v>156</v>
      </c>
      <c r="H23" s="106" t="s">
        <v>157</v>
      </c>
      <c r="I23" s="106"/>
      <c r="J23" s="106" t="s">
        <v>158</v>
      </c>
      <c r="K23" s="106" t="s">
        <v>159</v>
      </c>
      <c r="L23" s="106"/>
      <c r="M23" s="105" t="s">
        <v>31</v>
      </c>
      <c r="N23" s="106" t="s">
        <v>82</v>
      </c>
      <c r="O23" s="106" t="s">
        <v>111</v>
      </c>
      <c r="P23" s="106">
        <v>8</v>
      </c>
      <c r="Q23" s="105" t="s">
        <v>30</v>
      </c>
      <c r="R23" s="106" t="s">
        <v>82</v>
      </c>
      <c r="S23" s="106" t="s">
        <v>112</v>
      </c>
      <c r="T23" s="107">
        <v>46164</v>
      </c>
      <c r="U23" s="108"/>
      <c r="V23" s="109"/>
      <c r="W23" s="110"/>
      <c r="X23" s="73"/>
      <c r="Y23" s="73"/>
      <c r="Z23" s="73"/>
      <c r="AA23" s="73"/>
      <c r="AB23" s="73"/>
      <c r="AC23" s="69"/>
    </row>
    <row r="24" ht="48.75" customHeight="1">
      <c r="A24" s="104">
        <v>12</v>
      </c>
      <c r="B24" s="55"/>
      <c r="C24" s="14"/>
      <c r="D24" s="104"/>
      <c r="E24" s="104"/>
      <c r="F24" s="105" t="s">
        <v>106</v>
      </c>
      <c r="G24" s="105" t="s">
        <v>160</v>
      </c>
      <c r="H24" s="106" t="s">
        <v>161</v>
      </c>
      <c r="I24" s="106"/>
      <c r="J24" s="106" t="s">
        <v>162</v>
      </c>
      <c r="K24" s="106" t="s">
        <v>163</v>
      </c>
      <c r="L24" s="106"/>
      <c r="M24" s="105" t="s">
        <v>30</v>
      </c>
      <c r="N24" s="106" t="s">
        <v>82</v>
      </c>
      <c r="O24" s="106" t="s">
        <v>111</v>
      </c>
      <c r="P24" s="106"/>
      <c r="Q24" s="105" t="s">
        <v>30</v>
      </c>
      <c r="R24" s="106" t="s">
        <v>82</v>
      </c>
      <c r="S24" s="106" t="s">
        <v>112</v>
      </c>
      <c r="T24" s="107">
        <v>46164</v>
      </c>
      <c r="U24" s="108"/>
      <c r="V24" s="109"/>
      <c r="W24" s="110"/>
      <c r="X24" s="73"/>
      <c r="Y24" s="73"/>
      <c r="Z24" s="73"/>
      <c r="AA24" s="73"/>
      <c r="AB24" s="73"/>
      <c r="AC24" s="69"/>
    </row>
    <row r="25" ht="60" customHeight="1">
      <c r="A25" s="104">
        <v>13</v>
      </c>
      <c r="B25" s="55"/>
      <c r="C25" s="106" t="s">
        <v>164</v>
      </c>
      <c r="D25" s="106" t="s">
        <v>165</v>
      </c>
      <c r="E25" s="104"/>
      <c r="F25" s="105" t="s">
        <v>126</v>
      </c>
      <c r="G25" s="105" t="s">
        <v>166</v>
      </c>
      <c r="H25" s="106" t="s">
        <v>167</v>
      </c>
      <c r="I25" s="106"/>
      <c r="J25" s="106" t="s">
        <v>168</v>
      </c>
      <c r="K25" s="106" t="s">
        <v>169</v>
      </c>
      <c r="L25" s="106"/>
      <c r="M25" s="105" t="s">
        <v>31</v>
      </c>
      <c r="N25" s="106" t="s">
        <v>82</v>
      </c>
      <c r="O25" s="106" t="s">
        <v>111</v>
      </c>
      <c r="P25" s="106">
        <v>8</v>
      </c>
      <c r="Q25" s="105" t="s">
        <v>30</v>
      </c>
      <c r="R25" s="106" t="s">
        <v>82</v>
      </c>
      <c r="S25" s="106" t="s">
        <v>112</v>
      </c>
      <c r="T25" s="107">
        <v>46164</v>
      </c>
      <c r="U25" s="108"/>
      <c r="V25" s="109"/>
      <c r="W25" s="110"/>
      <c r="X25" s="73"/>
      <c r="Y25" s="73"/>
      <c r="Z25" s="73"/>
      <c r="AA25" s="73"/>
      <c r="AB25" s="73"/>
      <c r="AC25" s="69"/>
    </row>
    <row r="26" ht="60" customHeight="1">
      <c r="A26" s="104">
        <v>14</v>
      </c>
      <c r="B26" s="55"/>
      <c r="C26" s="14"/>
      <c r="D26" s="14"/>
      <c r="E26" s="104"/>
      <c r="F26" s="105" t="s">
        <v>126</v>
      </c>
      <c r="G26" s="105" t="s">
        <v>170</v>
      </c>
      <c r="H26" s="106" t="s">
        <v>171</v>
      </c>
      <c r="I26" s="106"/>
      <c r="J26" s="106" t="s">
        <v>172</v>
      </c>
      <c r="K26" s="106" t="s">
        <v>169</v>
      </c>
      <c r="L26" s="106"/>
      <c r="M26" s="105" t="s">
        <v>31</v>
      </c>
      <c r="N26" s="106" t="s">
        <v>82</v>
      </c>
      <c r="O26" s="106" t="s">
        <v>111</v>
      </c>
      <c r="P26" s="106">
        <v>8</v>
      </c>
      <c r="Q26" s="105" t="s">
        <v>30</v>
      </c>
      <c r="R26" s="106" t="s">
        <v>82</v>
      </c>
      <c r="S26" s="106" t="s">
        <v>112</v>
      </c>
      <c r="T26" s="107">
        <v>46164</v>
      </c>
      <c r="U26" s="108"/>
      <c r="V26" s="109"/>
      <c r="W26" s="110"/>
      <c r="X26" s="73"/>
      <c r="Y26" s="73"/>
      <c r="Z26" s="73"/>
      <c r="AA26" s="73"/>
      <c r="AB26" s="73"/>
      <c r="AC26" s="69"/>
    </row>
    <row r="27" ht="50.25" customHeight="1">
      <c r="A27" s="104">
        <v>15</v>
      </c>
      <c r="B27" s="55"/>
      <c r="C27" s="106" t="s">
        <v>173</v>
      </c>
      <c r="D27" s="106" t="s">
        <v>174</v>
      </c>
      <c r="E27" s="104"/>
      <c r="F27" s="105" t="s">
        <v>126</v>
      </c>
      <c r="G27" s="105" t="s">
        <v>175</v>
      </c>
      <c r="H27" s="106" t="s">
        <v>176</v>
      </c>
      <c r="I27" s="106"/>
      <c r="J27" s="106" t="s">
        <v>177</v>
      </c>
      <c r="K27" s="106" t="s">
        <v>178</v>
      </c>
      <c r="L27" s="106"/>
      <c r="M27" s="105" t="s">
        <v>30</v>
      </c>
      <c r="N27" s="106" t="s">
        <v>82</v>
      </c>
      <c r="O27" s="106" t="s">
        <v>111</v>
      </c>
      <c r="P27" s="106"/>
      <c r="Q27" s="105" t="s">
        <v>30</v>
      </c>
      <c r="R27" s="106" t="s">
        <v>82</v>
      </c>
      <c r="S27" s="106" t="s">
        <v>112</v>
      </c>
      <c r="T27" s="107">
        <v>46164</v>
      </c>
      <c r="U27" s="108"/>
      <c r="V27" s="109"/>
      <c r="W27" s="110"/>
      <c r="X27" s="69"/>
      <c r="Y27" s="69"/>
      <c r="Z27" s="69"/>
      <c r="AA27" s="69"/>
      <c r="AB27" s="69"/>
      <c r="AC27" s="69"/>
    </row>
    <row r="28" ht="41.25" customHeight="1">
      <c r="A28" s="104">
        <v>16</v>
      </c>
      <c r="B28" s="55"/>
      <c r="C28" s="55"/>
      <c r="D28" s="55"/>
      <c r="E28" s="104"/>
      <c r="F28" s="105" t="s">
        <v>106</v>
      </c>
      <c r="G28" s="105" t="s">
        <v>179</v>
      </c>
      <c r="H28" s="106" t="s">
        <v>180</v>
      </c>
      <c r="I28" s="106"/>
      <c r="J28" s="106" t="s">
        <v>181</v>
      </c>
      <c r="K28" s="106" t="s">
        <v>182</v>
      </c>
      <c r="L28" s="106"/>
      <c r="M28" s="105" t="s">
        <v>32</v>
      </c>
      <c r="N28" s="106" t="s">
        <v>82</v>
      </c>
      <c r="O28" s="106" t="s">
        <v>111</v>
      </c>
      <c r="P28" s="106"/>
      <c r="Q28" s="105" t="s">
        <v>35</v>
      </c>
      <c r="R28" s="106"/>
      <c r="S28" s="106"/>
      <c r="T28" s="107"/>
      <c r="U28" s="108"/>
      <c r="V28" s="109"/>
      <c r="W28" s="110"/>
      <c r="X28" s="69"/>
      <c r="Y28" s="69"/>
      <c r="Z28" s="69"/>
      <c r="AA28" s="69"/>
      <c r="AB28" s="69"/>
      <c r="AC28" s="69"/>
    </row>
    <row r="29" ht="62.25" customHeight="1">
      <c r="A29" s="104">
        <v>17</v>
      </c>
      <c r="B29" s="55"/>
      <c r="C29" s="14"/>
      <c r="D29" s="14"/>
      <c r="E29" s="104"/>
      <c r="F29" s="105" t="s">
        <v>126</v>
      </c>
      <c r="G29" s="105" t="s">
        <v>183</v>
      </c>
      <c r="H29" s="106" t="s">
        <v>184</v>
      </c>
      <c r="I29" s="106"/>
      <c r="J29" s="106" t="s">
        <v>185</v>
      </c>
      <c r="K29" s="106" t="s">
        <v>186</v>
      </c>
      <c r="L29" s="106"/>
      <c r="M29" s="105" t="s">
        <v>32</v>
      </c>
      <c r="N29" s="106" t="s">
        <v>82</v>
      </c>
      <c r="O29" s="106" t="s">
        <v>111</v>
      </c>
      <c r="P29" s="106"/>
      <c r="Q29" s="105" t="s">
        <v>35</v>
      </c>
      <c r="R29" s="106"/>
      <c r="S29" s="106"/>
      <c r="T29" s="107"/>
      <c r="U29" s="108"/>
      <c r="V29" s="109"/>
      <c r="W29" s="110"/>
      <c r="X29" s="69"/>
      <c r="Y29" s="69"/>
      <c r="Z29" s="69"/>
      <c r="AA29" s="69"/>
      <c r="AB29" s="69"/>
      <c r="AC29" s="69"/>
    </row>
    <row r="30" ht="45" customHeight="1">
      <c r="A30" s="104">
        <v>18</v>
      </c>
      <c r="B30" s="55"/>
      <c r="C30" s="106" t="s">
        <v>187</v>
      </c>
      <c r="D30" s="106" t="s">
        <v>174</v>
      </c>
      <c r="E30" s="104"/>
      <c r="F30" s="105" t="s">
        <v>126</v>
      </c>
      <c r="G30" s="105" t="s">
        <v>188</v>
      </c>
      <c r="H30" s="111" t="s">
        <v>176</v>
      </c>
      <c r="I30" s="106"/>
      <c r="J30" s="106" t="s">
        <v>177</v>
      </c>
      <c r="K30" s="111" t="s">
        <v>189</v>
      </c>
      <c r="L30" s="106"/>
      <c r="M30" s="105" t="s">
        <v>32</v>
      </c>
      <c r="N30" s="106" t="s">
        <v>82</v>
      </c>
      <c r="O30" s="106" t="s">
        <v>111</v>
      </c>
      <c r="P30" s="106"/>
      <c r="Q30" s="105" t="s">
        <v>35</v>
      </c>
      <c r="R30" s="106"/>
      <c r="S30" s="106"/>
      <c r="T30" s="107"/>
      <c r="U30" s="108"/>
      <c r="V30" s="109"/>
      <c r="W30" s="110"/>
      <c r="X30" s="69"/>
      <c r="Y30" s="69"/>
      <c r="Z30" s="69"/>
      <c r="AA30" s="69"/>
      <c r="AB30" s="69"/>
      <c r="AC30" s="69"/>
    </row>
    <row r="31" ht="45" customHeight="1">
      <c r="A31" s="104">
        <v>19</v>
      </c>
      <c r="B31" s="55"/>
      <c r="C31" s="55"/>
      <c r="D31" s="55"/>
      <c r="E31" s="104"/>
      <c r="F31" s="105" t="s">
        <v>106</v>
      </c>
      <c r="G31" s="105" t="s">
        <v>190</v>
      </c>
      <c r="H31" s="111" t="s">
        <v>180</v>
      </c>
      <c r="I31" s="106"/>
      <c r="J31" s="106" t="s">
        <v>191</v>
      </c>
      <c r="K31" s="111" t="s">
        <v>192</v>
      </c>
      <c r="L31" s="106"/>
      <c r="M31" s="112" t="s">
        <v>32</v>
      </c>
      <c r="N31" s="106" t="s">
        <v>82</v>
      </c>
      <c r="O31" s="106" t="s">
        <v>111</v>
      </c>
      <c r="P31" s="106"/>
      <c r="Q31" s="105" t="s">
        <v>35</v>
      </c>
      <c r="R31" s="106"/>
      <c r="S31" s="106"/>
      <c r="T31" s="107"/>
      <c r="U31" s="108"/>
      <c r="V31" s="109"/>
      <c r="W31" s="110"/>
      <c r="X31" s="69"/>
      <c r="Y31" s="69"/>
      <c r="Z31" s="69"/>
      <c r="AA31" s="69"/>
      <c r="AB31" s="69"/>
      <c r="AC31" s="69"/>
    </row>
    <row r="32" ht="52.5" customHeight="1">
      <c r="A32" s="104">
        <v>20</v>
      </c>
      <c r="B32" s="55"/>
      <c r="C32" s="14"/>
      <c r="D32" s="14"/>
      <c r="E32" s="104"/>
      <c r="F32" s="105" t="s">
        <v>126</v>
      </c>
      <c r="G32" s="105" t="s">
        <v>193</v>
      </c>
      <c r="H32" s="111" t="s">
        <v>184</v>
      </c>
      <c r="I32" s="106"/>
      <c r="J32" s="106" t="s">
        <v>194</v>
      </c>
      <c r="K32" s="111" t="s">
        <v>186</v>
      </c>
      <c r="L32" s="113"/>
      <c r="M32" s="114" t="s">
        <v>32</v>
      </c>
      <c r="N32" s="115" t="s">
        <v>82</v>
      </c>
      <c r="O32" s="106" t="s">
        <v>111</v>
      </c>
      <c r="P32" s="106"/>
      <c r="Q32" s="105" t="s">
        <v>35</v>
      </c>
      <c r="R32" s="106"/>
      <c r="S32" s="106"/>
      <c r="T32" s="107"/>
      <c r="U32" s="108"/>
      <c r="V32" s="109"/>
      <c r="W32" s="110"/>
      <c r="X32" s="69"/>
      <c r="Y32" s="69"/>
      <c r="Z32" s="69"/>
      <c r="AA32" s="69"/>
      <c r="AB32" s="69"/>
      <c r="AC32" s="69"/>
    </row>
    <row r="33" ht="45" customHeight="1">
      <c r="A33" s="104">
        <v>21</v>
      </c>
      <c r="B33" s="55"/>
      <c r="C33" s="106" t="s">
        <v>195</v>
      </c>
      <c r="D33" s="104"/>
      <c r="E33" s="104"/>
      <c r="F33" s="105" t="s">
        <v>126</v>
      </c>
      <c r="G33" s="105" t="s">
        <v>196</v>
      </c>
      <c r="H33" s="111" t="s">
        <v>197</v>
      </c>
      <c r="I33" s="106"/>
      <c r="J33" s="106" t="s">
        <v>198</v>
      </c>
      <c r="K33" s="111" t="s">
        <v>199</v>
      </c>
      <c r="L33" s="106"/>
      <c r="M33" s="116" t="s">
        <v>30</v>
      </c>
      <c r="N33" s="106" t="s">
        <v>82</v>
      </c>
      <c r="O33" s="106" t="s">
        <v>111</v>
      </c>
      <c r="P33" s="106"/>
      <c r="Q33" s="105" t="s">
        <v>30</v>
      </c>
      <c r="R33" s="106" t="s">
        <v>82</v>
      </c>
      <c r="S33" s="106" t="s">
        <v>112</v>
      </c>
      <c r="T33" s="107">
        <v>46164</v>
      </c>
      <c r="U33" s="108"/>
      <c r="V33" s="109"/>
      <c r="W33" s="110"/>
      <c r="X33" s="69"/>
      <c r="Y33" s="69"/>
      <c r="Z33" s="69"/>
      <c r="AA33" s="69"/>
      <c r="AB33" s="69"/>
      <c r="AC33" s="69"/>
    </row>
    <row r="34" ht="45" customHeight="1">
      <c r="A34" s="104">
        <v>22</v>
      </c>
      <c r="B34" s="55"/>
      <c r="C34" s="55"/>
      <c r="D34" s="104" t="s">
        <v>200</v>
      </c>
      <c r="E34" s="104"/>
      <c r="F34" s="105" t="s">
        <v>126</v>
      </c>
      <c r="G34" s="105" t="s">
        <v>201</v>
      </c>
      <c r="H34" s="106" t="s">
        <v>202</v>
      </c>
      <c r="I34" s="106"/>
      <c r="J34" s="106" t="s">
        <v>203</v>
      </c>
      <c r="K34" s="106" t="s">
        <v>204</v>
      </c>
      <c r="L34" s="106"/>
      <c r="M34" s="105" t="s">
        <v>30</v>
      </c>
      <c r="N34" s="106" t="s">
        <v>82</v>
      </c>
      <c r="O34" s="106" t="s">
        <v>111</v>
      </c>
      <c r="P34" s="106"/>
      <c r="Q34" s="105" t="s">
        <v>30</v>
      </c>
      <c r="R34" s="106" t="s">
        <v>82</v>
      </c>
      <c r="S34" s="106" t="s">
        <v>112</v>
      </c>
      <c r="T34" s="107">
        <v>46164</v>
      </c>
      <c r="U34" s="108"/>
      <c r="V34" s="109"/>
      <c r="W34" s="110"/>
      <c r="X34" s="69"/>
      <c r="Y34" s="69"/>
      <c r="Z34" s="69"/>
      <c r="AA34" s="69"/>
      <c r="AB34" s="69"/>
      <c r="AC34" s="69"/>
    </row>
    <row r="35" ht="45" customHeight="1">
      <c r="A35" s="104">
        <v>23</v>
      </c>
      <c r="B35" s="55"/>
      <c r="C35" s="55"/>
      <c r="D35" s="104" t="s">
        <v>205</v>
      </c>
      <c r="E35" s="104"/>
      <c r="F35" s="105" t="s">
        <v>126</v>
      </c>
      <c r="G35" s="105" t="s">
        <v>206</v>
      </c>
      <c r="H35" s="111" t="s">
        <v>207</v>
      </c>
      <c r="I35" s="106"/>
      <c r="J35" s="106" t="s">
        <v>208</v>
      </c>
      <c r="K35" s="111" t="s">
        <v>209</v>
      </c>
      <c r="L35" s="106"/>
      <c r="M35" s="105" t="s">
        <v>30</v>
      </c>
      <c r="N35" s="106" t="s">
        <v>82</v>
      </c>
      <c r="O35" s="106" t="s">
        <v>111</v>
      </c>
      <c r="P35" s="106"/>
      <c r="Q35" s="105" t="s">
        <v>30</v>
      </c>
      <c r="R35" s="106" t="s">
        <v>82</v>
      </c>
      <c r="S35" s="106" t="s">
        <v>112</v>
      </c>
      <c r="T35" s="107">
        <v>46164</v>
      </c>
      <c r="U35" s="108"/>
      <c r="V35" s="109"/>
      <c r="W35" s="110"/>
      <c r="X35" s="69"/>
      <c r="Y35" s="69"/>
      <c r="Z35" s="69"/>
      <c r="AA35" s="69"/>
      <c r="AB35" s="69"/>
      <c r="AC35" s="69"/>
    </row>
    <row r="36" ht="45" customHeight="1">
      <c r="A36" s="104">
        <v>24</v>
      </c>
      <c r="B36" s="55"/>
      <c r="C36" s="14"/>
      <c r="D36" s="104" t="s">
        <v>210</v>
      </c>
      <c r="E36" s="104"/>
      <c r="F36" s="105" t="s">
        <v>126</v>
      </c>
      <c r="G36" s="105" t="s">
        <v>211</v>
      </c>
      <c r="H36" s="111" t="s">
        <v>212</v>
      </c>
      <c r="I36" s="106"/>
      <c r="J36" s="106" t="s">
        <v>213</v>
      </c>
      <c r="K36" s="111" t="s">
        <v>214</v>
      </c>
      <c r="L36" s="106"/>
      <c r="M36" s="105" t="s">
        <v>30</v>
      </c>
      <c r="N36" s="106" t="s">
        <v>82</v>
      </c>
      <c r="O36" s="106" t="s">
        <v>111</v>
      </c>
      <c r="P36" s="106"/>
      <c r="Q36" s="105" t="s">
        <v>30</v>
      </c>
      <c r="R36" s="106" t="s">
        <v>82</v>
      </c>
      <c r="S36" s="106" t="s">
        <v>112</v>
      </c>
      <c r="T36" s="107">
        <v>46164</v>
      </c>
      <c r="U36" s="108"/>
      <c r="V36" s="109"/>
      <c r="W36" s="110"/>
      <c r="X36" s="69"/>
      <c r="Y36" s="69"/>
      <c r="Z36" s="69"/>
      <c r="AA36" s="69"/>
      <c r="AB36" s="69"/>
      <c r="AC36" s="69"/>
    </row>
    <row r="37" ht="45" customHeight="1">
      <c r="A37" s="104">
        <v>25</v>
      </c>
      <c r="B37" s="55"/>
      <c r="C37" s="106" t="s">
        <v>215</v>
      </c>
      <c r="D37" s="106" t="s">
        <v>216</v>
      </c>
      <c r="E37" s="104"/>
      <c r="F37" s="105" t="s">
        <v>126</v>
      </c>
      <c r="G37" s="105" t="s">
        <v>217</v>
      </c>
      <c r="H37" s="106" t="s">
        <v>218</v>
      </c>
      <c r="I37" s="106"/>
      <c r="J37" s="106" t="s">
        <v>219</v>
      </c>
      <c r="K37" s="106" t="s">
        <v>220</v>
      </c>
      <c r="L37" s="106"/>
      <c r="M37" s="105" t="s">
        <v>30</v>
      </c>
      <c r="N37" s="106" t="s">
        <v>82</v>
      </c>
      <c r="O37" s="106" t="s">
        <v>111</v>
      </c>
      <c r="P37" s="106"/>
      <c r="Q37" s="105" t="s">
        <v>30</v>
      </c>
      <c r="R37" s="106" t="s">
        <v>82</v>
      </c>
      <c r="S37" s="106" t="s">
        <v>112</v>
      </c>
      <c r="T37" s="107">
        <v>46164</v>
      </c>
      <c r="U37" s="108"/>
      <c r="V37" s="109"/>
      <c r="W37" s="110"/>
      <c r="X37" s="69"/>
      <c r="Y37" s="69"/>
      <c r="Z37" s="69"/>
      <c r="AA37" s="69"/>
      <c r="AB37" s="69"/>
      <c r="AC37" s="69"/>
    </row>
    <row r="38" ht="68.25" customHeight="1">
      <c r="A38" s="104">
        <v>26</v>
      </c>
      <c r="B38" s="55"/>
      <c r="C38" s="55"/>
      <c r="D38" s="55"/>
      <c r="E38" s="104"/>
      <c r="F38" s="105" t="s">
        <v>106</v>
      </c>
      <c r="G38" s="105" t="s">
        <v>221</v>
      </c>
      <c r="H38" s="106" t="s">
        <v>222</v>
      </c>
      <c r="I38" s="106"/>
      <c r="J38" s="106" t="s">
        <v>223</v>
      </c>
      <c r="K38" s="106" t="s">
        <v>224</v>
      </c>
      <c r="L38" s="106"/>
      <c r="M38" s="105" t="s">
        <v>32</v>
      </c>
      <c r="N38" s="106" t="s">
        <v>82</v>
      </c>
      <c r="O38" s="106" t="s">
        <v>111</v>
      </c>
      <c r="P38" s="106"/>
      <c r="Q38" s="105" t="s">
        <v>30</v>
      </c>
      <c r="R38" s="106" t="s">
        <v>82</v>
      </c>
      <c r="S38" s="106" t="s">
        <v>225</v>
      </c>
      <c r="T38" s="107">
        <v>46183</v>
      </c>
      <c r="U38" s="108"/>
      <c r="V38" s="109"/>
      <c r="W38" s="110"/>
      <c r="X38" s="69"/>
      <c r="Y38" s="69"/>
      <c r="Z38" s="69"/>
      <c r="AA38" s="69"/>
      <c r="AB38" s="69"/>
      <c r="AC38" s="69"/>
    </row>
    <row r="39" ht="95.25" customHeight="1">
      <c r="A39" s="104">
        <v>27</v>
      </c>
      <c r="B39" s="55"/>
      <c r="C39" s="55"/>
      <c r="D39" s="55"/>
      <c r="E39" s="106" t="s">
        <v>226</v>
      </c>
      <c r="F39" s="105" t="s">
        <v>126</v>
      </c>
      <c r="G39" s="105" t="s">
        <v>227</v>
      </c>
      <c r="H39" s="111" t="s">
        <v>228</v>
      </c>
      <c r="I39" s="106"/>
      <c r="J39" s="106" t="s">
        <v>229</v>
      </c>
      <c r="K39" s="111" t="s">
        <v>230</v>
      </c>
      <c r="L39" s="106"/>
      <c r="M39" s="105" t="s">
        <v>32</v>
      </c>
      <c r="N39" s="106" t="s">
        <v>82</v>
      </c>
      <c r="O39" s="106" t="s">
        <v>111</v>
      </c>
      <c r="P39" s="106"/>
      <c r="Q39" s="105" t="s">
        <v>30</v>
      </c>
      <c r="R39" s="106" t="s">
        <v>82</v>
      </c>
      <c r="S39" s="106" t="s">
        <v>225</v>
      </c>
      <c r="T39" s="107">
        <v>46183</v>
      </c>
      <c r="U39" s="108"/>
      <c r="V39" s="109"/>
      <c r="W39" s="117" t="s">
        <v>231</v>
      </c>
      <c r="X39" s="69"/>
      <c r="Y39" s="69"/>
      <c r="Z39" s="69"/>
      <c r="AA39" s="69"/>
      <c r="AB39" s="69"/>
      <c r="AC39" s="69"/>
    </row>
    <row r="40" ht="54" customHeight="1">
      <c r="A40" s="104">
        <v>28</v>
      </c>
      <c r="B40" s="55"/>
      <c r="C40" s="55"/>
      <c r="D40" s="55"/>
      <c r="E40" s="55"/>
      <c r="F40" s="105" t="s">
        <v>126</v>
      </c>
      <c r="G40" s="105" t="s">
        <v>232</v>
      </c>
      <c r="H40" s="106" t="s">
        <v>233</v>
      </c>
      <c r="I40" s="106"/>
      <c r="J40" s="106" t="s">
        <v>234</v>
      </c>
      <c r="K40" s="106" t="s">
        <v>235</v>
      </c>
      <c r="L40" s="106"/>
      <c r="M40" s="105" t="s">
        <v>32</v>
      </c>
      <c r="N40" s="106" t="s">
        <v>82</v>
      </c>
      <c r="O40" s="106" t="s">
        <v>111</v>
      </c>
      <c r="P40" s="106"/>
      <c r="Q40" s="105" t="s">
        <v>30</v>
      </c>
      <c r="R40" s="106" t="s">
        <v>82</v>
      </c>
      <c r="S40" s="106" t="s">
        <v>225</v>
      </c>
      <c r="T40" s="107">
        <v>46183</v>
      </c>
      <c r="U40" s="108"/>
      <c r="V40" s="109"/>
      <c r="W40" s="110"/>
      <c r="X40" s="69"/>
      <c r="Y40" s="69"/>
      <c r="Z40" s="69"/>
      <c r="AA40" s="69"/>
      <c r="AB40" s="69"/>
      <c r="AC40" s="69"/>
    </row>
    <row r="41" ht="66.75" customHeight="1">
      <c r="A41" s="104">
        <v>29</v>
      </c>
      <c r="B41" s="55"/>
      <c r="C41" s="55"/>
      <c r="D41" s="55"/>
      <c r="E41" s="55"/>
      <c r="F41" s="105" t="s">
        <v>106</v>
      </c>
      <c r="G41" s="105" t="s">
        <v>236</v>
      </c>
      <c r="H41" s="111" t="s">
        <v>237</v>
      </c>
      <c r="I41" s="106"/>
      <c r="J41" s="106" t="s">
        <v>238</v>
      </c>
      <c r="K41" s="111" t="s">
        <v>239</v>
      </c>
      <c r="L41" s="106"/>
      <c r="M41" s="105" t="s">
        <v>32</v>
      </c>
      <c r="N41" s="106" t="s">
        <v>82</v>
      </c>
      <c r="O41" s="106" t="s">
        <v>111</v>
      </c>
      <c r="P41" s="106"/>
      <c r="Q41" s="105" t="s">
        <v>30</v>
      </c>
      <c r="R41" s="106" t="s">
        <v>82</v>
      </c>
      <c r="S41" s="106" t="s">
        <v>225</v>
      </c>
      <c r="T41" s="107">
        <v>46183</v>
      </c>
      <c r="U41" s="108"/>
      <c r="V41" s="109"/>
      <c r="W41" s="117" t="s">
        <v>240</v>
      </c>
      <c r="X41" s="69"/>
      <c r="Y41" s="69"/>
      <c r="Z41" s="69"/>
      <c r="AA41" s="69"/>
      <c r="AB41" s="69"/>
      <c r="AC41" s="69"/>
    </row>
    <row r="42" ht="45" customHeight="1">
      <c r="A42" s="104">
        <v>30</v>
      </c>
      <c r="B42" s="55"/>
      <c r="C42" s="55"/>
      <c r="D42" s="55"/>
      <c r="E42" s="55"/>
      <c r="F42" s="105" t="s">
        <v>126</v>
      </c>
      <c r="G42" s="105" t="s">
        <v>241</v>
      </c>
      <c r="H42" s="106" t="s">
        <v>242</v>
      </c>
      <c r="I42" s="106"/>
      <c r="J42" s="106" t="s">
        <v>243</v>
      </c>
      <c r="K42" s="106" t="s">
        <v>244</v>
      </c>
      <c r="L42" s="106"/>
      <c r="M42" s="105" t="s">
        <v>31</v>
      </c>
      <c r="N42" s="106" t="s">
        <v>82</v>
      </c>
      <c r="O42" s="106" t="s">
        <v>111</v>
      </c>
      <c r="P42" s="106">
        <v>8</v>
      </c>
      <c r="Q42" s="105" t="s">
        <v>30</v>
      </c>
      <c r="R42" s="106" t="s">
        <v>82</v>
      </c>
      <c r="S42" s="106" t="s">
        <v>112</v>
      </c>
      <c r="T42" s="107">
        <v>46164</v>
      </c>
      <c r="U42" s="108"/>
      <c r="V42" s="109"/>
      <c r="W42" s="110"/>
      <c r="X42" s="69"/>
      <c r="Y42" s="69"/>
      <c r="Z42" s="69"/>
      <c r="AA42" s="69"/>
      <c r="AB42" s="69"/>
      <c r="AC42" s="69"/>
    </row>
    <row r="43" ht="45" customHeight="1">
      <c r="A43" s="104">
        <v>31</v>
      </c>
      <c r="B43" s="55"/>
      <c r="C43" s="55"/>
      <c r="D43" s="55"/>
      <c r="E43" s="55"/>
      <c r="F43" s="105" t="s">
        <v>126</v>
      </c>
      <c r="G43" s="105" t="s">
        <v>245</v>
      </c>
      <c r="H43" s="106" t="s">
        <v>246</v>
      </c>
      <c r="I43" s="106"/>
      <c r="J43" s="106" t="s">
        <v>247</v>
      </c>
      <c r="K43" s="106" t="s">
        <v>248</v>
      </c>
      <c r="L43" s="106"/>
      <c r="M43" s="105" t="s">
        <v>30</v>
      </c>
      <c r="N43" s="106" t="s">
        <v>82</v>
      </c>
      <c r="O43" s="106" t="s">
        <v>111</v>
      </c>
      <c r="P43" s="106"/>
      <c r="Q43" s="105" t="s">
        <v>30</v>
      </c>
      <c r="R43" s="106" t="s">
        <v>82</v>
      </c>
      <c r="S43" s="106" t="s">
        <v>112</v>
      </c>
      <c r="T43" s="107">
        <v>46164</v>
      </c>
      <c r="U43" s="108"/>
      <c r="V43" s="109"/>
      <c r="W43" s="110"/>
      <c r="X43" s="69"/>
      <c r="Y43" s="69"/>
      <c r="Z43" s="69"/>
      <c r="AA43" s="69"/>
      <c r="AB43" s="69"/>
      <c r="AC43" s="69"/>
    </row>
    <row r="44" ht="45" customHeight="1">
      <c r="A44" s="104">
        <v>32</v>
      </c>
      <c r="B44" s="55"/>
      <c r="C44" s="55"/>
      <c r="D44" s="14"/>
      <c r="E44" s="14"/>
      <c r="F44" s="105" t="s">
        <v>126</v>
      </c>
      <c r="G44" s="105" t="s">
        <v>249</v>
      </c>
      <c r="H44" s="106" t="s">
        <v>250</v>
      </c>
      <c r="I44" s="106"/>
      <c r="J44" s="106" t="s">
        <v>251</v>
      </c>
      <c r="K44" s="106" t="s">
        <v>252</v>
      </c>
      <c r="L44" s="106"/>
      <c r="M44" s="105" t="s">
        <v>30</v>
      </c>
      <c r="N44" s="106" t="s">
        <v>82</v>
      </c>
      <c r="O44" s="106" t="s">
        <v>111</v>
      </c>
      <c r="P44" s="106"/>
      <c r="Q44" s="105" t="s">
        <v>30</v>
      </c>
      <c r="R44" s="106" t="s">
        <v>82</v>
      </c>
      <c r="S44" s="106" t="s">
        <v>112</v>
      </c>
      <c r="T44" s="107">
        <v>46164</v>
      </c>
      <c r="U44" s="108"/>
      <c r="V44" s="109"/>
      <c r="W44" s="110"/>
      <c r="X44" s="69"/>
      <c r="Y44" s="69"/>
      <c r="Z44" s="69"/>
      <c r="AA44" s="69"/>
      <c r="AB44" s="69"/>
      <c r="AC44" s="69"/>
    </row>
    <row r="45" ht="69" customHeight="1">
      <c r="A45" s="104">
        <v>33</v>
      </c>
      <c r="B45" s="55"/>
      <c r="C45" s="55"/>
      <c r="D45" s="106" t="s">
        <v>253</v>
      </c>
      <c r="E45" s="104"/>
      <c r="F45" s="105" t="s">
        <v>106</v>
      </c>
      <c r="G45" s="105" t="s">
        <v>254</v>
      </c>
      <c r="H45" s="106" t="s">
        <v>255</v>
      </c>
      <c r="I45" s="106"/>
      <c r="J45" s="106" t="s">
        <v>256</v>
      </c>
      <c r="K45" s="106" t="s">
        <v>257</v>
      </c>
      <c r="L45" s="106"/>
      <c r="M45" s="105" t="s">
        <v>32</v>
      </c>
      <c r="N45" s="106" t="s">
        <v>82</v>
      </c>
      <c r="O45" s="106" t="s">
        <v>111</v>
      </c>
      <c r="P45" s="106"/>
      <c r="Q45" s="105" t="s">
        <v>30</v>
      </c>
      <c r="R45" s="106" t="s">
        <v>82</v>
      </c>
      <c r="S45" s="106" t="s">
        <v>225</v>
      </c>
      <c r="T45" s="107">
        <v>46183</v>
      </c>
      <c r="U45" s="108"/>
      <c r="V45" s="109"/>
      <c r="W45" s="110"/>
      <c r="X45" s="69"/>
      <c r="Y45" s="69"/>
      <c r="Z45" s="69"/>
      <c r="AA45" s="69"/>
      <c r="AB45" s="69"/>
      <c r="AC45" s="69"/>
    </row>
    <row r="46" ht="105.75" customHeight="1">
      <c r="A46" s="104">
        <v>34</v>
      </c>
      <c r="B46" s="55"/>
      <c r="C46" s="55"/>
      <c r="D46" s="55"/>
      <c r="E46" s="106" t="s">
        <v>258</v>
      </c>
      <c r="F46" s="105" t="s">
        <v>126</v>
      </c>
      <c r="G46" s="105" t="s">
        <v>259</v>
      </c>
      <c r="H46" s="111" t="s">
        <v>228</v>
      </c>
      <c r="I46" s="106"/>
      <c r="J46" s="106" t="s">
        <v>229</v>
      </c>
      <c r="K46" s="111" t="s">
        <v>230</v>
      </c>
      <c r="L46" s="106"/>
      <c r="M46" s="105" t="s">
        <v>32</v>
      </c>
      <c r="N46" s="106" t="s">
        <v>82</v>
      </c>
      <c r="O46" s="106" t="s">
        <v>111</v>
      </c>
      <c r="P46" s="106"/>
      <c r="Q46" s="105" t="s">
        <v>30</v>
      </c>
      <c r="R46" s="106" t="s">
        <v>82</v>
      </c>
      <c r="S46" s="106" t="s">
        <v>225</v>
      </c>
      <c r="T46" s="107">
        <v>46183</v>
      </c>
      <c r="U46" s="108"/>
      <c r="V46" s="109"/>
      <c r="W46" s="117" t="s">
        <v>231</v>
      </c>
      <c r="X46" s="69"/>
      <c r="Y46" s="69"/>
      <c r="Z46" s="69"/>
      <c r="AA46" s="69"/>
      <c r="AB46" s="69"/>
      <c r="AC46" s="69"/>
    </row>
    <row r="47" ht="60.75" customHeight="1">
      <c r="A47" s="104">
        <v>35</v>
      </c>
      <c r="B47" s="55"/>
      <c r="C47" s="55"/>
      <c r="D47" s="55"/>
      <c r="E47" s="55"/>
      <c r="F47" s="105" t="s">
        <v>126</v>
      </c>
      <c r="G47" s="105" t="s">
        <v>260</v>
      </c>
      <c r="H47" s="106" t="s">
        <v>233</v>
      </c>
      <c r="I47" s="106"/>
      <c r="J47" s="106" t="s">
        <v>234</v>
      </c>
      <c r="K47" s="106" t="s">
        <v>235</v>
      </c>
      <c r="L47" s="106"/>
      <c r="M47" s="105" t="s">
        <v>32</v>
      </c>
      <c r="N47" s="106" t="s">
        <v>82</v>
      </c>
      <c r="O47" s="106" t="s">
        <v>111</v>
      </c>
      <c r="P47" s="106"/>
      <c r="Q47" s="105" t="s">
        <v>30</v>
      </c>
      <c r="R47" s="106" t="s">
        <v>82</v>
      </c>
      <c r="S47" s="106" t="s">
        <v>225</v>
      </c>
      <c r="T47" s="107">
        <v>46183</v>
      </c>
      <c r="U47" s="108"/>
      <c r="V47" s="109"/>
      <c r="W47" s="110"/>
      <c r="X47" s="69"/>
      <c r="Y47" s="69"/>
      <c r="Z47" s="69"/>
      <c r="AA47" s="69"/>
      <c r="AB47" s="69"/>
      <c r="AC47" s="69"/>
    </row>
    <row r="48" ht="60.75" customHeight="1">
      <c r="A48" s="104">
        <v>36</v>
      </c>
      <c r="B48" s="55"/>
      <c r="C48" s="55"/>
      <c r="D48" s="55"/>
      <c r="E48" s="14"/>
      <c r="F48" s="105" t="s">
        <v>106</v>
      </c>
      <c r="G48" s="105" t="s">
        <v>261</v>
      </c>
      <c r="H48" s="111" t="s">
        <v>237</v>
      </c>
      <c r="I48" s="106"/>
      <c r="J48" s="106" t="s">
        <v>238</v>
      </c>
      <c r="K48" s="111" t="s">
        <v>239</v>
      </c>
      <c r="L48" s="106"/>
      <c r="M48" s="105" t="s">
        <v>32</v>
      </c>
      <c r="N48" s="106" t="s">
        <v>82</v>
      </c>
      <c r="O48" s="106" t="s">
        <v>111</v>
      </c>
      <c r="P48" s="106"/>
      <c r="Q48" s="105" t="s">
        <v>30</v>
      </c>
      <c r="R48" s="106" t="s">
        <v>82</v>
      </c>
      <c r="S48" s="106" t="s">
        <v>225</v>
      </c>
      <c r="T48" s="107">
        <v>46183</v>
      </c>
      <c r="U48" s="108"/>
      <c r="V48" s="109"/>
      <c r="W48" s="117" t="s">
        <v>240</v>
      </c>
      <c r="X48" s="69"/>
      <c r="Y48" s="69"/>
      <c r="Z48" s="69"/>
      <c r="AA48" s="69"/>
      <c r="AB48" s="69"/>
      <c r="AC48" s="69"/>
    </row>
    <row r="49" ht="81" customHeight="1">
      <c r="A49" s="104">
        <v>37</v>
      </c>
      <c r="B49" s="55"/>
      <c r="C49" s="55"/>
      <c r="D49" s="55"/>
      <c r="E49" s="106" t="s">
        <v>262</v>
      </c>
      <c r="F49" s="105" t="s">
        <v>106</v>
      </c>
      <c r="G49" s="105" t="s">
        <v>263</v>
      </c>
      <c r="H49" s="106" t="s">
        <v>264</v>
      </c>
      <c r="I49" s="106"/>
      <c r="J49" s="106" t="s">
        <v>265</v>
      </c>
      <c r="K49" s="106" t="s">
        <v>266</v>
      </c>
      <c r="L49" s="106"/>
      <c r="M49" s="105" t="s">
        <v>32</v>
      </c>
      <c r="N49" s="106" t="s">
        <v>82</v>
      </c>
      <c r="O49" s="106" t="s">
        <v>111</v>
      </c>
      <c r="P49" s="106"/>
      <c r="Q49" s="105" t="s">
        <v>30</v>
      </c>
      <c r="R49" s="106" t="s">
        <v>82</v>
      </c>
      <c r="S49" s="106" t="s">
        <v>225</v>
      </c>
      <c r="T49" s="107">
        <v>46183</v>
      </c>
      <c r="U49" s="108"/>
      <c r="V49" s="109"/>
      <c r="W49" s="110"/>
      <c r="X49" s="69"/>
      <c r="Y49" s="69"/>
      <c r="Z49" s="69"/>
      <c r="AA49" s="69"/>
      <c r="AB49" s="69"/>
      <c r="AC49" s="69"/>
    </row>
    <row r="50" ht="81" customHeight="1">
      <c r="A50" s="104">
        <v>38</v>
      </c>
      <c r="B50" s="55"/>
      <c r="C50" s="55"/>
      <c r="D50" s="55"/>
      <c r="E50" s="55"/>
      <c r="F50" s="105" t="s">
        <v>106</v>
      </c>
      <c r="G50" s="105" t="s">
        <v>267</v>
      </c>
      <c r="H50" s="106" t="s">
        <v>268</v>
      </c>
      <c r="I50" s="106"/>
      <c r="J50" s="106" t="s">
        <v>265</v>
      </c>
      <c r="K50" s="106" t="s">
        <v>269</v>
      </c>
      <c r="L50" s="106"/>
      <c r="M50" s="105" t="s">
        <v>32</v>
      </c>
      <c r="N50" s="106" t="s">
        <v>82</v>
      </c>
      <c r="O50" s="106" t="s">
        <v>111</v>
      </c>
      <c r="P50" s="106"/>
      <c r="Q50" s="105" t="s">
        <v>30</v>
      </c>
      <c r="R50" s="106" t="s">
        <v>82</v>
      </c>
      <c r="S50" s="106" t="s">
        <v>225</v>
      </c>
      <c r="T50" s="107">
        <v>46183</v>
      </c>
      <c r="U50" s="108"/>
      <c r="V50" s="109"/>
      <c r="W50" s="110"/>
      <c r="X50" s="69"/>
      <c r="Y50" s="69"/>
      <c r="Z50" s="69"/>
      <c r="AA50" s="69"/>
      <c r="AB50" s="69"/>
      <c r="AC50" s="69"/>
    </row>
    <row r="51" ht="52.5" customHeight="1">
      <c r="A51" s="104">
        <v>39</v>
      </c>
      <c r="B51" s="55"/>
      <c r="C51" s="55"/>
      <c r="D51" s="55"/>
      <c r="E51" s="55"/>
      <c r="F51" s="105" t="s">
        <v>126</v>
      </c>
      <c r="G51" s="105" t="s">
        <v>270</v>
      </c>
      <c r="H51" s="106" t="s">
        <v>271</v>
      </c>
      <c r="I51" s="106"/>
      <c r="J51" s="106" t="s">
        <v>272</v>
      </c>
      <c r="K51" s="106" t="s">
        <v>273</v>
      </c>
      <c r="L51" s="106"/>
      <c r="M51" s="105" t="s">
        <v>31</v>
      </c>
      <c r="N51" s="106" t="s">
        <v>82</v>
      </c>
      <c r="O51" s="106" t="s">
        <v>111</v>
      </c>
      <c r="P51" s="106">
        <v>1</v>
      </c>
      <c r="Q51" s="105" t="s">
        <v>30</v>
      </c>
      <c r="R51" s="106" t="s">
        <v>82</v>
      </c>
      <c r="S51" s="106" t="s">
        <v>112</v>
      </c>
      <c r="T51" s="107">
        <v>46164</v>
      </c>
      <c r="U51" s="108"/>
      <c r="V51" s="109"/>
      <c r="W51" s="110"/>
      <c r="X51" s="69"/>
      <c r="Y51" s="69"/>
      <c r="Z51" s="69"/>
      <c r="AA51" s="69"/>
      <c r="AB51" s="69"/>
      <c r="AC51" s="69"/>
    </row>
    <row r="52" ht="52.5" customHeight="1">
      <c r="A52" s="104">
        <v>40</v>
      </c>
      <c r="B52" s="55"/>
      <c r="C52" s="55"/>
      <c r="D52" s="55"/>
      <c r="E52" s="14"/>
      <c r="F52" s="105" t="s">
        <v>126</v>
      </c>
      <c r="G52" s="105" t="s">
        <v>274</v>
      </c>
      <c r="H52" s="106" t="s">
        <v>275</v>
      </c>
      <c r="I52" s="106"/>
      <c r="J52" s="106" t="s">
        <v>276</v>
      </c>
      <c r="K52" s="106" t="s">
        <v>277</v>
      </c>
      <c r="L52" s="106"/>
      <c r="M52" s="105" t="s">
        <v>31</v>
      </c>
      <c r="N52" s="106" t="s">
        <v>82</v>
      </c>
      <c r="O52" s="106" t="s">
        <v>111</v>
      </c>
      <c r="P52" s="106">
        <v>20</v>
      </c>
      <c r="Q52" s="105" t="s">
        <v>30</v>
      </c>
      <c r="R52" s="106" t="s">
        <v>82</v>
      </c>
      <c r="S52" s="106" t="s">
        <v>112</v>
      </c>
      <c r="T52" s="107">
        <v>46164</v>
      </c>
      <c r="U52" s="108"/>
      <c r="V52" s="109"/>
      <c r="W52" s="110"/>
      <c r="X52" s="69"/>
      <c r="Y52" s="69"/>
      <c r="Z52" s="69"/>
      <c r="AA52" s="69"/>
      <c r="AB52" s="69"/>
      <c r="AC52" s="69"/>
    </row>
    <row r="53" ht="103.5" customHeight="1">
      <c r="A53" s="104">
        <v>41</v>
      </c>
      <c r="B53" s="55"/>
      <c r="C53" s="55"/>
      <c r="D53" s="55"/>
      <c r="E53" s="106" t="s">
        <v>278</v>
      </c>
      <c r="F53" s="105" t="s">
        <v>126</v>
      </c>
      <c r="G53" s="105" t="s">
        <v>279</v>
      </c>
      <c r="H53" s="106" t="s">
        <v>280</v>
      </c>
      <c r="I53" s="106"/>
      <c r="J53" s="106" t="s">
        <v>281</v>
      </c>
      <c r="K53" s="106" t="s">
        <v>282</v>
      </c>
      <c r="L53" s="106"/>
      <c r="M53" s="105" t="s">
        <v>31</v>
      </c>
      <c r="N53" s="106" t="s">
        <v>82</v>
      </c>
      <c r="O53" s="106" t="s">
        <v>111</v>
      </c>
      <c r="P53" s="106">
        <v>22</v>
      </c>
      <c r="Q53" s="105" t="s">
        <v>30</v>
      </c>
      <c r="R53" s="106" t="s">
        <v>82</v>
      </c>
      <c r="S53" s="106" t="s">
        <v>112</v>
      </c>
      <c r="T53" s="107">
        <v>46164</v>
      </c>
      <c r="U53" s="108"/>
      <c r="V53" s="109"/>
      <c r="W53" s="110"/>
      <c r="X53" s="69"/>
      <c r="Y53" s="69"/>
      <c r="Z53" s="69"/>
      <c r="AA53" s="69"/>
      <c r="AB53" s="69"/>
      <c r="AC53" s="69"/>
    </row>
    <row r="54" ht="77.25" customHeight="1">
      <c r="A54" s="104">
        <v>42</v>
      </c>
      <c r="B54" s="55"/>
      <c r="C54" s="55"/>
      <c r="D54" s="55"/>
      <c r="E54" s="55"/>
      <c r="F54" s="105" t="s">
        <v>106</v>
      </c>
      <c r="G54" s="105" t="s">
        <v>283</v>
      </c>
      <c r="H54" s="111" t="s">
        <v>284</v>
      </c>
      <c r="I54" s="106"/>
      <c r="J54" s="106" t="s">
        <v>285</v>
      </c>
      <c r="K54" s="111" t="s">
        <v>286</v>
      </c>
      <c r="L54" s="106"/>
      <c r="M54" s="105" t="s">
        <v>31</v>
      </c>
      <c r="N54" s="106" t="s">
        <v>82</v>
      </c>
      <c r="O54" s="106" t="s">
        <v>111</v>
      </c>
      <c r="P54" s="106">
        <v>20</v>
      </c>
      <c r="Q54" s="105" t="s">
        <v>30</v>
      </c>
      <c r="R54" s="106" t="s">
        <v>82</v>
      </c>
      <c r="S54" s="106" t="s">
        <v>112</v>
      </c>
      <c r="T54" s="107">
        <v>46164</v>
      </c>
      <c r="U54" s="108"/>
      <c r="V54" s="109"/>
      <c r="W54" s="117" t="s">
        <v>287</v>
      </c>
      <c r="X54" s="69"/>
      <c r="Y54" s="69"/>
      <c r="Z54" s="69"/>
      <c r="AA54" s="69"/>
      <c r="AB54" s="69"/>
      <c r="AC54" s="69"/>
    </row>
    <row r="55" ht="120.75" customHeight="1">
      <c r="A55" s="104">
        <v>43</v>
      </c>
      <c r="B55" s="55"/>
      <c r="C55" s="55"/>
      <c r="D55" s="55"/>
      <c r="E55" s="55"/>
      <c r="F55" s="105" t="s">
        <v>106</v>
      </c>
      <c r="G55" s="105" t="s">
        <v>288</v>
      </c>
      <c r="H55" s="106" t="s">
        <v>289</v>
      </c>
      <c r="I55" s="106"/>
      <c r="J55" s="106" t="s">
        <v>290</v>
      </c>
      <c r="K55" s="106" t="s">
        <v>282</v>
      </c>
      <c r="L55" s="106"/>
      <c r="M55" s="105" t="s">
        <v>31</v>
      </c>
      <c r="N55" s="106" t="s">
        <v>82</v>
      </c>
      <c r="O55" s="106" t="s">
        <v>111</v>
      </c>
      <c r="P55" s="106">
        <v>22</v>
      </c>
      <c r="Q55" s="105" t="s">
        <v>30</v>
      </c>
      <c r="R55" s="106" t="s">
        <v>82</v>
      </c>
      <c r="S55" s="106" t="s">
        <v>112</v>
      </c>
      <c r="T55" s="107">
        <v>46164</v>
      </c>
      <c r="U55" s="108"/>
      <c r="V55" s="109"/>
      <c r="W55" s="110"/>
      <c r="X55" s="69"/>
      <c r="Y55" s="69"/>
      <c r="Z55" s="69"/>
      <c r="AA55" s="69"/>
      <c r="AB55" s="69"/>
      <c r="AC55" s="69"/>
    </row>
    <row r="56" ht="56.25" customHeight="1">
      <c r="A56" s="104"/>
      <c r="B56" s="55"/>
      <c r="C56" s="55"/>
      <c r="D56" s="55"/>
      <c r="E56" s="55"/>
      <c r="F56" s="105"/>
      <c r="G56" s="105" t="s">
        <v>291</v>
      </c>
      <c r="H56" s="111" t="s">
        <v>292</v>
      </c>
      <c r="I56" s="106"/>
      <c r="J56" s="106" t="s">
        <v>293</v>
      </c>
      <c r="K56" s="111" t="s">
        <v>286</v>
      </c>
      <c r="L56" s="106"/>
      <c r="M56" s="105" t="s">
        <v>31</v>
      </c>
      <c r="N56" s="106" t="s">
        <v>82</v>
      </c>
      <c r="O56" s="106" t="s">
        <v>111</v>
      </c>
      <c r="P56" s="106">
        <v>20</v>
      </c>
      <c r="Q56" s="105" t="s">
        <v>30</v>
      </c>
      <c r="R56" s="106" t="s">
        <v>82</v>
      </c>
      <c r="S56" s="106" t="s">
        <v>112</v>
      </c>
      <c r="T56" s="107">
        <v>46164</v>
      </c>
      <c r="U56" s="108"/>
      <c r="V56" s="109"/>
      <c r="W56" s="117" t="s">
        <v>287</v>
      </c>
      <c r="X56" s="69"/>
      <c r="Y56" s="69"/>
      <c r="Z56" s="69"/>
      <c r="AA56" s="69"/>
      <c r="AB56" s="69"/>
      <c r="AC56" s="69"/>
    </row>
    <row r="57" ht="35.25" customHeight="1">
      <c r="A57" s="104">
        <v>45</v>
      </c>
      <c r="B57" s="55"/>
      <c r="C57" s="55"/>
      <c r="D57" s="55"/>
      <c r="E57" s="55"/>
      <c r="F57" s="105" t="s">
        <v>126</v>
      </c>
      <c r="G57" s="105" t="s">
        <v>294</v>
      </c>
      <c r="H57" s="106" t="s">
        <v>295</v>
      </c>
      <c r="I57" s="106"/>
      <c r="J57" s="106" t="s">
        <v>296</v>
      </c>
      <c r="K57" s="106" t="s">
        <v>297</v>
      </c>
      <c r="L57" s="106"/>
      <c r="M57" s="105" t="s">
        <v>31</v>
      </c>
      <c r="N57" s="106" t="s">
        <v>82</v>
      </c>
      <c r="O57" s="106" t="s">
        <v>111</v>
      </c>
      <c r="P57" s="106">
        <v>22</v>
      </c>
      <c r="Q57" s="105" t="s">
        <v>30</v>
      </c>
      <c r="R57" s="106" t="s">
        <v>82</v>
      </c>
      <c r="S57" s="106" t="s">
        <v>112</v>
      </c>
      <c r="T57" s="107">
        <v>46164</v>
      </c>
      <c r="U57" s="108"/>
      <c r="V57" s="109"/>
      <c r="W57" s="110"/>
      <c r="X57" s="69"/>
      <c r="Y57" s="69"/>
      <c r="Z57" s="69"/>
      <c r="AA57" s="69"/>
      <c r="AB57" s="69"/>
      <c r="AC57" s="69"/>
    </row>
    <row r="58" ht="35.25" customHeight="1">
      <c r="A58" s="104">
        <v>46</v>
      </c>
      <c r="B58" s="55"/>
      <c r="C58" s="55"/>
      <c r="D58" s="55"/>
      <c r="E58" s="55"/>
      <c r="F58" s="105" t="s">
        <v>126</v>
      </c>
      <c r="G58" s="105" t="s">
        <v>298</v>
      </c>
      <c r="H58" s="106" t="s">
        <v>299</v>
      </c>
      <c r="I58" s="106"/>
      <c r="J58" s="106" t="s">
        <v>300</v>
      </c>
      <c r="K58" s="106" t="s">
        <v>301</v>
      </c>
      <c r="L58" s="106"/>
      <c r="M58" s="105" t="s">
        <v>31</v>
      </c>
      <c r="N58" s="106" t="s">
        <v>82</v>
      </c>
      <c r="O58" s="106" t="s">
        <v>111</v>
      </c>
      <c r="P58" s="106">
        <v>22</v>
      </c>
      <c r="Q58" s="105" t="s">
        <v>30</v>
      </c>
      <c r="R58" s="106" t="s">
        <v>82</v>
      </c>
      <c r="S58" s="106" t="s">
        <v>112</v>
      </c>
      <c r="T58" s="107">
        <v>46164</v>
      </c>
      <c r="U58" s="108"/>
      <c r="V58" s="109"/>
      <c r="W58" s="110"/>
      <c r="X58" s="69"/>
      <c r="Y58" s="69"/>
      <c r="Z58" s="69"/>
      <c r="AA58" s="69"/>
      <c r="AB58" s="69"/>
      <c r="AC58" s="69"/>
    </row>
    <row r="59" ht="35.25" customHeight="1">
      <c r="A59" s="104">
        <v>47</v>
      </c>
      <c r="B59" s="55"/>
      <c r="C59" s="55"/>
      <c r="D59" s="55"/>
      <c r="E59" s="55"/>
      <c r="F59" s="105" t="s">
        <v>126</v>
      </c>
      <c r="G59" s="105" t="s">
        <v>302</v>
      </c>
      <c r="H59" s="106" t="s">
        <v>303</v>
      </c>
      <c r="I59" s="106"/>
      <c r="J59" s="106" t="s">
        <v>304</v>
      </c>
      <c r="K59" s="106" t="s">
        <v>305</v>
      </c>
      <c r="L59" s="106"/>
      <c r="M59" s="105" t="s">
        <v>30</v>
      </c>
      <c r="N59" s="106" t="s">
        <v>82</v>
      </c>
      <c r="O59" s="106" t="s">
        <v>111</v>
      </c>
      <c r="P59" s="106"/>
      <c r="Q59" s="105" t="s">
        <v>30</v>
      </c>
      <c r="R59" s="106" t="s">
        <v>82</v>
      </c>
      <c r="S59" s="106" t="s">
        <v>112</v>
      </c>
      <c r="T59" s="107">
        <v>46164</v>
      </c>
      <c r="U59" s="108"/>
      <c r="V59" s="109"/>
      <c r="W59" s="110"/>
      <c r="X59" s="69"/>
      <c r="Y59" s="69"/>
      <c r="Z59" s="69"/>
      <c r="AA59" s="69"/>
      <c r="AB59" s="69"/>
      <c r="AC59" s="69"/>
    </row>
    <row r="60" ht="35.25" customHeight="1">
      <c r="A60" s="104">
        <v>48</v>
      </c>
      <c r="B60" s="55"/>
      <c r="C60" s="55"/>
      <c r="D60" s="55"/>
      <c r="E60" s="55"/>
      <c r="F60" s="105" t="s">
        <v>126</v>
      </c>
      <c r="G60" s="105" t="s">
        <v>306</v>
      </c>
      <c r="H60" s="106" t="s">
        <v>307</v>
      </c>
      <c r="I60" s="106"/>
      <c r="J60" s="106" t="s">
        <v>308</v>
      </c>
      <c r="K60" s="106" t="s">
        <v>309</v>
      </c>
      <c r="L60" s="106"/>
      <c r="M60" s="105" t="s">
        <v>30</v>
      </c>
      <c r="N60" s="106" t="s">
        <v>82</v>
      </c>
      <c r="O60" s="106" t="s">
        <v>111</v>
      </c>
      <c r="P60" s="106"/>
      <c r="Q60" s="105" t="s">
        <v>30</v>
      </c>
      <c r="R60" s="106" t="s">
        <v>82</v>
      </c>
      <c r="S60" s="106" t="s">
        <v>112</v>
      </c>
      <c r="T60" s="107">
        <v>46164</v>
      </c>
      <c r="U60" s="108"/>
      <c r="V60" s="109"/>
      <c r="W60" s="110"/>
      <c r="X60" s="69"/>
      <c r="Y60" s="69"/>
      <c r="Z60" s="69"/>
      <c r="AA60" s="69"/>
      <c r="AB60" s="69"/>
      <c r="AC60" s="69"/>
    </row>
    <row r="61" ht="35.25" customHeight="1">
      <c r="A61" s="104">
        <v>49</v>
      </c>
      <c r="B61" s="55"/>
      <c r="C61" s="55"/>
      <c r="D61" s="55"/>
      <c r="E61" s="14"/>
      <c r="F61" s="105" t="s">
        <v>126</v>
      </c>
      <c r="G61" s="105" t="s">
        <v>310</v>
      </c>
      <c r="H61" s="106" t="s">
        <v>311</v>
      </c>
      <c r="I61" s="106"/>
      <c r="J61" s="106" t="s">
        <v>312</v>
      </c>
      <c r="K61" s="106" t="s">
        <v>313</v>
      </c>
      <c r="L61" s="106"/>
      <c r="M61" s="105" t="s">
        <v>31</v>
      </c>
      <c r="N61" s="106" t="s">
        <v>82</v>
      </c>
      <c r="O61" s="106" t="s">
        <v>111</v>
      </c>
      <c r="P61" s="106">
        <v>22</v>
      </c>
      <c r="Q61" s="105" t="s">
        <v>30</v>
      </c>
      <c r="R61" s="106" t="s">
        <v>82</v>
      </c>
      <c r="S61" s="106" t="s">
        <v>112</v>
      </c>
      <c r="T61" s="107">
        <v>46164</v>
      </c>
      <c r="U61" s="108"/>
      <c r="V61" s="109"/>
      <c r="W61" s="110"/>
      <c r="X61" s="69"/>
      <c r="Y61" s="69"/>
      <c r="Z61" s="69"/>
      <c r="AA61" s="69"/>
      <c r="AB61" s="69"/>
      <c r="AC61" s="69"/>
    </row>
    <row r="62" ht="48" customHeight="1">
      <c r="A62" s="104">
        <v>50</v>
      </c>
      <c r="B62" s="55"/>
      <c r="C62" s="55"/>
      <c r="D62" s="55"/>
      <c r="E62" s="106" t="s">
        <v>314</v>
      </c>
      <c r="F62" s="105" t="s">
        <v>106</v>
      </c>
      <c r="G62" s="105" t="s">
        <v>315</v>
      </c>
      <c r="H62" s="111" t="s">
        <v>316</v>
      </c>
      <c r="I62" s="106"/>
      <c r="J62" s="106" t="s">
        <v>317</v>
      </c>
      <c r="K62" s="111" t="s">
        <v>318</v>
      </c>
      <c r="L62" s="106"/>
      <c r="M62" s="105" t="s">
        <v>34</v>
      </c>
      <c r="N62" s="106" t="s">
        <v>82</v>
      </c>
      <c r="O62" s="106" t="s">
        <v>111</v>
      </c>
      <c r="P62" s="106"/>
      <c r="Q62" s="105" t="s">
        <v>34</v>
      </c>
      <c r="R62" s="106" t="s">
        <v>82</v>
      </c>
      <c r="S62" s="106" t="s">
        <v>112</v>
      </c>
      <c r="T62" s="107">
        <v>46164</v>
      </c>
      <c r="U62" s="108"/>
      <c r="V62" s="109"/>
      <c r="W62" s="117" t="s">
        <v>319</v>
      </c>
      <c r="X62" s="69"/>
      <c r="Y62" s="69"/>
      <c r="Z62" s="69"/>
      <c r="AA62" s="69"/>
      <c r="AB62" s="69"/>
      <c r="AC62" s="69"/>
    </row>
    <row r="63" ht="45" customHeight="1">
      <c r="A63" s="104">
        <v>51</v>
      </c>
      <c r="B63" s="55"/>
      <c r="C63" s="55"/>
      <c r="D63" s="55"/>
      <c r="E63" s="55"/>
      <c r="F63" s="105" t="s">
        <v>106</v>
      </c>
      <c r="G63" s="105" t="s">
        <v>320</v>
      </c>
      <c r="H63" s="111" t="s">
        <v>321</v>
      </c>
      <c r="I63" s="106"/>
      <c r="J63" s="106" t="s">
        <v>322</v>
      </c>
      <c r="K63" s="111" t="s">
        <v>318</v>
      </c>
      <c r="L63" s="106"/>
      <c r="M63" s="105" t="s">
        <v>34</v>
      </c>
      <c r="N63" s="106" t="s">
        <v>82</v>
      </c>
      <c r="O63" s="106" t="s">
        <v>111</v>
      </c>
      <c r="P63" s="106"/>
      <c r="Q63" s="105" t="s">
        <v>34</v>
      </c>
      <c r="R63" s="106" t="s">
        <v>82</v>
      </c>
      <c r="S63" s="106" t="s">
        <v>112</v>
      </c>
      <c r="T63" s="107">
        <v>46164</v>
      </c>
      <c r="U63" s="108"/>
      <c r="V63" s="109"/>
      <c r="W63" s="117" t="s">
        <v>319</v>
      </c>
      <c r="X63" s="69"/>
      <c r="Y63" s="69"/>
      <c r="Z63" s="69"/>
      <c r="AA63" s="69"/>
      <c r="AB63" s="69"/>
      <c r="AC63" s="69"/>
    </row>
    <row r="64" ht="64.5" customHeight="1">
      <c r="A64" s="104">
        <v>52</v>
      </c>
      <c r="B64" s="55"/>
      <c r="C64" s="55"/>
      <c r="D64" s="55"/>
      <c r="E64" s="14"/>
      <c r="F64" s="105" t="s">
        <v>126</v>
      </c>
      <c r="G64" s="105" t="s">
        <v>323</v>
      </c>
      <c r="H64" s="106" t="s">
        <v>324</v>
      </c>
      <c r="I64" s="106"/>
      <c r="J64" s="106" t="s">
        <v>325</v>
      </c>
      <c r="K64" s="106" t="s">
        <v>326</v>
      </c>
      <c r="L64" s="106"/>
      <c r="M64" s="105" t="s">
        <v>30</v>
      </c>
      <c r="N64" s="106" t="s">
        <v>82</v>
      </c>
      <c r="O64" s="106" t="s">
        <v>111</v>
      </c>
      <c r="P64" s="106"/>
      <c r="Q64" s="105" t="s">
        <v>30</v>
      </c>
      <c r="R64" s="106" t="s">
        <v>82</v>
      </c>
      <c r="S64" s="106" t="s">
        <v>112</v>
      </c>
      <c r="T64" s="107">
        <v>46164</v>
      </c>
      <c r="U64" s="108"/>
      <c r="V64" s="109"/>
      <c r="W64" s="110"/>
      <c r="X64" s="69"/>
      <c r="Y64" s="69"/>
      <c r="Z64" s="69"/>
      <c r="AA64" s="69"/>
      <c r="AB64" s="69"/>
      <c r="AC64" s="69"/>
    </row>
    <row r="65" ht="85.5" customHeight="1">
      <c r="A65" s="104">
        <v>53</v>
      </c>
      <c r="B65" s="55"/>
      <c r="C65" s="55"/>
      <c r="D65" s="55"/>
      <c r="E65" s="106" t="s">
        <v>327</v>
      </c>
      <c r="F65" s="105" t="s">
        <v>126</v>
      </c>
      <c r="G65" s="105" t="s">
        <v>328</v>
      </c>
      <c r="H65" s="106" t="s">
        <v>329</v>
      </c>
      <c r="I65" s="106"/>
      <c r="J65" s="106" t="s">
        <v>330</v>
      </c>
      <c r="K65" s="106" t="s">
        <v>331</v>
      </c>
      <c r="L65" s="106"/>
      <c r="M65" s="105" t="s">
        <v>31</v>
      </c>
      <c r="N65" s="106" t="s">
        <v>82</v>
      </c>
      <c r="O65" s="106" t="s">
        <v>111</v>
      </c>
      <c r="P65" s="106">
        <v>2</v>
      </c>
      <c r="Q65" s="105" t="s">
        <v>30</v>
      </c>
      <c r="R65" s="106" t="s">
        <v>82</v>
      </c>
      <c r="S65" s="106" t="s">
        <v>112</v>
      </c>
      <c r="T65" s="107">
        <v>46164</v>
      </c>
      <c r="U65" s="108"/>
      <c r="V65" s="109"/>
      <c r="W65" s="110"/>
      <c r="X65" s="69"/>
      <c r="Y65" s="69"/>
      <c r="Z65" s="69"/>
      <c r="AA65" s="69"/>
      <c r="AB65" s="69"/>
      <c r="AC65" s="69"/>
    </row>
    <row r="66" ht="51" customHeight="1">
      <c r="A66" s="104">
        <v>54</v>
      </c>
      <c r="B66" s="55"/>
      <c r="C66" s="55"/>
      <c r="D66" s="55"/>
      <c r="E66" s="55"/>
      <c r="F66" s="105" t="s">
        <v>126</v>
      </c>
      <c r="G66" s="105" t="s">
        <v>332</v>
      </c>
      <c r="H66" s="111" t="s">
        <v>333</v>
      </c>
      <c r="I66" s="106"/>
      <c r="J66" s="106" t="s">
        <v>334</v>
      </c>
      <c r="K66" s="111" t="s">
        <v>335</v>
      </c>
      <c r="L66" s="106"/>
      <c r="M66" s="105" t="s">
        <v>30</v>
      </c>
      <c r="N66" s="106" t="s">
        <v>82</v>
      </c>
      <c r="O66" s="106" t="s">
        <v>111</v>
      </c>
      <c r="P66" s="106"/>
      <c r="Q66" s="105" t="s">
        <v>30</v>
      </c>
      <c r="R66" s="106" t="s">
        <v>82</v>
      </c>
      <c r="S66" s="106" t="s">
        <v>112</v>
      </c>
      <c r="T66" s="107">
        <v>46164</v>
      </c>
      <c r="U66" s="108"/>
      <c r="V66" s="109"/>
      <c r="W66" s="117" t="s">
        <v>336</v>
      </c>
      <c r="X66" s="69"/>
      <c r="Y66" s="69"/>
      <c r="Z66" s="69"/>
      <c r="AA66" s="69"/>
      <c r="AB66" s="69"/>
      <c r="AC66" s="69"/>
    </row>
    <row r="67" ht="60" customHeight="1">
      <c r="A67" s="104">
        <v>55</v>
      </c>
      <c r="B67" s="55"/>
      <c r="C67" s="55"/>
      <c r="D67" s="55"/>
      <c r="E67" s="55"/>
      <c r="F67" s="105" t="s">
        <v>106</v>
      </c>
      <c r="G67" s="105" t="s">
        <v>337</v>
      </c>
      <c r="H67" s="111" t="s">
        <v>338</v>
      </c>
      <c r="I67" s="106"/>
      <c r="J67" s="106" t="s">
        <v>339</v>
      </c>
      <c r="K67" s="111" t="s">
        <v>340</v>
      </c>
      <c r="L67" s="106"/>
      <c r="M67" s="105" t="s">
        <v>30</v>
      </c>
      <c r="N67" s="106" t="s">
        <v>82</v>
      </c>
      <c r="O67" s="106" t="s">
        <v>111</v>
      </c>
      <c r="P67" s="106"/>
      <c r="Q67" s="105" t="s">
        <v>30</v>
      </c>
      <c r="R67" s="106" t="s">
        <v>82</v>
      </c>
      <c r="S67" s="106" t="s">
        <v>112</v>
      </c>
      <c r="T67" s="107">
        <v>46164</v>
      </c>
      <c r="U67" s="108"/>
      <c r="V67" s="109"/>
      <c r="W67" s="117" t="s">
        <v>341</v>
      </c>
      <c r="X67" s="69"/>
      <c r="Y67" s="69"/>
      <c r="Z67" s="69"/>
      <c r="AA67" s="69"/>
      <c r="AB67" s="69"/>
      <c r="AC67" s="69"/>
    </row>
    <row r="68" ht="59.25" customHeight="1">
      <c r="A68" s="104">
        <v>56</v>
      </c>
      <c r="B68" s="55"/>
      <c r="C68" s="55"/>
      <c r="D68" s="55"/>
      <c r="E68" s="55"/>
      <c r="F68" s="105" t="s">
        <v>106</v>
      </c>
      <c r="G68" s="105" t="s">
        <v>342</v>
      </c>
      <c r="H68" s="106" t="s">
        <v>343</v>
      </c>
      <c r="I68" s="106"/>
      <c r="J68" s="106" t="s">
        <v>344</v>
      </c>
      <c r="K68" s="106" t="s">
        <v>345</v>
      </c>
      <c r="L68" s="106"/>
      <c r="M68" s="105" t="s">
        <v>31</v>
      </c>
      <c r="N68" s="106" t="s">
        <v>82</v>
      </c>
      <c r="O68" s="106" t="s">
        <v>111</v>
      </c>
      <c r="P68" s="106">
        <v>9</v>
      </c>
      <c r="Q68" s="105" t="s">
        <v>30</v>
      </c>
      <c r="R68" s="106" t="s">
        <v>82</v>
      </c>
      <c r="S68" s="106" t="s">
        <v>112</v>
      </c>
      <c r="T68" s="107">
        <v>46164</v>
      </c>
      <c r="U68" s="108"/>
      <c r="V68" s="109"/>
      <c r="W68" s="110"/>
      <c r="X68" s="69"/>
      <c r="Y68" s="69"/>
      <c r="Z68" s="69"/>
      <c r="AA68" s="69"/>
      <c r="AB68" s="69"/>
      <c r="AC68" s="69"/>
    </row>
    <row r="69" ht="57.75" customHeight="1">
      <c r="A69" s="104">
        <v>57</v>
      </c>
      <c r="B69" s="55"/>
      <c r="C69" s="55"/>
      <c r="D69" s="55"/>
      <c r="E69" s="55"/>
      <c r="F69" s="105" t="s">
        <v>126</v>
      </c>
      <c r="G69" s="105" t="s">
        <v>346</v>
      </c>
      <c r="H69" s="106" t="s">
        <v>233</v>
      </c>
      <c r="I69" s="106"/>
      <c r="J69" s="106" t="s">
        <v>347</v>
      </c>
      <c r="K69" s="106" t="s">
        <v>348</v>
      </c>
      <c r="L69" s="106"/>
      <c r="M69" s="105" t="s">
        <v>30</v>
      </c>
      <c r="N69" s="106" t="s">
        <v>82</v>
      </c>
      <c r="O69" s="106" t="s">
        <v>111</v>
      </c>
      <c r="P69" s="106"/>
      <c r="Q69" s="105" t="s">
        <v>30</v>
      </c>
      <c r="R69" s="106" t="s">
        <v>82</v>
      </c>
      <c r="S69" s="106" t="s">
        <v>112</v>
      </c>
      <c r="T69" s="107">
        <v>46164</v>
      </c>
      <c r="U69" s="108"/>
      <c r="V69" s="109"/>
      <c r="W69" s="110"/>
      <c r="X69" s="69"/>
      <c r="Y69" s="69"/>
      <c r="Z69" s="69"/>
      <c r="AA69" s="69"/>
      <c r="AB69" s="69"/>
      <c r="AC69" s="69"/>
    </row>
    <row r="70" ht="35.25" customHeight="1">
      <c r="A70" s="104">
        <v>58</v>
      </c>
      <c r="B70" s="55"/>
      <c r="C70" s="55"/>
      <c r="D70" s="55"/>
      <c r="E70" s="14"/>
      <c r="F70" s="105" t="s">
        <v>126</v>
      </c>
      <c r="G70" s="105" t="s">
        <v>349</v>
      </c>
      <c r="H70" s="111" t="s">
        <v>350</v>
      </c>
      <c r="I70" s="106"/>
      <c r="J70" s="106" t="s">
        <v>238</v>
      </c>
      <c r="K70" s="111" t="s">
        <v>351</v>
      </c>
      <c r="L70" s="106"/>
      <c r="M70" s="105" t="s">
        <v>31</v>
      </c>
      <c r="N70" s="106" t="s">
        <v>82</v>
      </c>
      <c r="O70" s="106" t="s">
        <v>111</v>
      </c>
      <c r="P70" s="106">
        <v>3</v>
      </c>
      <c r="Q70" s="105" t="s">
        <v>30</v>
      </c>
      <c r="R70" s="106" t="s">
        <v>82</v>
      </c>
      <c r="S70" s="106" t="s">
        <v>112</v>
      </c>
      <c r="T70" s="107">
        <v>46164</v>
      </c>
      <c r="U70" s="108"/>
      <c r="V70" s="109"/>
      <c r="W70" s="117" t="s">
        <v>352</v>
      </c>
      <c r="X70" s="69"/>
      <c r="Y70" s="69"/>
      <c r="Z70" s="69"/>
      <c r="AA70" s="69"/>
      <c r="AB70" s="69"/>
      <c r="AC70" s="69"/>
    </row>
    <row r="71" ht="111" customHeight="1">
      <c r="A71" s="104">
        <v>59</v>
      </c>
      <c r="B71" s="55"/>
      <c r="C71" s="55"/>
      <c r="D71" s="55"/>
      <c r="E71" s="106" t="s">
        <v>353</v>
      </c>
      <c r="F71" s="105" t="s">
        <v>126</v>
      </c>
      <c r="G71" s="105" t="s">
        <v>354</v>
      </c>
      <c r="H71" s="111" t="s">
        <v>228</v>
      </c>
      <c r="I71" s="106"/>
      <c r="J71" s="106" t="s">
        <v>229</v>
      </c>
      <c r="K71" s="111" t="s">
        <v>230</v>
      </c>
      <c r="L71" s="106"/>
      <c r="M71" s="105" t="s">
        <v>30</v>
      </c>
      <c r="N71" s="106" t="s">
        <v>82</v>
      </c>
      <c r="O71" s="106" t="s">
        <v>111</v>
      </c>
      <c r="P71" s="106"/>
      <c r="Q71" s="105" t="s">
        <v>30</v>
      </c>
      <c r="R71" s="106" t="s">
        <v>82</v>
      </c>
      <c r="S71" s="106" t="s">
        <v>112</v>
      </c>
      <c r="T71" s="107">
        <v>46164</v>
      </c>
      <c r="U71" s="108"/>
      <c r="V71" s="109"/>
      <c r="W71" s="117" t="s">
        <v>231</v>
      </c>
      <c r="X71" s="69"/>
      <c r="Y71" s="69"/>
      <c r="Z71" s="69"/>
      <c r="AA71" s="69"/>
      <c r="AB71" s="69"/>
      <c r="AC71" s="69"/>
    </row>
    <row r="72" ht="48" customHeight="1">
      <c r="A72" s="104">
        <v>60</v>
      </c>
      <c r="B72" s="55"/>
      <c r="C72" s="55"/>
      <c r="D72" s="55"/>
      <c r="E72" s="55"/>
      <c r="F72" s="105" t="s">
        <v>126</v>
      </c>
      <c r="G72" s="105" t="s">
        <v>355</v>
      </c>
      <c r="H72" s="106" t="s">
        <v>233</v>
      </c>
      <c r="I72" s="106"/>
      <c r="J72" s="106" t="s">
        <v>234</v>
      </c>
      <c r="K72" s="106" t="s">
        <v>235</v>
      </c>
      <c r="L72" s="106"/>
      <c r="M72" s="105" t="s">
        <v>30</v>
      </c>
      <c r="N72" s="106" t="s">
        <v>82</v>
      </c>
      <c r="O72" s="106" t="s">
        <v>111</v>
      </c>
      <c r="P72" s="106"/>
      <c r="Q72" s="105" t="s">
        <v>30</v>
      </c>
      <c r="R72" s="106" t="s">
        <v>82</v>
      </c>
      <c r="S72" s="106" t="s">
        <v>112</v>
      </c>
      <c r="T72" s="107">
        <v>46164</v>
      </c>
      <c r="U72" s="108"/>
      <c r="V72" s="109"/>
      <c r="W72" s="110"/>
      <c r="X72" s="69"/>
      <c r="Y72" s="69"/>
      <c r="Z72" s="69"/>
      <c r="AA72" s="69"/>
      <c r="AB72" s="69"/>
      <c r="AC72" s="69"/>
    </row>
    <row r="73" ht="60.75" customHeight="1">
      <c r="A73" s="104">
        <v>61</v>
      </c>
      <c r="B73" s="55"/>
      <c r="C73" s="14"/>
      <c r="D73" s="14"/>
      <c r="E73" s="14"/>
      <c r="F73" s="105" t="s">
        <v>106</v>
      </c>
      <c r="G73" s="105" t="s">
        <v>356</v>
      </c>
      <c r="H73" s="111" t="s">
        <v>237</v>
      </c>
      <c r="I73" s="106"/>
      <c r="J73" s="106" t="s">
        <v>238</v>
      </c>
      <c r="K73" s="111" t="s">
        <v>239</v>
      </c>
      <c r="L73" s="106"/>
      <c r="M73" s="105" t="s">
        <v>31</v>
      </c>
      <c r="N73" s="106" t="s">
        <v>82</v>
      </c>
      <c r="O73" s="106" t="s">
        <v>111</v>
      </c>
      <c r="P73" s="106">
        <v>3</v>
      </c>
      <c r="Q73" s="105" t="s">
        <v>30</v>
      </c>
      <c r="R73" s="106" t="s">
        <v>82</v>
      </c>
      <c r="S73" s="106" t="s">
        <v>112</v>
      </c>
      <c r="T73" s="107">
        <v>46164</v>
      </c>
      <c r="U73" s="108"/>
      <c r="V73" s="109"/>
      <c r="W73" s="117" t="s">
        <v>240</v>
      </c>
      <c r="X73" s="69"/>
      <c r="Y73" s="69"/>
      <c r="Z73" s="69"/>
      <c r="AA73" s="69"/>
      <c r="AB73" s="69"/>
      <c r="AC73" s="69"/>
    </row>
    <row r="74" ht="60.75" customHeight="1">
      <c r="A74" s="104">
        <v>62</v>
      </c>
      <c r="B74" s="55"/>
      <c r="C74" s="106" t="s">
        <v>357</v>
      </c>
      <c r="D74" s="104"/>
      <c r="E74" s="104"/>
      <c r="F74" s="105" t="s">
        <v>126</v>
      </c>
      <c r="G74" s="105" t="s">
        <v>358</v>
      </c>
      <c r="H74" s="106" t="s">
        <v>359</v>
      </c>
      <c r="I74" s="106"/>
      <c r="J74" s="106" t="s">
        <v>360</v>
      </c>
      <c r="K74" s="106" t="s">
        <v>361</v>
      </c>
      <c r="L74" s="106"/>
      <c r="M74" s="105" t="s">
        <v>30</v>
      </c>
      <c r="N74" s="106" t="s">
        <v>82</v>
      </c>
      <c r="O74" s="106" t="s">
        <v>111</v>
      </c>
      <c r="P74" s="106"/>
      <c r="Q74" s="105" t="s">
        <v>30</v>
      </c>
      <c r="R74" s="106" t="s">
        <v>82</v>
      </c>
      <c r="S74" s="106" t="s">
        <v>112</v>
      </c>
      <c r="T74" s="107">
        <v>46164</v>
      </c>
      <c r="U74" s="108"/>
      <c r="V74" s="109"/>
      <c r="W74" s="110"/>
      <c r="X74" s="69"/>
      <c r="Y74" s="69"/>
      <c r="Z74" s="69"/>
      <c r="AA74" s="69"/>
      <c r="AB74" s="69"/>
      <c r="AC74" s="69"/>
    </row>
    <row r="75" ht="60.75" customHeight="1">
      <c r="A75" s="104">
        <v>63</v>
      </c>
      <c r="B75" s="55"/>
      <c r="C75" s="55"/>
      <c r="D75" s="104"/>
      <c r="E75" s="104"/>
      <c r="F75" s="105" t="s">
        <v>126</v>
      </c>
      <c r="G75" s="105" t="s">
        <v>362</v>
      </c>
      <c r="H75" s="106" t="s">
        <v>363</v>
      </c>
      <c r="I75" s="106"/>
      <c r="J75" s="106" t="s">
        <v>364</v>
      </c>
      <c r="K75" s="106" t="s">
        <v>365</v>
      </c>
      <c r="L75" s="106"/>
      <c r="M75" s="105" t="s">
        <v>30</v>
      </c>
      <c r="N75" s="106" t="s">
        <v>82</v>
      </c>
      <c r="O75" s="106" t="s">
        <v>111</v>
      </c>
      <c r="P75" s="106"/>
      <c r="Q75" s="105" t="s">
        <v>30</v>
      </c>
      <c r="R75" s="106" t="s">
        <v>82</v>
      </c>
      <c r="S75" s="106" t="s">
        <v>112</v>
      </c>
      <c r="T75" s="107">
        <v>46164</v>
      </c>
      <c r="U75" s="108"/>
      <c r="V75" s="109"/>
      <c r="W75" s="110"/>
      <c r="X75" s="69"/>
      <c r="Y75" s="69"/>
      <c r="Z75" s="69"/>
      <c r="AA75" s="69"/>
      <c r="AB75" s="69"/>
      <c r="AC75" s="69"/>
    </row>
    <row r="76" ht="60.75" customHeight="1">
      <c r="A76" s="104">
        <v>64</v>
      </c>
      <c r="B76" s="55"/>
      <c r="C76" s="55"/>
      <c r="D76" s="104"/>
      <c r="E76" s="104"/>
      <c r="F76" s="105" t="s">
        <v>126</v>
      </c>
      <c r="G76" s="105" t="s">
        <v>366</v>
      </c>
      <c r="H76" s="106" t="s">
        <v>367</v>
      </c>
      <c r="I76" s="106"/>
      <c r="J76" s="106" t="s">
        <v>364</v>
      </c>
      <c r="K76" s="106" t="s">
        <v>368</v>
      </c>
      <c r="L76" s="106"/>
      <c r="M76" s="105" t="s">
        <v>30</v>
      </c>
      <c r="N76" s="106" t="s">
        <v>82</v>
      </c>
      <c r="O76" s="106" t="s">
        <v>111</v>
      </c>
      <c r="P76" s="106"/>
      <c r="Q76" s="105" t="s">
        <v>30</v>
      </c>
      <c r="R76" s="106" t="s">
        <v>82</v>
      </c>
      <c r="S76" s="106" t="s">
        <v>112</v>
      </c>
      <c r="T76" s="107">
        <v>46164</v>
      </c>
      <c r="U76" s="108"/>
      <c r="V76" s="109"/>
      <c r="W76" s="110"/>
      <c r="X76" s="69"/>
      <c r="Y76" s="69"/>
      <c r="Z76" s="69"/>
      <c r="AA76" s="69"/>
      <c r="AB76" s="69"/>
      <c r="AC76" s="69"/>
    </row>
    <row r="77" ht="60.75" customHeight="1">
      <c r="A77" s="104">
        <v>65</v>
      </c>
      <c r="B77" s="55"/>
      <c r="C77" s="55"/>
      <c r="D77" s="104"/>
      <c r="E77" s="104"/>
      <c r="F77" s="105" t="s">
        <v>126</v>
      </c>
      <c r="G77" s="105" t="s">
        <v>369</v>
      </c>
      <c r="H77" s="106" t="s">
        <v>370</v>
      </c>
      <c r="I77" s="106"/>
      <c r="J77" s="106" t="s">
        <v>364</v>
      </c>
      <c r="K77" s="106" t="s">
        <v>371</v>
      </c>
      <c r="L77" s="106"/>
      <c r="M77" s="105" t="s">
        <v>30</v>
      </c>
      <c r="N77" s="106" t="s">
        <v>82</v>
      </c>
      <c r="O77" s="106" t="s">
        <v>111</v>
      </c>
      <c r="P77" s="106"/>
      <c r="Q77" s="105" t="s">
        <v>30</v>
      </c>
      <c r="R77" s="106" t="s">
        <v>82</v>
      </c>
      <c r="S77" s="106" t="s">
        <v>112</v>
      </c>
      <c r="T77" s="107">
        <v>46164</v>
      </c>
      <c r="U77" s="108"/>
      <c r="V77" s="109"/>
      <c r="W77" s="110"/>
      <c r="X77" s="69"/>
      <c r="Y77" s="69"/>
      <c r="Z77" s="69"/>
      <c r="AA77" s="69"/>
      <c r="AB77" s="69"/>
      <c r="AC77" s="69"/>
    </row>
    <row r="78" ht="60.75" customHeight="1">
      <c r="A78" s="104">
        <v>66</v>
      </c>
      <c r="B78" s="55"/>
      <c r="C78" s="55"/>
      <c r="D78" s="104"/>
      <c r="E78" s="104"/>
      <c r="F78" s="105" t="s">
        <v>126</v>
      </c>
      <c r="G78" s="105" t="s">
        <v>372</v>
      </c>
      <c r="H78" s="106" t="s">
        <v>373</v>
      </c>
      <c r="I78" s="106"/>
      <c r="J78" s="106" t="s">
        <v>364</v>
      </c>
      <c r="K78" s="106" t="s">
        <v>374</v>
      </c>
      <c r="L78" s="106"/>
      <c r="M78" s="105" t="s">
        <v>30</v>
      </c>
      <c r="N78" s="106" t="s">
        <v>82</v>
      </c>
      <c r="O78" s="106" t="s">
        <v>111</v>
      </c>
      <c r="P78" s="106"/>
      <c r="Q78" s="105" t="s">
        <v>30</v>
      </c>
      <c r="R78" s="106" t="s">
        <v>82</v>
      </c>
      <c r="S78" s="106" t="s">
        <v>112</v>
      </c>
      <c r="T78" s="107">
        <v>46164</v>
      </c>
      <c r="U78" s="108"/>
      <c r="V78" s="109"/>
      <c r="W78" s="110"/>
      <c r="X78" s="69"/>
      <c r="Y78" s="69"/>
      <c r="Z78" s="69"/>
      <c r="AA78" s="69"/>
      <c r="AB78" s="69"/>
      <c r="AC78" s="69"/>
    </row>
    <row r="79" ht="60.75" customHeight="1">
      <c r="A79" s="104">
        <v>67</v>
      </c>
      <c r="B79" s="55"/>
      <c r="C79" s="55"/>
      <c r="D79" s="104"/>
      <c r="E79" s="104"/>
      <c r="F79" s="105" t="s">
        <v>126</v>
      </c>
      <c r="G79" s="105" t="s">
        <v>375</v>
      </c>
      <c r="H79" s="106" t="s">
        <v>376</v>
      </c>
      <c r="I79" s="106"/>
      <c r="J79" s="106" t="s">
        <v>377</v>
      </c>
      <c r="K79" s="106" t="s">
        <v>378</v>
      </c>
      <c r="L79" s="106"/>
      <c r="M79" s="105" t="s">
        <v>30</v>
      </c>
      <c r="N79" s="106" t="s">
        <v>82</v>
      </c>
      <c r="O79" s="106" t="s">
        <v>111</v>
      </c>
      <c r="P79" s="106"/>
      <c r="Q79" s="105" t="s">
        <v>30</v>
      </c>
      <c r="R79" s="106" t="s">
        <v>82</v>
      </c>
      <c r="S79" s="106" t="s">
        <v>112</v>
      </c>
      <c r="T79" s="107">
        <v>46164</v>
      </c>
      <c r="U79" s="108"/>
      <c r="V79" s="109"/>
      <c r="W79" s="110"/>
      <c r="X79" s="69"/>
      <c r="Y79" s="69"/>
      <c r="Z79" s="69"/>
      <c r="AA79" s="69"/>
      <c r="AB79" s="69"/>
      <c r="AC79" s="69"/>
    </row>
    <row r="80" ht="60.75" customHeight="1">
      <c r="A80" s="104">
        <v>68</v>
      </c>
      <c r="B80" s="55"/>
      <c r="C80" s="55"/>
      <c r="D80" s="104"/>
      <c r="E80" s="104"/>
      <c r="F80" s="105" t="s">
        <v>126</v>
      </c>
      <c r="G80" s="105" t="s">
        <v>379</v>
      </c>
      <c r="H80" s="106" t="s">
        <v>380</v>
      </c>
      <c r="I80" s="106"/>
      <c r="J80" s="106" t="s">
        <v>364</v>
      </c>
      <c r="K80" s="106" t="s">
        <v>368</v>
      </c>
      <c r="L80" s="106"/>
      <c r="M80" s="105" t="s">
        <v>30</v>
      </c>
      <c r="N80" s="106" t="s">
        <v>82</v>
      </c>
      <c r="O80" s="106" t="s">
        <v>111</v>
      </c>
      <c r="P80" s="106"/>
      <c r="Q80" s="105" t="s">
        <v>30</v>
      </c>
      <c r="R80" s="106" t="s">
        <v>82</v>
      </c>
      <c r="S80" s="106" t="s">
        <v>112</v>
      </c>
      <c r="T80" s="107">
        <v>46164</v>
      </c>
      <c r="U80" s="108"/>
      <c r="V80" s="109"/>
      <c r="W80" s="110"/>
      <c r="X80" s="69"/>
      <c r="Y80" s="69"/>
      <c r="Z80" s="69"/>
      <c r="AA80" s="69"/>
      <c r="AB80" s="69"/>
      <c r="AC80" s="69"/>
    </row>
    <row r="81" ht="60.75" customHeight="1">
      <c r="A81" s="104">
        <v>69</v>
      </c>
      <c r="B81" s="55"/>
      <c r="C81" s="55"/>
      <c r="D81" s="104"/>
      <c r="E81" s="104"/>
      <c r="F81" s="105" t="s">
        <v>126</v>
      </c>
      <c r="G81" s="105" t="s">
        <v>381</v>
      </c>
      <c r="H81" s="106" t="s">
        <v>382</v>
      </c>
      <c r="I81" s="106"/>
      <c r="J81" s="106" t="s">
        <v>364</v>
      </c>
      <c r="K81" s="106" t="s">
        <v>371</v>
      </c>
      <c r="L81" s="106"/>
      <c r="M81" s="105" t="s">
        <v>30</v>
      </c>
      <c r="N81" s="106" t="s">
        <v>82</v>
      </c>
      <c r="O81" s="106" t="s">
        <v>111</v>
      </c>
      <c r="P81" s="106"/>
      <c r="Q81" s="105" t="s">
        <v>30</v>
      </c>
      <c r="R81" s="106" t="s">
        <v>82</v>
      </c>
      <c r="S81" s="106" t="s">
        <v>112</v>
      </c>
      <c r="T81" s="107">
        <v>46164</v>
      </c>
      <c r="U81" s="108"/>
      <c r="V81" s="109"/>
      <c r="W81" s="110"/>
      <c r="X81" s="69"/>
      <c r="Y81" s="69"/>
      <c r="Z81" s="69"/>
      <c r="AA81" s="69"/>
      <c r="AB81" s="69"/>
      <c r="AC81" s="69"/>
    </row>
    <row r="82" ht="60.75" customHeight="1">
      <c r="A82" s="104">
        <v>70</v>
      </c>
      <c r="B82" s="55"/>
      <c r="C82" s="55"/>
      <c r="D82" s="104"/>
      <c r="E82" s="104"/>
      <c r="F82" s="105" t="s">
        <v>126</v>
      </c>
      <c r="G82" s="105" t="s">
        <v>383</v>
      </c>
      <c r="H82" s="106" t="s">
        <v>384</v>
      </c>
      <c r="I82" s="106"/>
      <c r="J82" s="106" t="s">
        <v>364</v>
      </c>
      <c r="K82" s="106" t="s">
        <v>374</v>
      </c>
      <c r="L82" s="106"/>
      <c r="M82" s="105" t="s">
        <v>30</v>
      </c>
      <c r="N82" s="106" t="s">
        <v>82</v>
      </c>
      <c r="O82" s="106" t="s">
        <v>111</v>
      </c>
      <c r="P82" s="106"/>
      <c r="Q82" s="105" t="s">
        <v>30</v>
      </c>
      <c r="R82" s="106" t="s">
        <v>82</v>
      </c>
      <c r="S82" s="106" t="s">
        <v>112</v>
      </c>
      <c r="T82" s="107">
        <v>46164</v>
      </c>
      <c r="U82" s="108"/>
      <c r="V82" s="109"/>
      <c r="W82" s="110"/>
      <c r="X82" s="69"/>
      <c r="Y82" s="69"/>
      <c r="Z82" s="69"/>
      <c r="AA82" s="69"/>
      <c r="AB82" s="69"/>
      <c r="AC82" s="69"/>
    </row>
    <row r="83" ht="60.75" customHeight="1">
      <c r="A83" s="104">
        <v>71</v>
      </c>
      <c r="B83" s="55"/>
      <c r="C83" s="55"/>
      <c r="D83" s="104"/>
      <c r="E83" s="104"/>
      <c r="F83" s="105" t="s">
        <v>126</v>
      </c>
      <c r="G83" s="105" t="s">
        <v>385</v>
      </c>
      <c r="H83" s="106" t="s">
        <v>386</v>
      </c>
      <c r="I83" s="106"/>
      <c r="J83" s="106" t="s">
        <v>387</v>
      </c>
      <c r="K83" s="106" t="s">
        <v>388</v>
      </c>
      <c r="L83" s="106"/>
      <c r="M83" s="105" t="s">
        <v>30</v>
      </c>
      <c r="N83" s="106" t="s">
        <v>82</v>
      </c>
      <c r="O83" s="106" t="s">
        <v>111</v>
      </c>
      <c r="P83" s="106"/>
      <c r="Q83" s="105" t="s">
        <v>30</v>
      </c>
      <c r="R83" s="106" t="s">
        <v>82</v>
      </c>
      <c r="S83" s="106" t="s">
        <v>112</v>
      </c>
      <c r="T83" s="107">
        <v>46164</v>
      </c>
      <c r="U83" s="108"/>
      <c r="V83" s="109"/>
      <c r="W83" s="110"/>
      <c r="X83" s="69"/>
      <c r="Y83" s="69"/>
      <c r="Z83" s="69"/>
      <c r="AA83" s="69"/>
      <c r="AB83" s="69"/>
      <c r="AC83" s="69"/>
    </row>
    <row r="84" ht="60.75" customHeight="1">
      <c r="A84" s="104">
        <v>72</v>
      </c>
      <c r="B84" s="55"/>
      <c r="C84" s="55"/>
      <c r="D84" s="104"/>
      <c r="E84" s="104"/>
      <c r="F84" s="105" t="s">
        <v>126</v>
      </c>
      <c r="G84" s="105" t="s">
        <v>389</v>
      </c>
      <c r="H84" s="106" t="s">
        <v>390</v>
      </c>
      <c r="I84" s="106"/>
      <c r="J84" s="106" t="s">
        <v>364</v>
      </c>
      <c r="K84" s="106" t="s">
        <v>368</v>
      </c>
      <c r="L84" s="106"/>
      <c r="M84" s="105" t="s">
        <v>30</v>
      </c>
      <c r="N84" s="106" t="s">
        <v>82</v>
      </c>
      <c r="O84" s="106" t="s">
        <v>111</v>
      </c>
      <c r="P84" s="106"/>
      <c r="Q84" s="105" t="s">
        <v>30</v>
      </c>
      <c r="R84" s="106" t="s">
        <v>82</v>
      </c>
      <c r="S84" s="106" t="s">
        <v>112</v>
      </c>
      <c r="T84" s="107">
        <v>46164</v>
      </c>
      <c r="U84" s="108"/>
      <c r="V84" s="109"/>
      <c r="W84" s="110"/>
      <c r="X84" s="69"/>
      <c r="Y84" s="69"/>
      <c r="Z84" s="69"/>
      <c r="AA84" s="69"/>
      <c r="AB84" s="69"/>
      <c r="AC84" s="69"/>
    </row>
    <row r="85" ht="60.75" customHeight="1">
      <c r="A85" s="104">
        <v>73</v>
      </c>
      <c r="B85" s="55"/>
      <c r="C85" s="55"/>
      <c r="D85" s="104"/>
      <c r="E85" s="104"/>
      <c r="F85" s="105" t="s">
        <v>126</v>
      </c>
      <c r="G85" s="105" t="s">
        <v>391</v>
      </c>
      <c r="H85" s="106" t="s">
        <v>392</v>
      </c>
      <c r="I85" s="106"/>
      <c r="J85" s="106" t="s">
        <v>364</v>
      </c>
      <c r="K85" s="106" t="s">
        <v>371</v>
      </c>
      <c r="L85" s="106"/>
      <c r="M85" s="105" t="s">
        <v>30</v>
      </c>
      <c r="N85" s="106" t="s">
        <v>82</v>
      </c>
      <c r="O85" s="106" t="s">
        <v>111</v>
      </c>
      <c r="P85" s="106"/>
      <c r="Q85" s="105" t="s">
        <v>30</v>
      </c>
      <c r="R85" s="106" t="s">
        <v>82</v>
      </c>
      <c r="S85" s="106" t="s">
        <v>112</v>
      </c>
      <c r="T85" s="107">
        <v>46164</v>
      </c>
      <c r="U85" s="108"/>
      <c r="V85" s="109"/>
      <c r="W85" s="110"/>
      <c r="X85" s="69"/>
      <c r="Y85" s="69"/>
      <c r="Z85" s="69"/>
      <c r="AA85" s="69"/>
      <c r="AB85" s="69"/>
      <c r="AC85" s="69"/>
    </row>
    <row r="86" ht="60.75" customHeight="1">
      <c r="A86" s="104">
        <v>74</v>
      </c>
      <c r="B86" s="55"/>
      <c r="C86" s="55"/>
      <c r="D86" s="104"/>
      <c r="E86" s="104"/>
      <c r="F86" s="105" t="s">
        <v>126</v>
      </c>
      <c r="G86" s="105" t="s">
        <v>393</v>
      </c>
      <c r="H86" s="106" t="s">
        <v>394</v>
      </c>
      <c r="I86" s="106"/>
      <c r="J86" s="106" t="s">
        <v>364</v>
      </c>
      <c r="K86" s="106" t="s">
        <v>374</v>
      </c>
      <c r="L86" s="106"/>
      <c r="M86" s="105" t="s">
        <v>30</v>
      </c>
      <c r="N86" s="106" t="s">
        <v>82</v>
      </c>
      <c r="O86" s="106" t="s">
        <v>111</v>
      </c>
      <c r="P86" s="106"/>
      <c r="Q86" s="105" t="s">
        <v>30</v>
      </c>
      <c r="R86" s="106" t="s">
        <v>82</v>
      </c>
      <c r="S86" s="106" t="s">
        <v>112</v>
      </c>
      <c r="T86" s="107">
        <v>46164</v>
      </c>
      <c r="U86" s="108"/>
      <c r="V86" s="109"/>
      <c r="W86" s="110"/>
      <c r="X86" s="69"/>
      <c r="Y86" s="69"/>
      <c r="Z86" s="69"/>
      <c r="AA86" s="69"/>
      <c r="AB86" s="69"/>
      <c r="AC86" s="69"/>
    </row>
    <row r="87" ht="60.75" customHeight="1">
      <c r="A87" s="104">
        <v>75</v>
      </c>
      <c r="B87" s="55"/>
      <c r="C87" s="55"/>
      <c r="D87" s="104"/>
      <c r="E87" s="104"/>
      <c r="F87" s="105" t="s">
        <v>126</v>
      </c>
      <c r="G87" s="105" t="s">
        <v>395</v>
      </c>
      <c r="H87" s="106" t="s">
        <v>396</v>
      </c>
      <c r="I87" s="106"/>
      <c r="J87" s="106" t="s">
        <v>397</v>
      </c>
      <c r="K87" s="106" t="s">
        <v>398</v>
      </c>
      <c r="L87" s="106"/>
      <c r="M87" s="105" t="s">
        <v>30</v>
      </c>
      <c r="N87" s="106" t="s">
        <v>82</v>
      </c>
      <c r="O87" s="106" t="s">
        <v>111</v>
      </c>
      <c r="P87" s="106"/>
      <c r="Q87" s="105" t="s">
        <v>30</v>
      </c>
      <c r="R87" s="106" t="s">
        <v>82</v>
      </c>
      <c r="S87" s="106" t="s">
        <v>112</v>
      </c>
      <c r="T87" s="107">
        <v>46164</v>
      </c>
      <c r="U87" s="108"/>
      <c r="V87" s="109"/>
      <c r="W87" s="110"/>
      <c r="X87" s="69"/>
      <c r="Y87" s="69"/>
      <c r="Z87" s="69"/>
      <c r="AA87" s="69"/>
      <c r="AB87" s="69"/>
      <c r="AC87" s="69"/>
    </row>
    <row r="88" ht="60.75" customHeight="1">
      <c r="A88" s="104">
        <v>76</v>
      </c>
      <c r="B88" s="55"/>
      <c r="C88" s="55"/>
      <c r="D88" s="104"/>
      <c r="E88" s="104"/>
      <c r="F88" s="105" t="s">
        <v>126</v>
      </c>
      <c r="G88" s="105" t="s">
        <v>399</v>
      </c>
      <c r="H88" s="106" t="s">
        <v>400</v>
      </c>
      <c r="I88" s="106"/>
      <c r="J88" s="106" t="s">
        <v>401</v>
      </c>
      <c r="K88" s="106" t="s">
        <v>402</v>
      </c>
      <c r="L88" s="106"/>
      <c r="M88" s="105" t="s">
        <v>30</v>
      </c>
      <c r="N88" s="106" t="s">
        <v>82</v>
      </c>
      <c r="O88" s="106" t="s">
        <v>111</v>
      </c>
      <c r="P88" s="106"/>
      <c r="Q88" s="105" t="s">
        <v>30</v>
      </c>
      <c r="R88" s="106" t="s">
        <v>82</v>
      </c>
      <c r="S88" s="106" t="s">
        <v>112</v>
      </c>
      <c r="T88" s="107">
        <v>46164</v>
      </c>
      <c r="U88" s="108"/>
      <c r="V88" s="109"/>
      <c r="W88" s="110"/>
      <c r="X88" s="69"/>
      <c r="Y88" s="69"/>
      <c r="Z88" s="69"/>
      <c r="AA88" s="69"/>
      <c r="AB88" s="69"/>
      <c r="AC88" s="69"/>
    </row>
    <row r="89" ht="60.75" customHeight="1">
      <c r="A89" s="104">
        <v>77</v>
      </c>
      <c r="B89" s="55"/>
      <c r="C89" s="55"/>
      <c r="D89" s="104"/>
      <c r="E89" s="104"/>
      <c r="F89" s="105" t="s">
        <v>126</v>
      </c>
      <c r="G89" s="105" t="s">
        <v>403</v>
      </c>
      <c r="H89" s="106" t="s">
        <v>404</v>
      </c>
      <c r="I89" s="106"/>
      <c r="J89" s="106" t="s">
        <v>405</v>
      </c>
      <c r="K89" s="106" t="s">
        <v>406</v>
      </c>
      <c r="L89" s="106"/>
      <c r="M89" s="105" t="s">
        <v>30</v>
      </c>
      <c r="N89" s="106" t="s">
        <v>82</v>
      </c>
      <c r="O89" s="106" t="s">
        <v>111</v>
      </c>
      <c r="P89" s="106"/>
      <c r="Q89" s="105" t="s">
        <v>30</v>
      </c>
      <c r="R89" s="106" t="s">
        <v>82</v>
      </c>
      <c r="S89" s="106" t="s">
        <v>112</v>
      </c>
      <c r="T89" s="107">
        <v>46164</v>
      </c>
      <c r="U89" s="108"/>
      <c r="V89" s="109"/>
      <c r="W89" s="110"/>
      <c r="X89" s="69"/>
      <c r="Y89" s="69"/>
      <c r="Z89" s="69"/>
      <c r="AA89" s="69"/>
      <c r="AB89" s="69"/>
      <c r="AC89" s="69"/>
    </row>
    <row r="90" ht="60.75" customHeight="1">
      <c r="A90" s="104">
        <v>78</v>
      </c>
      <c r="B90" s="55"/>
      <c r="C90" s="14"/>
      <c r="D90" s="104"/>
      <c r="E90" s="104"/>
      <c r="F90" s="105" t="s">
        <v>126</v>
      </c>
      <c r="G90" s="105" t="s">
        <v>407</v>
      </c>
      <c r="H90" s="106" t="s">
        <v>408</v>
      </c>
      <c r="I90" s="106"/>
      <c r="J90" s="106" t="s">
        <v>409</v>
      </c>
      <c r="K90" s="106" t="s">
        <v>410</v>
      </c>
      <c r="L90" s="106"/>
      <c r="M90" s="105" t="s">
        <v>30</v>
      </c>
      <c r="N90" s="106" t="s">
        <v>82</v>
      </c>
      <c r="O90" s="106" t="s">
        <v>111</v>
      </c>
      <c r="P90" s="106"/>
      <c r="Q90" s="105" t="s">
        <v>30</v>
      </c>
      <c r="R90" s="106" t="s">
        <v>82</v>
      </c>
      <c r="S90" s="106" t="s">
        <v>112</v>
      </c>
      <c r="T90" s="107">
        <v>46164</v>
      </c>
      <c r="U90" s="108"/>
      <c r="V90" s="109"/>
      <c r="W90" s="110"/>
      <c r="X90" s="69"/>
      <c r="Y90" s="69"/>
      <c r="Z90" s="69"/>
      <c r="AA90" s="69"/>
      <c r="AB90" s="69"/>
      <c r="AC90" s="69"/>
    </row>
    <row r="91" ht="45" customHeight="1">
      <c r="A91" s="104">
        <v>79</v>
      </c>
      <c r="B91" s="55"/>
      <c r="C91" s="106" t="s">
        <v>411</v>
      </c>
      <c r="D91" s="106" t="s">
        <v>412</v>
      </c>
      <c r="E91" s="104"/>
      <c r="F91" s="105" t="s">
        <v>106</v>
      </c>
      <c r="G91" s="105" t="s">
        <v>413</v>
      </c>
      <c r="H91" s="106" t="s">
        <v>414</v>
      </c>
      <c r="I91" s="106"/>
      <c r="J91" s="106" t="s">
        <v>415</v>
      </c>
      <c r="K91" s="106" t="s">
        <v>416</v>
      </c>
      <c r="L91" s="106"/>
      <c r="M91" s="105" t="s">
        <v>32</v>
      </c>
      <c r="N91" s="106" t="s">
        <v>82</v>
      </c>
      <c r="O91" s="106" t="s">
        <v>111</v>
      </c>
      <c r="P91" s="106"/>
      <c r="Q91" s="105" t="s">
        <v>30</v>
      </c>
      <c r="R91" s="106" t="s">
        <v>82</v>
      </c>
      <c r="S91" s="106" t="s">
        <v>112</v>
      </c>
      <c r="T91" s="107">
        <v>46164</v>
      </c>
      <c r="U91" s="108"/>
      <c r="V91" s="109"/>
      <c r="W91" s="110"/>
      <c r="X91" s="69"/>
      <c r="Y91" s="69"/>
      <c r="Z91" s="69"/>
      <c r="AA91" s="69"/>
      <c r="AB91" s="69"/>
      <c r="AC91" s="69"/>
    </row>
    <row r="92" ht="84.75" customHeight="1">
      <c r="A92" s="104">
        <v>80</v>
      </c>
      <c r="B92" s="55"/>
      <c r="C92" s="55"/>
      <c r="D92" s="55"/>
      <c r="E92" s="104"/>
      <c r="F92" s="105" t="s">
        <v>106</v>
      </c>
      <c r="G92" s="105" t="s">
        <v>417</v>
      </c>
      <c r="H92" s="106" t="s">
        <v>418</v>
      </c>
      <c r="I92" s="106"/>
      <c r="J92" s="106" t="s">
        <v>419</v>
      </c>
      <c r="K92" s="106" t="s">
        <v>420</v>
      </c>
      <c r="L92" s="106"/>
      <c r="M92" s="105" t="s">
        <v>32</v>
      </c>
      <c r="N92" s="106" t="s">
        <v>82</v>
      </c>
      <c r="O92" s="106" t="s">
        <v>111</v>
      </c>
      <c r="P92" s="106"/>
      <c r="Q92" s="105" t="s">
        <v>30</v>
      </c>
      <c r="R92" s="106" t="s">
        <v>82</v>
      </c>
      <c r="S92" s="106" t="s">
        <v>112</v>
      </c>
      <c r="T92" s="107">
        <v>46164</v>
      </c>
      <c r="U92" s="108"/>
      <c r="V92" s="109"/>
      <c r="W92" s="110"/>
      <c r="X92" s="69"/>
      <c r="Y92" s="69"/>
      <c r="Z92" s="69"/>
      <c r="AA92" s="69"/>
      <c r="AB92" s="69"/>
      <c r="AC92" s="69"/>
    </row>
    <row r="93" ht="45" customHeight="1">
      <c r="A93" s="104">
        <v>81</v>
      </c>
      <c r="B93" s="55"/>
      <c r="C93" s="55"/>
      <c r="D93" s="55"/>
      <c r="E93" s="104"/>
      <c r="F93" s="105" t="s">
        <v>106</v>
      </c>
      <c r="G93" s="105" t="s">
        <v>421</v>
      </c>
      <c r="H93" s="111" t="s">
        <v>422</v>
      </c>
      <c r="I93" s="106"/>
      <c r="J93" s="106" t="s">
        <v>423</v>
      </c>
      <c r="K93" s="111" t="s">
        <v>424</v>
      </c>
      <c r="L93" s="106"/>
      <c r="M93" s="105" t="s">
        <v>31</v>
      </c>
      <c r="N93" s="106" t="s">
        <v>82</v>
      </c>
      <c r="O93" s="106" t="s">
        <v>111</v>
      </c>
      <c r="P93" s="106">
        <v>1</v>
      </c>
      <c r="Q93" s="105" t="s">
        <v>30</v>
      </c>
      <c r="R93" s="106" t="s">
        <v>82</v>
      </c>
      <c r="S93" s="106" t="s">
        <v>112</v>
      </c>
      <c r="T93" s="107">
        <v>46164</v>
      </c>
      <c r="U93" s="108"/>
      <c r="V93" s="109"/>
      <c r="W93" s="117" t="s">
        <v>425</v>
      </c>
      <c r="X93" s="69"/>
      <c r="Y93" s="69"/>
      <c r="Z93" s="69"/>
      <c r="AA93" s="69"/>
      <c r="AB93" s="69"/>
      <c r="AC93" s="69"/>
    </row>
    <row r="94" ht="45" customHeight="1">
      <c r="A94" s="104">
        <v>82</v>
      </c>
      <c r="B94" s="55"/>
      <c r="C94" s="55"/>
      <c r="D94" s="55"/>
      <c r="E94" s="104"/>
      <c r="F94" s="105" t="s">
        <v>106</v>
      </c>
      <c r="G94" s="105" t="s">
        <v>426</v>
      </c>
      <c r="H94" s="111" t="s">
        <v>427</v>
      </c>
      <c r="I94" s="106"/>
      <c r="J94" s="106" t="s">
        <v>428</v>
      </c>
      <c r="K94" s="111" t="s">
        <v>429</v>
      </c>
      <c r="L94" s="106"/>
      <c r="M94" s="105" t="s">
        <v>32</v>
      </c>
      <c r="N94" s="106" t="s">
        <v>82</v>
      </c>
      <c r="O94" s="106" t="s">
        <v>111</v>
      </c>
      <c r="P94" s="106"/>
      <c r="Q94" s="105" t="s">
        <v>30</v>
      </c>
      <c r="R94" s="106" t="s">
        <v>82</v>
      </c>
      <c r="S94" s="106" t="s">
        <v>112</v>
      </c>
      <c r="T94" s="107">
        <v>46164</v>
      </c>
      <c r="U94" s="108"/>
      <c r="V94" s="109"/>
      <c r="W94" s="117" t="s">
        <v>430</v>
      </c>
      <c r="X94" s="69"/>
      <c r="Y94" s="69"/>
      <c r="Z94" s="69"/>
      <c r="AA94" s="69"/>
      <c r="AB94" s="69"/>
      <c r="AC94" s="69"/>
    </row>
    <row r="95" ht="45" customHeight="1">
      <c r="A95" s="104">
        <v>83</v>
      </c>
      <c r="B95" s="55"/>
      <c r="C95" s="55"/>
      <c r="D95" s="14"/>
      <c r="E95" s="104"/>
      <c r="F95" s="105" t="s">
        <v>126</v>
      </c>
      <c r="G95" s="105" t="s">
        <v>431</v>
      </c>
      <c r="H95" s="106" t="s">
        <v>432</v>
      </c>
      <c r="I95" s="106"/>
      <c r="J95" s="106" t="s">
        <v>433</v>
      </c>
      <c r="K95" s="106" t="s">
        <v>434</v>
      </c>
      <c r="L95" s="106"/>
      <c r="M95" s="105" t="s">
        <v>32</v>
      </c>
      <c r="N95" s="106" t="s">
        <v>82</v>
      </c>
      <c r="O95" s="106" t="s">
        <v>111</v>
      </c>
      <c r="P95" s="106"/>
      <c r="Q95" s="105" t="s">
        <v>30</v>
      </c>
      <c r="R95" s="106" t="s">
        <v>82</v>
      </c>
      <c r="S95" s="106" t="s">
        <v>112</v>
      </c>
      <c r="T95" s="107">
        <v>46164</v>
      </c>
      <c r="U95" s="108"/>
      <c r="V95" s="109"/>
      <c r="W95" s="110"/>
      <c r="X95" s="69"/>
      <c r="Y95" s="69"/>
      <c r="Z95" s="69"/>
      <c r="AA95" s="69"/>
      <c r="AB95" s="69"/>
      <c r="AC95" s="69"/>
    </row>
    <row r="96" ht="96" customHeight="1">
      <c r="A96" s="104">
        <v>84</v>
      </c>
      <c r="B96" s="55"/>
      <c r="C96" s="55"/>
      <c r="D96" s="106" t="s">
        <v>435</v>
      </c>
      <c r="E96" s="106" t="s">
        <v>436</v>
      </c>
      <c r="F96" s="105" t="s">
        <v>106</v>
      </c>
      <c r="G96" s="105" t="s">
        <v>437</v>
      </c>
      <c r="H96" s="111" t="s">
        <v>438</v>
      </c>
      <c r="I96" s="106"/>
      <c r="J96" s="106" t="s">
        <v>439</v>
      </c>
      <c r="K96" s="111" t="s">
        <v>440</v>
      </c>
      <c r="L96" s="106"/>
      <c r="M96" s="105" t="s">
        <v>31</v>
      </c>
      <c r="N96" s="106" t="s">
        <v>82</v>
      </c>
      <c r="O96" s="106" t="s">
        <v>111</v>
      </c>
      <c r="P96" s="106" t="s">
        <v>441</v>
      </c>
      <c r="Q96" s="105" t="s">
        <v>30</v>
      </c>
      <c r="R96" s="106" t="s">
        <v>82</v>
      </c>
      <c r="S96" s="106" t="s">
        <v>442</v>
      </c>
      <c r="T96" s="107">
        <v>46177</v>
      </c>
      <c r="U96" s="108"/>
      <c r="V96" s="109"/>
      <c r="W96" s="117" t="s">
        <v>443</v>
      </c>
      <c r="X96" s="69"/>
      <c r="Y96" s="69"/>
      <c r="Z96" s="69"/>
      <c r="AA96" s="69"/>
      <c r="AB96" s="69"/>
      <c r="AC96" s="69"/>
    </row>
    <row r="97" ht="45" customHeight="1">
      <c r="A97" s="104">
        <v>85</v>
      </c>
      <c r="B97" s="55"/>
      <c r="C97" s="55"/>
      <c r="D97" s="55"/>
      <c r="E97" s="55"/>
      <c r="F97" s="105" t="s">
        <v>106</v>
      </c>
      <c r="G97" s="105" t="s">
        <v>444</v>
      </c>
      <c r="H97" s="111" t="s">
        <v>445</v>
      </c>
      <c r="I97" s="106"/>
      <c r="J97" s="106" t="s">
        <v>446</v>
      </c>
      <c r="K97" s="111" t="s">
        <v>447</v>
      </c>
      <c r="L97" s="106"/>
      <c r="M97" s="105" t="s">
        <v>32</v>
      </c>
      <c r="N97" s="106" t="s">
        <v>82</v>
      </c>
      <c r="O97" s="106" t="s">
        <v>111</v>
      </c>
      <c r="P97" s="106"/>
      <c r="Q97" s="105" t="s">
        <v>30</v>
      </c>
      <c r="R97" s="106" t="s">
        <v>82</v>
      </c>
      <c r="S97" s="106" t="s">
        <v>442</v>
      </c>
      <c r="T97" s="107">
        <v>46177</v>
      </c>
      <c r="U97" s="108"/>
      <c r="V97" s="109"/>
      <c r="W97" s="117" t="s">
        <v>448</v>
      </c>
      <c r="X97" s="69"/>
      <c r="Y97" s="69"/>
      <c r="Z97" s="69"/>
      <c r="AA97" s="69"/>
      <c r="AB97" s="69"/>
      <c r="AC97" s="69"/>
    </row>
    <row r="98" ht="45" customHeight="1">
      <c r="A98" s="104">
        <v>86</v>
      </c>
      <c r="B98" s="55"/>
      <c r="C98" s="55"/>
      <c r="D98" s="55"/>
      <c r="E98" s="55"/>
      <c r="F98" s="105" t="s">
        <v>106</v>
      </c>
      <c r="G98" s="105" t="s">
        <v>449</v>
      </c>
      <c r="H98" s="111" t="s">
        <v>450</v>
      </c>
      <c r="I98" s="106"/>
      <c r="J98" s="106" t="s">
        <v>451</v>
      </c>
      <c r="K98" s="111" t="s">
        <v>452</v>
      </c>
      <c r="L98" s="106"/>
      <c r="M98" s="105" t="s">
        <v>32</v>
      </c>
      <c r="N98" s="106" t="s">
        <v>82</v>
      </c>
      <c r="O98" s="106" t="s">
        <v>111</v>
      </c>
      <c r="P98" s="106"/>
      <c r="Q98" s="105" t="s">
        <v>30</v>
      </c>
      <c r="R98" s="106" t="s">
        <v>82</v>
      </c>
      <c r="S98" s="106" t="s">
        <v>442</v>
      </c>
      <c r="T98" s="107">
        <v>46177</v>
      </c>
      <c r="U98" s="108"/>
      <c r="V98" s="109"/>
      <c r="W98" s="117" t="s">
        <v>453</v>
      </c>
      <c r="X98" s="69"/>
      <c r="Y98" s="69"/>
      <c r="Z98" s="69"/>
      <c r="AA98" s="69"/>
      <c r="AB98" s="69"/>
      <c r="AC98" s="69"/>
    </row>
    <row r="99" ht="45" customHeight="1">
      <c r="A99" s="104">
        <v>87</v>
      </c>
      <c r="B99" s="55"/>
      <c r="C99" s="55"/>
      <c r="D99" s="55"/>
      <c r="E99" s="55"/>
      <c r="F99" s="105" t="s">
        <v>106</v>
      </c>
      <c r="G99" s="105" t="s">
        <v>454</v>
      </c>
      <c r="H99" s="106" t="s">
        <v>455</v>
      </c>
      <c r="I99" s="106"/>
      <c r="J99" s="106" t="s">
        <v>456</v>
      </c>
      <c r="K99" s="106" t="s">
        <v>457</v>
      </c>
      <c r="L99" s="106"/>
      <c r="M99" s="105" t="s">
        <v>32</v>
      </c>
      <c r="N99" s="106" t="s">
        <v>82</v>
      </c>
      <c r="O99" s="106" t="s">
        <v>111</v>
      </c>
      <c r="P99" s="106"/>
      <c r="Q99" s="105" t="s">
        <v>30</v>
      </c>
      <c r="R99" s="106" t="s">
        <v>82</v>
      </c>
      <c r="S99" s="106" t="s">
        <v>225</v>
      </c>
      <c r="T99" s="118">
        <v>46183</v>
      </c>
      <c r="U99" s="108"/>
      <c r="V99" s="109"/>
      <c r="W99" s="110"/>
      <c r="X99" s="69"/>
      <c r="Y99" s="69"/>
      <c r="Z99" s="69"/>
      <c r="AA99" s="69"/>
      <c r="AB99" s="69"/>
      <c r="AC99" s="69"/>
    </row>
    <row r="100" ht="45" customHeight="1">
      <c r="A100" s="104">
        <v>88</v>
      </c>
      <c r="B100" s="55"/>
      <c r="C100" s="55"/>
      <c r="D100" s="55"/>
      <c r="E100" s="55"/>
      <c r="F100" s="105" t="s">
        <v>106</v>
      </c>
      <c r="G100" s="105" t="s">
        <v>458</v>
      </c>
      <c r="H100" s="106" t="s">
        <v>459</v>
      </c>
      <c r="I100" s="106"/>
      <c r="J100" s="106" t="s">
        <v>460</v>
      </c>
      <c r="K100" s="106" t="s">
        <v>457</v>
      </c>
      <c r="L100" s="106"/>
      <c r="M100" s="105" t="s">
        <v>32</v>
      </c>
      <c r="N100" s="106" t="s">
        <v>82</v>
      </c>
      <c r="O100" s="106" t="s">
        <v>111</v>
      </c>
      <c r="P100" s="106"/>
      <c r="Q100" s="105" t="s">
        <v>30</v>
      </c>
      <c r="R100" s="106" t="s">
        <v>82</v>
      </c>
      <c r="S100" s="106" t="s">
        <v>225</v>
      </c>
      <c r="T100" s="118">
        <v>46183</v>
      </c>
      <c r="U100" s="108"/>
      <c r="V100" s="109"/>
      <c r="W100" s="110"/>
      <c r="X100" s="69"/>
      <c r="Y100" s="69"/>
      <c r="Z100" s="69"/>
      <c r="AA100" s="69"/>
      <c r="AB100" s="69"/>
      <c r="AC100" s="69"/>
    </row>
    <row r="101" ht="45" customHeight="1">
      <c r="A101" s="104">
        <v>89</v>
      </c>
      <c r="B101" s="55"/>
      <c r="C101" s="55"/>
      <c r="D101" s="55"/>
      <c r="E101" s="55"/>
      <c r="F101" s="105" t="s">
        <v>106</v>
      </c>
      <c r="G101" s="105" t="s">
        <v>461</v>
      </c>
      <c r="H101" s="106" t="s">
        <v>462</v>
      </c>
      <c r="I101" s="106"/>
      <c r="J101" s="106" t="s">
        <v>463</v>
      </c>
      <c r="K101" s="106" t="s">
        <v>457</v>
      </c>
      <c r="L101" s="106"/>
      <c r="M101" s="105" t="s">
        <v>32</v>
      </c>
      <c r="N101" s="106" t="s">
        <v>82</v>
      </c>
      <c r="O101" s="106" t="s">
        <v>111</v>
      </c>
      <c r="P101" s="106"/>
      <c r="Q101" s="105" t="s">
        <v>30</v>
      </c>
      <c r="R101" s="106" t="s">
        <v>82</v>
      </c>
      <c r="S101" s="106" t="s">
        <v>225</v>
      </c>
      <c r="T101" s="118">
        <v>46183</v>
      </c>
      <c r="U101" s="108"/>
      <c r="V101" s="109"/>
      <c r="W101" s="110"/>
      <c r="X101" s="69"/>
      <c r="Y101" s="69"/>
      <c r="Z101" s="69"/>
      <c r="AA101" s="69"/>
      <c r="AB101" s="69"/>
      <c r="AC101" s="69"/>
    </row>
    <row r="102" ht="66" customHeight="1">
      <c r="A102" s="104">
        <v>90</v>
      </c>
      <c r="B102" s="55"/>
      <c r="C102" s="55"/>
      <c r="D102" s="55"/>
      <c r="E102" s="55"/>
      <c r="F102" s="105" t="s">
        <v>106</v>
      </c>
      <c r="G102" s="105" t="s">
        <v>464</v>
      </c>
      <c r="H102" s="106" t="s">
        <v>465</v>
      </c>
      <c r="I102" s="106"/>
      <c r="J102" s="106" t="s">
        <v>466</v>
      </c>
      <c r="K102" s="106" t="s">
        <v>457</v>
      </c>
      <c r="L102" s="106"/>
      <c r="M102" s="105" t="s">
        <v>32</v>
      </c>
      <c r="N102" s="106" t="s">
        <v>82</v>
      </c>
      <c r="O102" s="106" t="s">
        <v>111</v>
      </c>
      <c r="P102" s="106"/>
      <c r="Q102" s="105" t="s">
        <v>30</v>
      </c>
      <c r="R102" s="106" t="s">
        <v>82</v>
      </c>
      <c r="S102" s="106" t="s">
        <v>225</v>
      </c>
      <c r="T102" s="118">
        <v>46183</v>
      </c>
      <c r="U102" s="108"/>
      <c r="V102" s="109"/>
      <c r="W102" s="110"/>
      <c r="X102" s="69"/>
      <c r="Y102" s="69"/>
      <c r="Z102" s="69"/>
      <c r="AA102" s="69"/>
      <c r="AB102" s="69"/>
      <c r="AC102" s="69"/>
    </row>
    <row r="103" ht="66" customHeight="1">
      <c r="A103" s="104">
        <v>91</v>
      </c>
      <c r="B103" s="55"/>
      <c r="C103" s="55"/>
      <c r="D103" s="55"/>
      <c r="E103" s="14"/>
      <c r="F103" s="105" t="s">
        <v>106</v>
      </c>
      <c r="G103" s="105" t="s">
        <v>467</v>
      </c>
      <c r="H103" s="106" t="s">
        <v>468</v>
      </c>
      <c r="I103" s="106"/>
      <c r="J103" s="106" t="s">
        <v>469</v>
      </c>
      <c r="K103" s="106" t="s">
        <v>457</v>
      </c>
      <c r="L103" s="106"/>
      <c r="M103" s="105" t="s">
        <v>32</v>
      </c>
      <c r="N103" s="106" t="s">
        <v>82</v>
      </c>
      <c r="O103" s="106" t="s">
        <v>111</v>
      </c>
      <c r="P103" s="106"/>
      <c r="Q103" s="105" t="s">
        <v>30</v>
      </c>
      <c r="R103" s="106" t="s">
        <v>82</v>
      </c>
      <c r="S103" s="106" t="s">
        <v>225</v>
      </c>
      <c r="T103" s="118">
        <v>46183</v>
      </c>
      <c r="U103" s="108"/>
      <c r="V103" s="109"/>
      <c r="W103" s="110"/>
      <c r="X103" s="69"/>
      <c r="Y103" s="69"/>
      <c r="Z103" s="69"/>
      <c r="AA103" s="69"/>
      <c r="AB103" s="69"/>
      <c r="AC103" s="69"/>
    </row>
    <row r="104" ht="96" customHeight="1">
      <c r="A104" s="104">
        <v>92</v>
      </c>
      <c r="B104" s="55"/>
      <c r="C104" s="55"/>
      <c r="D104" s="55"/>
      <c r="E104" s="106" t="s">
        <v>470</v>
      </c>
      <c r="F104" s="105" t="s">
        <v>106</v>
      </c>
      <c r="G104" s="105" t="s">
        <v>471</v>
      </c>
      <c r="H104" s="111" t="s">
        <v>472</v>
      </c>
      <c r="I104" s="106"/>
      <c r="J104" s="106" t="s">
        <v>473</v>
      </c>
      <c r="K104" s="111" t="s">
        <v>440</v>
      </c>
      <c r="L104" s="106"/>
      <c r="M104" s="105" t="s">
        <v>31</v>
      </c>
      <c r="N104" s="106" t="s">
        <v>82</v>
      </c>
      <c r="O104" s="106" t="s">
        <v>111</v>
      </c>
      <c r="P104" s="106" t="s">
        <v>441</v>
      </c>
      <c r="Q104" s="105" t="s">
        <v>30</v>
      </c>
      <c r="R104" s="106" t="s">
        <v>82</v>
      </c>
      <c r="S104" s="106" t="s">
        <v>442</v>
      </c>
      <c r="T104" s="107">
        <v>46177</v>
      </c>
      <c r="U104" s="108"/>
      <c r="V104" s="109"/>
      <c r="W104" s="117" t="s">
        <v>443</v>
      </c>
      <c r="X104" s="69"/>
      <c r="Y104" s="69"/>
      <c r="Z104" s="69"/>
      <c r="AA104" s="69"/>
      <c r="AB104" s="69"/>
      <c r="AC104" s="69"/>
    </row>
    <row r="105" ht="45" customHeight="1">
      <c r="A105" s="104">
        <v>93</v>
      </c>
      <c r="B105" s="55"/>
      <c r="C105" s="55"/>
      <c r="D105" s="55"/>
      <c r="E105" s="55"/>
      <c r="F105" s="105" t="s">
        <v>106</v>
      </c>
      <c r="G105" s="105" t="s">
        <v>474</v>
      </c>
      <c r="H105" s="111" t="s">
        <v>475</v>
      </c>
      <c r="I105" s="106"/>
      <c r="J105" s="106" t="s">
        <v>476</v>
      </c>
      <c r="K105" s="111" t="s">
        <v>447</v>
      </c>
      <c r="L105" s="106"/>
      <c r="M105" s="105" t="s">
        <v>32</v>
      </c>
      <c r="N105" s="106" t="s">
        <v>82</v>
      </c>
      <c r="O105" s="106" t="s">
        <v>111</v>
      </c>
      <c r="P105" s="106"/>
      <c r="Q105" s="105" t="s">
        <v>30</v>
      </c>
      <c r="R105" s="106" t="s">
        <v>82</v>
      </c>
      <c r="S105" s="106" t="s">
        <v>442</v>
      </c>
      <c r="T105" s="107">
        <v>46177</v>
      </c>
      <c r="U105" s="108"/>
      <c r="V105" s="109"/>
      <c r="W105" s="117" t="s">
        <v>448</v>
      </c>
      <c r="X105" s="69"/>
      <c r="Y105" s="69"/>
      <c r="Z105" s="69"/>
      <c r="AA105" s="69"/>
      <c r="AB105" s="69"/>
      <c r="AC105" s="69"/>
    </row>
    <row r="106" ht="45" customHeight="1">
      <c r="A106" s="104">
        <v>94</v>
      </c>
      <c r="B106" s="55"/>
      <c r="C106" s="55"/>
      <c r="D106" s="55"/>
      <c r="E106" s="55"/>
      <c r="F106" s="105" t="s">
        <v>106</v>
      </c>
      <c r="G106" s="105" t="s">
        <v>477</v>
      </c>
      <c r="H106" s="111" t="s">
        <v>478</v>
      </c>
      <c r="I106" s="106"/>
      <c r="J106" s="106" t="s">
        <v>479</v>
      </c>
      <c r="K106" s="111" t="s">
        <v>452</v>
      </c>
      <c r="L106" s="106"/>
      <c r="M106" s="105" t="s">
        <v>32</v>
      </c>
      <c r="N106" s="106" t="s">
        <v>82</v>
      </c>
      <c r="O106" s="106" t="s">
        <v>111</v>
      </c>
      <c r="P106" s="106"/>
      <c r="Q106" s="105" t="s">
        <v>30</v>
      </c>
      <c r="R106" s="106" t="s">
        <v>82</v>
      </c>
      <c r="S106" s="106" t="s">
        <v>442</v>
      </c>
      <c r="T106" s="107">
        <v>46177</v>
      </c>
      <c r="U106" s="108"/>
      <c r="V106" s="109"/>
      <c r="W106" s="117" t="s">
        <v>453</v>
      </c>
      <c r="X106" s="69"/>
      <c r="Y106" s="69"/>
      <c r="Z106" s="69"/>
      <c r="AA106" s="69"/>
      <c r="AB106" s="69"/>
      <c r="AC106" s="69"/>
    </row>
    <row r="107" ht="45" customHeight="1">
      <c r="A107" s="104">
        <v>95</v>
      </c>
      <c r="B107" s="55"/>
      <c r="C107" s="55"/>
      <c r="D107" s="55"/>
      <c r="E107" s="55"/>
      <c r="F107" s="105" t="s">
        <v>106</v>
      </c>
      <c r="G107" s="105" t="s">
        <v>480</v>
      </c>
      <c r="H107" s="111" t="s">
        <v>481</v>
      </c>
      <c r="I107" s="106"/>
      <c r="J107" s="106" t="s">
        <v>482</v>
      </c>
      <c r="K107" s="111" t="s">
        <v>457</v>
      </c>
      <c r="L107" s="106"/>
      <c r="M107" s="105" t="s">
        <v>32</v>
      </c>
      <c r="N107" s="106" t="s">
        <v>82</v>
      </c>
      <c r="O107" s="106" t="s">
        <v>111</v>
      </c>
      <c r="P107" s="106"/>
      <c r="Q107" s="105" t="s">
        <v>30</v>
      </c>
      <c r="R107" s="106" t="s">
        <v>82</v>
      </c>
      <c r="S107" s="106" t="s">
        <v>483</v>
      </c>
      <c r="T107" s="107">
        <v>46182</v>
      </c>
      <c r="U107" s="108"/>
      <c r="V107" s="109"/>
      <c r="W107" s="110"/>
      <c r="X107" s="69"/>
      <c r="Y107" s="69"/>
      <c r="Z107" s="69"/>
      <c r="AA107" s="69"/>
      <c r="AB107" s="69"/>
      <c r="AC107" s="69"/>
    </row>
    <row r="108" ht="45" customHeight="1">
      <c r="A108" s="104">
        <v>96</v>
      </c>
      <c r="B108" s="55"/>
      <c r="C108" s="55"/>
      <c r="D108" s="55"/>
      <c r="E108" s="55"/>
      <c r="F108" s="105" t="s">
        <v>106</v>
      </c>
      <c r="G108" s="105" t="s">
        <v>484</v>
      </c>
      <c r="H108" s="111" t="s">
        <v>485</v>
      </c>
      <c r="I108" s="106"/>
      <c r="J108" s="106" t="s">
        <v>486</v>
      </c>
      <c r="K108" s="111" t="s">
        <v>457</v>
      </c>
      <c r="L108" s="106"/>
      <c r="M108" s="105" t="s">
        <v>32</v>
      </c>
      <c r="N108" s="106" t="s">
        <v>82</v>
      </c>
      <c r="O108" s="106" t="s">
        <v>111</v>
      </c>
      <c r="P108" s="106"/>
      <c r="Q108" s="105" t="s">
        <v>30</v>
      </c>
      <c r="R108" s="106" t="s">
        <v>82</v>
      </c>
      <c r="S108" s="106" t="s">
        <v>483</v>
      </c>
      <c r="T108" s="107">
        <v>46182</v>
      </c>
      <c r="U108" s="108"/>
      <c r="V108" s="109"/>
      <c r="W108" s="110"/>
      <c r="X108" s="69"/>
      <c r="Y108" s="69"/>
      <c r="Z108" s="69"/>
      <c r="AA108" s="69"/>
      <c r="AB108" s="69"/>
      <c r="AC108" s="69"/>
    </row>
    <row r="109" ht="45" customHeight="1">
      <c r="A109" s="104">
        <v>97</v>
      </c>
      <c r="B109" s="55"/>
      <c r="C109" s="55"/>
      <c r="D109" s="55"/>
      <c r="E109" s="55"/>
      <c r="F109" s="105" t="s">
        <v>106</v>
      </c>
      <c r="G109" s="105" t="s">
        <v>487</v>
      </c>
      <c r="H109" s="111" t="s">
        <v>488</v>
      </c>
      <c r="I109" s="106"/>
      <c r="J109" s="106" t="s">
        <v>489</v>
      </c>
      <c r="K109" s="111" t="s">
        <v>457</v>
      </c>
      <c r="L109" s="106"/>
      <c r="M109" s="105" t="s">
        <v>32</v>
      </c>
      <c r="N109" s="106" t="s">
        <v>82</v>
      </c>
      <c r="O109" s="106" t="s">
        <v>111</v>
      </c>
      <c r="P109" s="106"/>
      <c r="Q109" s="105" t="s">
        <v>30</v>
      </c>
      <c r="R109" s="106" t="s">
        <v>82</v>
      </c>
      <c r="S109" s="106" t="s">
        <v>483</v>
      </c>
      <c r="T109" s="107">
        <v>46182</v>
      </c>
      <c r="U109" s="108"/>
      <c r="V109" s="109"/>
      <c r="W109" s="110"/>
      <c r="X109" s="69"/>
      <c r="Y109" s="69"/>
      <c r="Z109" s="69"/>
      <c r="AA109" s="69"/>
      <c r="AB109" s="69"/>
      <c r="AC109" s="69"/>
    </row>
    <row r="110" ht="66" customHeight="1">
      <c r="A110" s="104">
        <v>98</v>
      </c>
      <c r="B110" s="55"/>
      <c r="C110" s="55"/>
      <c r="D110" s="55"/>
      <c r="E110" s="55"/>
      <c r="F110" s="105" t="s">
        <v>106</v>
      </c>
      <c r="G110" s="105" t="s">
        <v>490</v>
      </c>
      <c r="H110" s="111" t="s">
        <v>491</v>
      </c>
      <c r="I110" s="106"/>
      <c r="J110" s="106" t="s">
        <v>492</v>
      </c>
      <c r="K110" s="111" t="s">
        <v>457</v>
      </c>
      <c r="L110" s="106"/>
      <c r="M110" s="105" t="s">
        <v>32</v>
      </c>
      <c r="N110" s="106" t="s">
        <v>82</v>
      </c>
      <c r="O110" s="106" t="s">
        <v>111</v>
      </c>
      <c r="P110" s="106"/>
      <c r="Q110" s="105" t="s">
        <v>30</v>
      </c>
      <c r="R110" s="106" t="s">
        <v>82</v>
      </c>
      <c r="S110" s="106" t="s">
        <v>483</v>
      </c>
      <c r="T110" s="107">
        <v>46182</v>
      </c>
      <c r="U110" s="108"/>
      <c r="V110" s="109"/>
      <c r="W110" s="110"/>
      <c r="X110" s="69"/>
      <c r="Y110" s="69"/>
      <c r="Z110" s="69"/>
      <c r="AA110" s="69"/>
      <c r="AB110" s="69"/>
      <c r="AC110" s="69"/>
    </row>
    <row r="111" ht="66" customHeight="1">
      <c r="A111" s="104">
        <v>99</v>
      </c>
      <c r="B111" s="55"/>
      <c r="C111" s="55"/>
      <c r="D111" s="55"/>
      <c r="E111" s="14"/>
      <c r="F111" s="105" t="s">
        <v>106</v>
      </c>
      <c r="G111" s="105" t="s">
        <v>493</v>
      </c>
      <c r="H111" s="111" t="s">
        <v>494</v>
      </c>
      <c r="I111" s="106"/>
      <c r="J111" s="106" t="s">
        <v>495</v>
      </c>
      <c r="K111" s="111" t="s">
        <v>457</v>
      </c>
      <c r="L111" s="106"/>
      <c r="M111" s="105" t="s">
        <v>32</v>
      </c>
      <c r="N111" s="106" t="s">
        <v>82</v>
      </c>
      <c r="O111" s="106" t="s">
        <v>111</v>
      </c>
      <c r="P111" s="106"/>
      <c r="Q111" s="105" t="s">
        <v>30</v>
      </c>
      <c r="R111" s="106" t="s">
        <v>82</v>
      </c>
      <c r="S111" s="106" t="s">
        <v>483</v>
      </c>
      <c r="T111" s="107">
        <v>46182</v>
      </c>
      <c r="U111" s="108"/>
      <c r="V111" s="109"/>
      <c r="W111" s="110"/>
      <c r="X111" s="69"/>
      <c r="Y111" s="69"/>
      <c r="Z111" s="69"/>
      <c r="AA111" s="69"/>
      <c r="AB111" s="69"/>
      <c r="AC111" s="69"/>
    </row>
    <row r="112" ht="97.5" customHeight="1">
      <c r="A112" s="104">
        <v>100</v>
      </c>
      <c r="B112" s="55"/>
      <c r="C112" s="55"/>
      <c r="D112" s="55"/>
      <c r="E112" s="106" t="s">
        <v>496</v>
      </c>
      <c r="F112" s="105" t="s">
        <v>106</v>
      </c>
      <c r="G112" s="105" t="s">
        <v>497</v>
      </c>
      <c r="H112" s="111" t="s">
        <v>498</v>
      </c>
      <c r="I112" s="106"/>
      <c r="J112" s="106" t="s">
        <v>499</v>
      </c>
      <c r="K112" s="111" t="s">
        <v>440</v>
      </c>
      <c r="L112" s="106"/>
      <c r="M112" s="105" t="s">
        <v>31</v>
      </c>
      <c r="N112" s="106" t="s">
        <v>82</v>
      </c>
      <c r="O112" s="106" t="s">
        <v>111</v>
      </c>
      <c r="P112" s="106" t="s">
        <v>441</v>
      </c>
      <c r="Q112" s="105" t="s">
        <v>30</v>
      </c>
      <c r="R112" s="106" t="s">
        <v>82</v>
      </c>
      <c r="S112" s="106" t="s">
        <v>483</v>
      </c>
      <c r="T112" s="107">
        <v>46182</v>
      </c>
      <c r="U112" s="108"/>
      <c r="V112" s="109"/>
      <c r="W112" s="117" t="s">
        <v>500</v>
      </c>
      <c r="X112" s="69"/>
      <c r="Y112" s="69"/>
      <c r="Z112" s="69"/>
      <c r="AA112" s="69"/>
      <c r="AB112" s="69"/>
      <c r="AC112" s="69"/>
    </row>
    <row r="113" ht="61.5" customHeight="1">
      <c r="A113" s="104">
        <v>101</v>
      </c>
      <c r="B113" s="55"/>
      <c r="C113" s="55"/>
      <c r="D113" s="55"/>
      <c r="E113" s="55"/>
      <c r="F113" s="105" t="s">
        <v>106</v>
      </c>
      <c r="G113" s="105" t="s">
        <v>501</v>
      </c>
      <c r="H113" s="111" t="s">
        <v>502</v>
      </c>
      <c r="I113" s="106"/>
      <c r="J113" s="106" t="s">
        <v>503</v>
      </c>
      <c r="K113" s="111" t="s">
        <v>447</v>
      </c>
      <c r="L113" s="106"/>
      <c r="M113" s="105" t="s">
        <v>32</v>
      </c>
      <c r="N113" s="106" t="s">
        <v>82</v>
      </c>
      <c r="O113" s="106" t="s">
        <v>111</v>
      </c>
      <c r="P113" s="106"/>
      <c r="Q113" s="105" t="s">
        <v>30</v>
      </c>
      <c r="R113" s="106" t="s">
        <v>82</v>
      </c>
      <c r="S113" s="106" t="s">
        <v>483</v>
      </c>
      <c r="T113" s="107">
        <v>46182</v>
      </c>
      <c r="U113" s="108"/>
      <c r="V113" s="109"/>
      <c r="W113" s="117" t="s">
        <v>504</v>
      </c>
      <c r="X113" s="69"/>
      <c r="Y113" s="69"/>
      <c r="Z113" s="69"/>
      <c r="AA113" s="69"/>
      <c r="AB113" s="69"/>
      <c r="AC113" s="69"/>
    </row>
    <row r="114" ht="61.5" customHeight="1">
      <c r="A114" s="104">
        <v>102</v>
      </c>
      <c r="B114" s="55"/>
      <c r="C114" s="55"/>
      <c r="D114" s="55"/>
      <c r="E114" s="55"/>
      <c r="F114" s="105" t="s">
        <v>106</v>
      </c>
      <c r="G114" s="105" t="s">
        <v>505</v>
      </c>
      <c r="H114" s="111" t="s">
        <v>506</v>
      </c>
      <c r="I114" s="106"/>
      <c r="J114" s="106" t="s">
        <v>507</v>
      </c>
      <c r="K114" s="111" t="s">
        <v>452</v>
      </c>
      <c r="L114" s="106"/>
      <c r="M114" s="105" t="s">
        <v>32</v>
      </c>
      <c r="N114" s="106" t="s">
        <v>82</v>
      </c>
      <c r="O114" s="106" t="s">
        <v>111</v>
      </c>
      <c r="P114" s="106"/>
      <c r="Q114" s="105" t="s">
        <v>30</v>
      </c>
      <c r="R114" s="106" t="s">
        <v>82</v>
      </c>
      <c r="S114" s="106" t="s">
        <v>483</v>
      </c>
      <c r="T114" s="107">
        <v>46182</v>
      </c>
      <c r="U114" s="108"/>
      <c r="V114" s="109"/>
      <c r="W114" s="117" t="s">
        <v>508</v>
      </c>
      <c r="X114" s="69"/>
      <c r="Y114" s="69"/>
      <c r="Z114" s="69"/>
      <c r="AA114" s="69"/>
      <c r="AB114" s="69"/>
      <c r="AC114" s="69"/>
    </row>
    <row r="115" ht="61.5" customHeight="1">
      <c r="A115" s="104">
        <v>103</v>
      </c>
      <c r="B115" s="55"/>
      <c r="C115" s="55"/>
      <c r="D115" s="55"/>
      <c r="E115" s="55"/>
      <c r="F115" s="105" t="s">
        <v>106</v>
      </c>
      <c r="G115" s="105" t="s">
        <v>509</v>
      </c>
      <c r="H115" s="111" t="s">
        <v>510</v>
      </c>
      <c r="I115" s="106"/>
      <c r="J115" s="106" t="s">
        <v>511</v>
      </c>
      <c r="K115" s="111" t="s">
        <v>512</v>
      </c>
      <c r="L115" s="106"/>
      <c r="M115" s="105" t="s">
        <v>32</v>
      </c>
      <c r="N115" s="106" t="s">
        <v>82</v>
      </c>
      <c r="O115" s="106" t="s">
        <v>111</v>
      </c>
      <c r="P115" s="106"/>
      <c r="Q115" s="105"/>
      <c r="R115" s="106"/>
      <c r="S115" s="106"/>
      <c r="T115" s="107"/>
      <c r="U115" s="108"/>
      <c r="V115" s="109"/>
      <c r="W115" s="117" t="s">
        <v>513</v>
      </c>
      <c r="X115" s="69"/>
      <c r="Y115" s="69"/>
      <c r="Z115" s="69"/>
      <c r="AA115" s="69"/>
      <c r="AB115" s="69"/>
      <c r="AC115" s="69"/>
    </row>
    <row r="116" ht="61.5" customHeight="1">
      <c r="A116" s="104">
        <v>104</v>
      </c>
      <c r="B116" s="55"/>
      <c r="C116" s="55"/>
      <c r="D116" s="55"/>
      <c r="E116" s="55"/>
      <c r="F116" s="105" t="s">
        <v>106</v>
      </c>
      <c r="G116" s="105" t="s">
        <v>514</v>
      </c>
      <c r="H116" s="111" t="s">
        <v>515</v>
      </c>
      <c r="I116" s="106"/>
      <c r="J116" s="106" t="s">
        <v>516</v>
      </c>
      <c r="K116" s="111" t="s">
        <v>517</v>
      </c>
      <c r="L116" s="106"/>
      <c r="M116" s="105" t="s">
        <v>32</v>
      </c>
      <c r="N116" s="106" t="s">
        <v>82</v>
      </c>
      <c r="O116" s="106" t="s">
        <v>111</v>
      </c>
      <c r="P116" s="106"/>
      <c r="Q116" s="105"/>
      <c r="R116" s="106"/>
      <c r="S116" s="106"/>
      <c r="T116" s="107"/>
      <c r="U116" s="108"/>
      <c r="V116" s="109"/>
      <c r="W116" s="117" t="s">
        <v>518</v>
      </c>
      <c r="X116" s="69"/>
      <c r="Y116" s="69"/>
      <c r="Z116" s="69"/>
      <c r="AA116" s="69"/>
      <c r="AB116" s="69"/>
      <c r="AC116" s="69"/>
    </row>
    <row r="117" ht="61.5" customHeight="1">
      <c r="A117" s="104">
        <v>105</v>
      </c>
      <c r="B117" s="55"/>
      <c r="C117" s="55"/>
      <c r="D117" s="55"/>
      <c r="E117" s="55"/>
      <c r="F117" s="105" t="s">
        <v>106</v>
      </c>
      <c r="G117" s="105" t="s">
        <v>519</v>
      </c>
      <c r="H117" s="111" t="s">
        <v>520</v>
      </c>
      <c r="I117" s="106"/>
      <c r="J117" s="106" t="s">
        <v>516</v>
      </c>
      <c r="K117" s="111" t="s">
        <v>521</v>
      </c>
      <c r="L117" s="106"/>
      <c r="M117" s="105" t="s">
        <v>32</v>
      </c>
      <c r="N117" s="106" t="s">
        <v>82</v>
      </c>
      <c r="O117" s="106" t="s">
        <v>111</v>
      </c>
      <c r="P117" s="106"/>
      <c r="Q117" s="105"/>
      <c r="R117" s="106"/>
      <c r="S117" s="106"/>
      <c r="T117" s="107"/>
      <c r="U117" s="108"/>
      <c r="V117" s="109"/>
      <c r="W117" s="117" t="s">
        <v>522</v>
      </c>
      <c r="X117" s="69"/>
      <c r="Y117" s="69"/>
      <c r="Z117" s="69"/>
      <c r="AA117" s="69"/>
      <c r="AB117" s="69"/>
      <c r="AC117" s="69"/>
    </row>
    <row r="118" ht="61.5" customHeight="1">
      <c r="A118" s="104">
        <v>106</v>
      </c>
      <c r="B118" s="55"/>
      <c r="C118" s="55"/>
      <c r="D118" s="55"/>
      <c r="E118" s="55"/>
      <c r="F118" s="105" t="s">
        <v>106</v>
      </c>
      <c r="G118" s="105" t="s">
        <v>523</v>
      </c>
      <c r="H118" s="111" t="s">
        <v>524</v>
      </c>
      <c r="I118" s="106"/>
      <c r="J118" s="106" t="s">
        <v>525</v>
      </c>
      <c r="K118" s="111" t="s">
        <v>526</v>
      </c>
      <c r="L118" s="106"/>
      <c r="M118" s="105" t="s">
        <v>32</v>
      </c>
      <c r="N118" s="106" t="s">
        <v>82</v>
      </c>
      <c r="O118" s="106" t="s">
        <v>111</v>
      </c>
      <c r="P118" s="106"/>
      <c r="Q118" s="105" t="s">
        <v>30</v>
      </c>
      <c r="R118" s="106" t="s">
        <v>82</v>
      </c>
      <c r="S118" s="106" t="s">
        <v>483</v>
      </c>
      <c r="T118" s="107">
        <v>46182</v>
      </c>
      <c r="U118" s="108"/>
      <c r="V118" s="109"/>
      <c r="W118" s="117" t="s">
        <v>527</v>
      </c>
      <c r="X118" s="69"/>
      <c r="Y118" s="69"/>
      <c r="Z118" s="69"/>
      <c r="AA118" s="69"/>
      <c r="AB118" s="69"/>
      <c r="AC118" s="69"/>
    </row>
    <row r="119" ht="61.5" customHeight="1">
      <c r="A119" s="104">
        <v>107</v>
      </c>
      <c r="B119" s="55"/>
      <c r="C119" s="55"/>
      <c r="D119" s="55"/>
      <c r="E119" s="55"/>
      <c r="F119" s="105" t="s">
        <v>106</v>
      </c>
      <c r="G119" s="105" t="s">
        <v>528</v>
      </c>
      <c r="H119" s="111" t="s">
        <v>529</v>
      </c>
      <c r="I119" s="106"/>
      <c r="J119" s="106" t="s">
        <v>530</v>
      </c>
      <c r="K119" s="111" t="s">
        <v>526</v>
      </c>
      <c r="L119" s="106"/>
      <c r="M119" s="105" t="s">
        <v>32</v>
      </c>
      <c r="N119" s="106" t="s">
        <v>82</v>
      </c>
      <c r="O119" s="106" t="s">
        <v>111</v>
      </c>
      <c r="P119" s="106"/>
      <c r="Q119" s="105" t="s">
        <v>30</v>
      </c>
      <c r="R119" s="106" t="s">
        <v>82</v>
      </c>
      <c r="S119" s="106" t="s">
        <v>483</v>
      </c>
      <c r="T119" s="107">
        <v>46182</v>
      </c>
      <c r="U119" s="108"/>
      <c r="V119" s="109"/>
      <c r="W119" s="117" t="s">
        <v>527</v>
      </c>
      <c r="X119" s="69"/>
      <c r="Y119" s="69"/>
      <c r="Z119" s="69"/>
      <c r="AA119" s="69"/>
      <c r="AB119" s="69"/>
      <c r="AC119" s="69"/>
    </row>
    <row r="120" ht="61.5" customHeight="1">
      <c r="A120" s="104">
        <v>108</v>
      </c>
      <c r="B120" s="55"/>
      <c r="C120" s="55"/>
      <c r="D120" s="55"/>
      <c r="E120" s="55"/>
      <c r="F120" s="105" t="s">
        <v>106</v>
      </c>
      <c r="G120" s="105" t="s">
        <v>531</v>
      </c>
      <c r="H120" s="111" t="s">
        <v>532</v>
      </c>
      <c r="I120" s="106"/>
      <c r="J120" s="106" t="s">
        <v>533</v>
      </c>
      <c r="K120" s="111" t="s">
        <v>526</v>
      </c>
      <c r="L120" s="106"/>
      <c r="M120" s="105" t="s">
        <v>32</v>
      </c>
      <c r="N120" s="106" t="s">
        <v>82</v>
      </c>
      <c r="O120" s="106" t="s">
        <v>111</v>
      </c>
      <c r="P120" s="106"/>
      <c r="Q120" s="105" t="s">
        <v>30</v>
      </c>
      <c r="R120" s="106" t="s">
        <v>82</v>
      </c>
      <c r="S120" s="106" t="s">
        <v>483</v>
      </c>
      <c r="T120" s="107">
        <v>46182</v>
      </c>
      <c r="U120" s="108"/>
      <c r="V120" s="109"/>
      <c r="W120" s="117" t="s">
        <v>527</v>
      </c>
      <c r="X120" s="69"/>
      <c r="Y120" s="69"/>
      <c r="Z120" s="69"/>
      <c r="AA120" s="69"/>
      <c r="AB120" s="69"/>
      <c r="AC120" s="69"/>
    </row>
    <row r="121" ht="61.5" customHeight="1">
      <c r="A121" s="104">
        <v>109</v>
      </c>
      <c r="B121" s="55"/>
      <c r="C121" s="55"/>
      <c r="D121" s="55"/>
      <c r="E121" s="55"/>
      <c r="F121" s="105" t="s">
        <v>106</v>
      </c>
      <c r="G121" s="105" t="s">
        <v>534</v>
      </c>
      <c r="H121" s="111" t="s">
        <v>535</v>
      </c>
      <c r="I121" s="106"/>
      <c r="J121" s="106" t="s">
        <v>536</v>
      </c>
      <c r="K121" s="111" t="s">
        <v>526</v>
      </c>
      <c r="L121" s="106"/>
      <c r="M121" s="105" t="s">
        <v>32</v>
      </c>
      <c r="N121" s="106" t="s">
        <v>82</v>
      </c>
      <c r="O121" s="106" t="s">
        <v>111</v>
      </c>
      <c r="P121" s="106"/>
      <c r="Q121" s="105" t="s">
        <v>30</v>
      </c>
      <c r="R121" s="106" t="s">
        <v>82</v>
      </c>
      <c r="S121" s="106" t="s">
        <v>483</v>
      </c>
      <c r="T121" s="107">
        <v>46182</v>
      </c>
      <c r="U121" s="108"/>
      <c r="V121" s="109"/>
      <c r="W121" s="117" t="s">
        <v>527</v>
      </c>
      <c r="X121" s="69"/>
      <c r="Y121" s="69"/>
      <c r="Z121" s="69"/>
      <c r="AA121" s="69"/>
      <c r="AB121" s="69"/>
      <c r="AC121" s="69"/>
    </row>
    <row r="122" ht="61.5" customHeight="1">
      <c r="A122" s="104">
        <v>110</v>
      </c>
      <c r="B122" s="55"/>
      <c r="C122" s="55"/>
      <c r="D122" s="14"/>
      <c r="E122" s="14"/>
      <c r="F122" s="105" t="s">
        <v>106</v>
      </c>
      <c r="G122" s="105" t="s">
        <v>537</v>
      </c>
      <c r="H122" s="111" t="s">
        <v>538</v>
      </c>
      <c r="I122" s="106"/>
      <c r="J122" s="106" t="s">
        <v>539</v>
      </c>
      <c r="K122" s="111" t="s">
        <v>526</v>
      </c>
      <c r="L122" s="106"/>
      <c r="M122" s="105" t="s">
        <v>32</v>
      </c>
      <c r="N122" s="106" t="s">
        <v>82</v>
      </c>
      <c r="O122" s="106" t="s">
        <v>111</v>
      </c>
      <c r="P122" s="106"/>
      <c r="Q122" s="105" t="s">
        <v>30</v>
      </c>
      <c r="R122" s="106" t="s">
        <v>82</v>
      </c>
      <c r="S122" s="106" t="s">
        <v>483</v>
      </c>
      <c r="T122" s="107">
        <v>46182</v>
      </c>
      <c r="U122" s="108"/>
      <c r="V122" s="109"/>
      <c r="W122" s="117" t="s">
        <v>527</v>
      </c>
      <c r="X122" s="69"/>
      <c r="Y122" s="69"/>
      <c r="Z122" s="69"/>
      <c r="AA122" s="69"/>
      <c r="AB122" s="69"/>
      <c r="AC122" s="69"/>
    </row>
    <row r="123" ht="84.75" customHeight="1">
      <c r="A123" s="104">
        <v>111</v>
      </c>
      <c r="B123" s="55"/>
      <c r="C123" s="55"/>
      <c r="D123" s="106" t="s">
        <v>540</v>
      </c>
      <c r="E123" s="104" t="s">
        <v>541</v>
      </c>
      <c r="F123" s="105" t="s">
        <v>106</v>
      </c>
      <c r="G123" s="105" t="s">
        <v>542</v>
      </c>
      <c r="H123" s="106" t="s">
        <v>543</v>
      </c>
      <c r="I123" s="106"/>
      <c r="J123" s="106" t="s">
        <v>544</v>
      </c>
      <c r="K123" s="106" t="s">
        <v>545</v>
      </c>
      <c r="L123" s="106"/>
      <c r="M123" s="105" t="s">
        <v>31</v>
      </c>
      <c r="N123" s="106" t="s">
        <v>82</v>
      </c>
      <c r="O123" s="106" t="s">
        <v>111</v>
      </c>
      <c r="P123" s="106" t="s">
        <v>441</v>
      </c>
      <c r="Q123" s="105" t="s">
        <v>30</v>
      </c>
      <c r="R123" s="106" t="s">
        <v>82</v>
      </c>
      <c r="S123" s="106" t="s">
        <v>483</v>
      </c>
      <c r="T123" s="107">
        <v>46182</v>
      </c>
      <c r="U123" s="108"/>
      <c r="V123" s="109"/>
      <c r="W123" s="110"/>
      <c r="X123" s="69"/>
      <c r="Y123" s="69"/>
      <c r="Z123" s="69"/>
      <c r="AA123" s="69"/>
      <c r="AB123" s="69"/>
      <c r="AC123" s="69"/>
    </row>
    <row r="124" ht="74.25" customHeight="1">
      <c r="A124" s="104">
        <v>112</v>
      </c>
      <c r="B124" s="55"/>
      <c r="C124" s="55"/>
      <c r="D124" s="55"/>
      <c r="E124" s="106" t="s">
        <v>546</v>
      </c>
      <c r="F124" s="105" t="s">
        <v>106</v>
      </c>
      <c r="G124" s="105" t="s">
        <v>547</v>
      </c>
      <c r="H124" s="111" t="s">
        <v>548</v>
      </c>
      <c r="I124" s="106"/>
      <c r="J124" s="106" t="s">
        <v>549</v>
      </c>
      <c r="K124" s="111" t="s">
        <v>440</v>
      </c>
      <c r="L124" s="106"/>
      <c r="M124" s="105" t="s">
        <v>31</v>
      </c>
      <c r="N124" s="106" t="s">
        <v>82</v>
      </c>
      <c r="O124" s="106" t="s">
        <v>111</v>
      </c>
      <c r="P124" s="106" t="s">
        <v>441</v>
      </c>
      <c r="Q124" s="105" t="s">
        <v>30</v>
      </c>
      <c r="R124" s="106" t="s">
        <v>82</v>
      </c>
      <c r="S124" s="106" t="s">
        <v>483</v>
      </c>
      <c r="T124" s="107">
        <v>46182</v>
      </c>
      <c r="U124" s="108"/>
      <c r="V124" s="109"/>
      <c r="W124" s="117" t="s">
        <v>443</v>
      </c>
      <c r="X124" s="69"/>
      <c r="Y124" s="69"/>
      <c r="Z124" s="69"/>
      <c r="AA124" s="69"/>
      <c r="AB124" s="69"/>
      <c r="AC124" s="69"/>
    </row>
    <row r="125" ht="45" customHeight="1">
      <c r="A125" s="104">
        <v>113</v>
      </c>
      <c r="B125" s="55"/>
      <c r="C125" s="55"/>
      <c r="D125" s="55"/>
      <c r="E125" s="55"/>
      <c r="F125" s="105" t="s">
        <v>106</v>
      </c>
      <c r="G125" s="105" t="s">
        <v>550</v>
      </c>
      <c r="H125" s="111" t="s">
        <v>551</v>
      </c>
      <c r="I125" s="106"/>
      <c r="J125" s="106" t="s">
        <v>552</v>
      </c>
      <c r="K125" s="111" t="s">
        <v>447</v>
      </c>
      <c r="L125" s="106"/>
      <c r="M125" s="105" t="s">
        <v>32</v>
      </c>
      <c r="N125" s="106" t="s">
        <v>82</v>
      </c>
      <c r="O125" s="106" t="s">
        <v>111</v>
      </c>
      <c r="P125" s="106"/>
      <c r="Q125" s="105" t="s">
        <v>30</v>
      </c>
      <c r="R125" s="106" t="s">
        <v>82</v>
      </c>
      <c r="S125" s="106" t="s">
        <v>483</v>
      </c>
      <c r="T125" s="107">
        <v>46182</v>
      </c>
      <c r="U125" s="108"/>
      <c r="V125" s="109"/>
      <c r="W125" s="117" t="s">
        <v>448</v>
      </c>
      <c r="X125" s="69"/>
      <c r="Y125" s="69"/>
      <c r="Z125" s="69"/>
      <c r="AA125" s="69"/>
      <c r="AB125" s="69"/>
      <c r="AC125" s="69"/>
    </row>
    <row r="126" ht="45" customHeight="1">
      <c r="A126" s="104">
        <v>114</v>
      </c>
      <c r="B126" s="55"/>
      <c r="C126" s="55"/>
      <c r="D126" s="55"/>
      <c r="E126" s="55"/>
      <c r="F126" s="105" t="s">
        <v>106</v>
      </c>
      <c r="G126" s="105" t="s">
        <v>553</v>
      </c>
      <c r="H126" s="111" t="s">
        <v>554</v>
      </c>
      <c r="I126" s="106"/>
      <c r="J126" s="106" t="s">
        <v>555</v>
      </c>
      <c r="K126" s="111" t="s">
        <v>452</v>
      </c>
      <c r="L126" s="106"/>
      <c r="M126" s="105" t="s">
        <v>32</v>
      </c>
      <c r="N126" s="106" t="s">
        <v>82</v>
      </c>
      <c r="O126" s="106" t="s">
        <v>111</v>
      </c>
      <c r="P126" s="106"/>
      <c r="Q126" s="105" t="s">
        <v>30</v>
      </c>
      <c r="R126" s="106" t="s">
        <v>82</v>
      </c>
      <c r="S126" s="106" t="s">
        <v>483</v>
      </c>
      <c r="T126" s="107">
        <v>46182</v>
      </c>
      <c r="U126" s="108"/>
      <c r="V126" s="109"/>
      <c r="W126" s="117" t="s">
        <v>453</v>
      </c>
      <c r="X126" s="69"/>
      <c r="Y126" s="69"/>
      <c r="Z126" s="69"/>
      <c r="AA126" s="69"/>
      <c r="AB126" s="69"/>
      <c r="AC126" s="69"/>
    </row>
    <row r="127" ht="50.25" customHeight="1">
      <c r="A127" s="104">
        <v>115</v>
      </c>
      <c r="B127" s="55"/>
      <c r="C127" s="55"/>
      <c r="D127" s="55"/>
      <c r="E127" s="55"/>
      <c r="F127" s="105" t="s">
        <v>106</v>
      </c>
      <c r="G127" s="105" t="s">
        <v>556</v>
      </c>
      <c r="H127" s="111" t="s">
        <v>557</v>
      </c>
      <c r="I127" s="106"/>
      <c r="J127" s="106" t="s">
        <v>558</v>
      </c>
      <c r="K127" s="111" t="s">
        <v>526</v>
      </c>
      <c r="L127" s="106"/>
      <c r="M127" s="105" t="s">
        <v>32</v>
      </c>
      <c r="N127" s="106" t="s">
        <v>82</v>
      </c>
      <c r="O127" s="106" t="s">
        <v>111</v>
      </c>
      <c r="P127" s="106"/>
      <c r="Q127" s="105" t="s">
        <v>30</v>
      </c>
      <c r="R127" s="106" t="s">
        <v>82</v>
      </c>
      <c r="S127" s="106" t="s">
        <v>483</v>
      </c>
      <c r="T127" s="107">
        <v>46182</v>
      </c>
      <c r="U127" s="108"/>
      <c r="V127" s="109"/>
      <c r="W127" s="110"/>
      <c r="X127" s="69"/>
      <c r="Y127" s="69"/>
      <c r="Z127" s="69"/>
      <c r="AA127" s="69"/>
      <c r="AB127" s="69"/>
      <c r="AC127" s="69"/>
    </row>
    <row r="128" ht="45" customHeight="1">
      <c r="A128" s="104">
        <v>116</v>
      </c>
      <c r="B128" s="55"/>
      <c r="C128" s="55"/>
      <c r="D128" s="55"/>
      <c r="E128" s="55"/>
      <c r="F128" s="105" t="s">
        <v>106</v>
      </c>
      <c r="G128" s="105" t="s">
        <v>559</v>
      </c>
      <c r="H128" s="111" t="s">
        <v>560</v>
      </c>
      <c r="I128" s="106"/>
      <c r="J128" s="106" t="s">
        <v>561</v>
      </c>
      <c r="K128" s="111" t="s">
        <v>526</v>
      </c>
      <c r="L128" s="106"/>
      <c r="M128" s="105" t="s">
        <v>32</v>
      </c>
      <c r="N128" s="106" t="s">
        <v>82</v>
      </c>
      <c r="O128" s="106" t="s">
        <v>111</v>
      </c>
      <c r="P128" s="106"/>
      <c r="Q128" s="105" t="s">
        <v>30</v>
      </c>
      <c r="R128" s="106" t="s">
        <v>82</v>
      </c>
      <c r="S128" s="106" t="s">
        <v>483</v>
      </c>
      <c r="T128" s="107">
        <v>46182</v>
      </c>
      <c r="U128" s="108"/>
      <c r="V128" s="109"/>
      <c r="W128" s="110"/>
      <c r="X128" s="69"/>
      <c r="Y128" s="69"/>
      <c r="Z128" s="69"/>
      <c r="AA128" s="69"/>
      <c r="AB128" s="69"/>
      <c r="AC128" s="69"/>
    </row>
    <row r="129" ht="45" customHeight="1">
      <c r="A129" s="104">
        <v>117</v>
      </c>
      <c r="B129" s="55"/>
      <c r="C129" s="55"/>
      <c r="D129" s="55"/>
      <c r="E129" s="55"/>
      <c r="F129" s="105" t="s">
        <v>106</v>
      </c>
      <c r="G129" s="105" t="s">
        <v>562</v>
      </c>
      <c r="H129" s="111" t="s">
        <v>563</v>
      </c>
      <c r="I129" s="106"/>
      <c r="J129" s="106" t="s">
        <v>564</v>
      </c>
      <c r="K129" s="111" t="s">
        <v>526</v>
      </c>
      <c r="L129" s="106"/>
      <c r="M129" s="105" t="s">
        <v>32</v>
      </c>
      <c r="N129" s="106" t="s">
        <v>82</v>
      </c>
      <c r="O129" s="106" t="s">
        <v>111</v>
      </c>
      <c r="P129" s="106"/>
      <c r="Q129" s="105" t="s">
        <v>30</v>
      </c>
      <c r="R129" s="106" t="s">
        <v>82</v>
      </c>
      <c r="S129" s="106" t="s">
        <v>483</v>
      </c>
      <c r="T129" s="107">
        <v>46182</v>
      </c>
      <c r="U129" s="108"/>
      <c r="V129" s="109"/>
      <c r="W129" s="110"/>
      <c r="X129" s="69"/>
      <c r="Y129" s="69"/>
      <c r="Z129" s="69"/>
      <c r="AA129" s="69"/>
      <c r="AB129" s="69"/>
      <c r="AC129" s="69"/>
    </row>
    <row r="130" ht="61.5" customHeight="1">
      <c r="A130" s="104">
        <v>118</v>
      </c>
      <c r="B130" s="55"/>
      <c r="C130" s="55"/>
      <c r="D130" s="55"/>
      <c r="E130" s="55"/>
      <c r="F130" s="105" t="s">
        <v>106</v>
      </c>
      <c r="G130" s="105" t="s">
        <v>565</v>
      </c>
      <c r="H130" s="111" t="s">
        <v>566</v>
      </c>
      <c r="I130" s="106"/>
      <c r="J130" s="106" t="s">
        <v>567</v>
      </c>
      <c r="K130" s="111" t="s">
        <v>526</v>
      </c>
      <c r="L130" s="106"/>
      <c r="M130" s="105" t="s">
        <v>32</v>
      </c>
      <c r="N130" s="106" t="s">
        <v>82</v>
      </c>
      <c r="O130" s="106" t="s">
        <v>111</v>
      </c>
      <c r="P130" s="106"/>
      <c r="Q130" s="105" t="s">
        <v>30</v>
      </c>
      <c r="R130" s="106" t="s">
        <v>82</v>
      </c>
      <c r="S130" s="106" t="s">
        <v>483</v>
      </c>
      <c r="T130" s="107">
        <v>46182</v>
      </c>
      <c r="U130" s="108"/>
      <c r="V130" s="109"/>
      <c r="W130" s="110"/>
      <c r="X130" s="69"/>
      <c r="Y130" s="69"/>
      <c r="Z130" s="69"/>
      <c r="AA130" s="69"/>
      <c r="AB130" s="69"/>
      <c r="AC130" s="69"/>
    </row>
    <row r="131" ht="64.5" customHeight="1">
      <c r="A131" s="104">
        <v>119</v>
      </c>
      <c r="B131" s="55"/>
      <c r="C131" s="55"/>
      <c r="D131" s="55"/>
      <c r="E131" s="14"/>
      <c r="F131" s="105" t="s">
        <v>106</v>
      </c>
      <c r="G131" s="105" t="s">
        <v>568</v>
      </c>
      <c r="H131" s="111" t="s">
        <v>569</v>
      </c>
      <c r="I131" s="106"/>
      <c r="J131" s="106" t="s">
        <v>570</v>
      </c>
      <c r="K131" s="111" t="s">
        <v>526</v>
      </c>
      <c r="L131" s="106"/>
      <c r="M131" s="105" t="s">
        <v>32</v>
      </c>
      <c r="N131" s="106" t="s">
        <v>82</v>
      </c>
      <c r="O131" s="106" t="s">
        <v>111</v>
      </c>
      <c r="P131" s="106"/>
      <c r="Q131" s="105" t="s">
        <v>30</v>
      </c>
      <c r="R131" s="106" t="s">
        <v>82</v>
      </c>
      <c r="S131" s="106" t="s">
        <v>483</v>
      </c>
      <c r="T131" s="107">
        <v>46182</v>
      </c>
      <c r="U131" s="108"/>
      <c r="V131" s="109"/>
      <c r="W131" s="110"/>
      <c r="X131" s="69"/>
      <c r="Y131" s="69"/>
      <c r="Z131" s="69"/>
      <c r="AA131" s="69"/>
      <c r="AB131" s="69"/>
      <c r="AC131" s="69"/>
    </row>
    <row r="132" ht="94.5" customHeight="1">
      <c r="A132" s="104">
        <v>120</v>
      </c>
      <c r="B132" s="55"/>
      <c r="C132" s="55"/>
      <c r="D132" s="55"/>
      <c r="E132" s="106" t="s">
        <v>571</v>
      </c>
      <c r="F132" s="105" t="s">
        <v>106</v>
      </c>
      <c r="G132" s="105" t="s">
        <v>572</v>
      </c>
      <c r="H132" s="111" t="s">
        <v>573</v>
      </c>
      <c r="I132" s="106"/>
      <c r="J132" s="106" t="s">
        <v>574</v>
      </c>
      <c r="K132" s="111" t="s">
        <v>440</v>
      </c>
      <c r="L132" s="106"/>
      <c r="M132" s="105" t="s">
        <v>31</v>
      </c>
      <c r="N132" s="106" t="s">
        <v>82</v>
      </c>
      <c r="O132" s="106" t="s">
        <v>111</v>
      </c>
      <c r="P132" s="106" t="s">
        <v>441</v>
      </c>
      <c r="Q132" s="105" t="s">
        <v>30</v>
      </c>
      <c r="R132" s="106" t="s">
        <v>82</v>
      </c>
      <c r="S132" s="106" t="s">
        <v>483</v>
      </c>
      <c r="T132" s="107">
        <v>46182</v>
      </c>
      <c r="U132" s="108"/>
      <c r="V132" s="109"/>
      <c r="W132" s="117" t="s">
        <v>575</v>
      </c>
      <c r="X132" s="69"/>
      <c r="Y132" s="69"/>
      <c r="Z132" s="69"/>
      <c r="AA132" s="69"/>
      <c r="AB132" s="69"/>
      <c r="AC132" s="69"/>
    </row>
    <row r="133" ht="65.25" customHeight="1">
      <c r="A133" s="104">
        <v>121</v>
      </c>
      <c r="B133" s="55"/>
      <c r="C133" s="55"/>
      <c r="D133" s="55"/>
      <c r="E133" s="55"/>
      <c r="F133" s="105" t="s">
        <v>106</v>
      </c>
      <c r="G133" s="105" t="s">
        <v>576</v>
      </c>
      <c r="H133" s="111" t="s">
        <v>577</v>
      </c>
      <c r="I133" s="106"/>
      <c r="J133" s="106" t="s">
        <v>578</v>
      </c>
      <c r="K133" s="111" t="s">
        <v>447</v>
      </c>
      <c r="L133" s="106"/>
      <c r="M133" s="105" t="s">
        <v>32</v>
      </c>
      <c r="N133" s="106" t="s">
        <v>82</v>
      </c>
      <c r="O133" s="106" t="s">
        <v>111</v>
      </c>
      <c r="P133" s="106"/>
      <c r="Q133" s="105" t="s">
        <v>30</v>
      </c>
      <c r="R133" s="106" t="s">
        <v>82</v>
      </c>
      <c r="S133" s="106" t="s">
        <v>483</v>
      </c>
      <c r="T133" s="107">
        <v>46182</v>
      </c>
      <c r="U133" s="108"/>
      <c r="V133" s="109"/>
      <c r="W133" s="117" t="s">
        <v>579</v>
      </c>
      <c r="X133" s="69"/>
      <c r="Y133" s="69"/>
      <c r="Z133" s="69"/>
      <c r="AA133" s="69"/>
      <c r="AB133" s="69"/>
      <c r="AC133" s="69"/>
    </row>
    <row r="134" ht="65.25" customHeight="1">
      <c r="A134" s="104">
        <v>122</v>
      </c>
      <c r="B134" s="55"/>
      <c r="C134" s="55"/>
      <c r="D134" s="55"/>
      <c r="E134" s="55"/>
      <c r="F134" s="105" t="s">
        <v>106</v>
      </c>
      <c r="G134" s="105" t="s">
        <v>580</v>
      </c>
      <c r="H134" s="111" t="s">
        <v>581</v>
      </c>
      <c r="I134" s="106"/>
      <c r="J134" s="106" t="s">
        <v>582</v>
      </c>
      <c r="K134" s="111" t="s">
        <v>452</v>
      </c>
      <c r="L134" s="106"/>
      <c r="M134" s="105" t="s">
        <v>32</v>
      </c>
      <c r="N134" s="106" t="s">
        <v>82</v>
      </c>
      <c r="O134" s="106" t="s">
        <v>111</v>
      </c>
      <c r="P134" s="106"/>
      <c r="Q134" s="105" t="s">
        <v>30</v>
      </c>
      <c r="R134" s="106" t="s">
        <v>82</v>
      </c>
      <c r="S134" s="106" t="s">
        <v>483</v>
      </c>
      <c r="T134" s="107">
        <v>46182</v>
      </c>
      <c r="U134" s="108"/>
      <c r="V134" s="109"/>
      <c r="W134" s="117" t="s">
        <v>583</v>
      </c>
      <c r="X134" s="69"/>
      <c r="Y134" s="69"/>
      <c r="Z134" s="69"/>
      <c r="AA134" s="69"/>
      <c r="AB134" s="69"/>
      <c r="AC134" s="69"/>
    </row>
    <row r="135" ht="65.25" customHeight="1">
      <c r="A135" s="104">
        <v>123</v>
      </c>
      <c r="B135" s="55"/>
      <c r="C135" s="55"/>
      <c r="D135" s="55"/>
      <c r="E135" s="55"/>
      <c r="F135" s="105" t="s">
        <v>106</v>
      </c>
      <c r="G135" s="105" t="s">
        <v>584</v>
      </c>
      <c r="H135" s="111" t="s">
        <v>585</v>
      </c>
      <c r="I135" s="106"/>
      <c r="J135" s="106" t="s">
        <v>586</v>
      </c>
      <c r="K135" s="111" t="s">
        <v>526</v>
      </c>
      <c r="L135" s="106"/>
      <c r="M135" s="105" t="s">
        <v>32</v>
      </c>
      <c r="N135" s="106" t="s">
        <v>82</v>
      </c>
      <c r="O135" s="106" t="s">
        <v>111</v>
      </c>
      <c r="P135" s="106"/>
      <c r="Q135" s="105" t="s">
        <v>30</v>
      </c>
      <c r="R135" s="106" t="s">
        <v>82</v>
      </c>
      <c r="S135" s="106" t="s">
        <v>483</v>
      </c>
      <c r="T135" s="107">
        <v>46182</v>
      </c>
      <c r="U135" s="108"/>
      <c r="V135" s="109"/>
      <c r="W135" s="117" t="s">
        <v>587</v>
      </c>
      <c r="X135" s="69"/>
      <c r="Y135" s="69"/>
      <c r="Z135" s="69"/>
      <c r="AA135" s="69"/>
      <c r="AB135" s="69"/>
      <c r="AC135" s="69"/>
    </row>
    <row r="136" ht="65.25" customHeight="1">
      <c r="A136" s="104">
        <v>124</v>
      </c>
      <c r="B136" s="55"/>
      <c r="C136" s="55"/>
      <c r="D136" s="55"/>
      <c r="E136" s="55"/>
      <c r="F136" s="105" t="s">
        <v>106</v>
      </c>
      <c r="G136" s="105" t="s">
        <v>588</v>
      </c>
      <c r="H136" s="111" t="s">
        <v>589</v>
      </c>
      <c r="I136" s="106"/>
      <c r="J136" s="106" t="s">
        <v>590</v>
      </c>
      <c r="K136" s="111" t="s">
        <v>526</v>
      </c>
      <c r="L136" s="106"/>
      <c r="M136" s="105" t="s">
        <v>32</v>
      </c>
      <c r="N136" s="106" t="s">
        <v>82</v>
      </c>
      <c r="O136" s="106" t="s">
        <v>111</v>
      </c>
      <c r="P136" s="106"/>
      <c r="Q136" s="105" t="s">
        <v>30</v>
      </c>
      <c r="R136" s="106" t="s">
        <v>82</v>
      </c>
      <c r="S136" s="106" t="s">
        <v>483</v>
      </c>
      <c r="T136" s="107">
        <v>46182</v>
      </c>
      <c r="U136" s="108"/>
      <c r="V136" s="109"/>
      <c r="W136" s="117" t="s">
        <v>587</v>
      </c>
      <c r="X136" s="69"/>
      <c r="Y136" s="69"/>
      <c r="Z136" s="69"/>
      <c r="AA136" s="69"/>
      <c r="AB136" s="69"/>
      <c r="AC136" s="69"/>
    </row>
    <row r="137" ht="65.25" customHeight="1">
      <c r="A137" s="104">
        <v>125</v>
      </c>
      <c r="B137" s="55"/>
      <c r="C137" s="55"/>
      <c r="D137" s="55"/>
      <c r="E137" s="55"/>
      <c r="F137" s="105" t="s">
        <v>106</v>
      </c>
      <c r="G137" s="105" t="s">
        <v>591</v>
      </c>
      <c r="H137" s="111" t="s">
        <v>592</v>
      </c>
      <c r="I137" s="106"/>
      <c r="J137" s="106" t="s">
        <v>593</v>
      </c>
      <c r="K137" s="111" t="s">
        <v>526</v>
      </c>
      <c r="L137" s="106"/>
      <c r="M137" s="105" t="s">
        <v>32</v>
      </c>
      <c r="N137" s="106" t="s">
        <v>82</v>
      </c>
      <c r="O137" s="106" t="s">
        <v>111</v>
      </c>
      <c r="P137" s="106"/>
      <c r="Q137" s="105" t="s">
        <v>30</v>
      </c>
      <c r="R137" s="106" t="s">
        <v>82</v>
      </c>
      <c r="S137" s="106" t="s">
        <v>483</v>
      </c>
      <c r="T137" s="107">
        <v>46182</v>
      </c>
      <c r="U137" s="108"/>
      <c r="V137" s="109"/>
      <c r="W137" s="117" t="s">
        <v>587</v>
      </c>
      <c r="X137" s="69"/>
      <c r="Y137" s="69"/>
      <c r="Z137" s="69"/>
      <c r="AA137" s="69"/>
      <c r="AB137" s="69"/>
      <c r="AC137" s="69"/>
    </row>
    <row r="138" ht="65.25" customHeight="1">
      <c r="A138" s="104">
        <v>126</v>
      </c>
      <c r="B138" s="55"/>
      <c r="C138" s="55"/>
      <c r="D138" s="55"/>
      <c r="E138" s="55"/>
      <c r="F138" s="105" t="s">
        <v>106</v>
      </c>
      <c r="G138" s="105" t="s">
        <v>594</v>
      </c>
      <c r="H138" s="111" t="s">
        <v>595</v>
      </c>
      <c r="I138" s="106"/>
      <c r="J138" s="106" t="s">
        <v>596</v>
      </c>
      <c r="K138" s="111" t="s">
        <v>526</v>
      </c>
      <c r="L138" s="106"/>
      <c r="M138" s="105" t="s">
        <v>32</v>
      </c>
      <c r="N138" s="106" t="s">
        <v>82</v>
      </c>
      <c r="O138" s="106" t="s">
        <v>111</v>
      </c>
      <c r="P138" s="106"/>
      <c r="Q138" s="105" t="s">
        <v>30</v>
      </c>
      <c r="R138" s="106" t="s">
        <v>82</v>
      </c>
      <c r="S138" s="106" t="s">
        <v>483</v>
      </c>
      <c r="T138" s="107">
        <v>46182</v>
      </c>
      <c r="U138" s="108"/>
      <c r="V138" s="109"/>
      <c r="W138" s="117" t="s">
        <v>587</v>
      </c>
      <c r="X138" s="69"/>
      <c r="Y138" s="69"/>
      <c r="Z138" s="69"/>
      <c r="AA138" s="69"/>
      <c r="AB138" s="69"/>
      <c r="AC138" s="69"/>
    </row>
    <row r="139" ht="65.25" customHeight="1">
      <c r="A139" s="104">
        <v>127</v>
      </c>
      <c r="B139" s="55"/>
      <c r="C139" s="55"/>
      <c r="D139" s="14"/>
      <c r="E139" s="14"/>
      <c r="F139" s="105" t="s">
        <v>106</v>
      </c>
      <c r="G139" s="105" t="s">
        <v>597</v>
      </c>
      <c r="H139" s="111" t="s">
        <v>598</v>
      </c>
      <c r="I139" s="106"/>
      <c r="J139" s="106" t="s">
        <v>599</v>
      </c>
      <c r="K139" s="111" t="s">
        <v>526</v>
      </c>
      <c r="L139" s="106"/>
      <c r="M139" s="105" t="s">
        <v>32</v>
      </c>
      <c r="N139" s="106" t="s">
        <v>82</v>
      </c>
      <c r="O139" s="106" t="s">
        <v>111</v>
      </c>
      <c r="P139" s="106"/>
      <c r="Q139" s="105" t="s">
        <v>30</v>
      </c>
      <c r="R139" s="106" t="s">
        <v>82</v>
      </c>
      <c r="S139" s="106" t="s">
        <v>483</v>
      </c>
      <c r="T139" s="107">
        <v>46182</v>
      </c>
      <c r="U139" s="108"/>
      <c r="V139" s="109"/>
      <c r="W139" s="117" t="s">
        <v>587</v>
      </c>
      <c r="X139" s="69"/>
      <c r="Y139" s="69"/>
      <c r="Z139" s="69"/>
      <c r="AA139" s="69"/>
      <c r="AB139" s="69"/>
      <c r="AC139" s="69"/>
    </row>
    <row r="140" ht="84.75" customHeight="1">
      <c r="A140" s="104">
        <v>128</v>
      </c>
      <c r="B140" s="55"/>
      <c r="C140" s="55"/>
      <c r="D140" s="106" t="s">
        <v>600</v>
      </c>
      <c r="E140" s="106" t="s">
        <v>601</v>
      </c>
      <c r="F140" s="105" t="s">
        <v>106</v>
      </c>
      <c r="G140" s="105" t="s">
        <v>602</v>
      </c>
      <c r="H140" s="111" t="s">
        <v>603</v>
      </c>
      <c r="I140" s="106"/>
      <c r="J140" s="106" t="s">
        <v>604</v>
      </c>
      <c r="K140" s="111" t="s">
        <v>440</v>
      </c>
      <c r="L140" s="106"/>
      <c r="M140" s="105" t="s">
        <v>31</v>
      </c>
      <c r="N140" s="106" t="s">
        <v>82</v>
      </c>
      <c r="O140" s="106" t="s">
        <v>111</v>
      </c>
      <c r="P140" s="106" t="s">
        <v>441</v>
      </c>
      <c r="Q140" s="105" t="s">
        <v>30</v>
      </c>
      <c r="R140" s="106" t="s">
        <v>82</v>
      </c>
      <c r="S140" s="106" t="s">
        <v>483</v>
      </c>
      <c r="T140" s="107">
        <v>46182</v>
      </c>
      <c r="U140" s="108"/>
      <c r="V140" s="109"/>
      <c r="W140" s="117" t="s">
        <v>443</v>
      </c>
      <c r="X140" s="69"/>
      <c r="Y140" s="69"/>
      <c r="Z140" s="69"/>
      <c r="AA140" s="69"/>
      <c r="AB140" s="69"/>
      <c r="AC140" s="69"/>
    </row>
    <row r="141" ht="65.25" customHeight="1">
      <c r="A141" s="104">
        <v>129</v>
      </c>
      <c r="B141" s="55"/>
      <c r="C141" s="55"/>
      <c r="D141" s="55"/>
      <c r="E141" s="55"/>
      <c r="F141" s="105" t="s">
        <v>106</v>
      </c>
      <c r="G141" s="105" t="s">
        <v>605</v>
      </c>
      <c r="H141" s="111" t="s">
        <v>606</v>
      </c>
      <c r="I141" s="106"/>
      <c r="J141" s="106" t="s">
        <v>607</v>
      </c>
      <c r="K141" s="111" t="s">
        <v>452</v>
      </c>
      <c r="L141" s="106"/>
      <c r="M141" s="105" t="s">
        <v>32</v>
      </c>
      <c r="N141" s="106" t="s">
        <v>82</v>
      </c>
      <c r="O141" s="106" t="s">
        <v>111</v>
      </c>
      <c r="P141" s="106"/>
      <c r="Q141" s="105" t="s">
        <v>30</v>
      </c>
      <c r="R141" s="106" t="s">
        <v>82</v>
      </c>
      <c r="S141" s="106" t="s">
        <v>483</v>
      </c>
      <c r="T141" s="107">
        <v>46182</v>
      </c>
      <c r="U141" s="108"/>
      <c r="V141" s="109"/>
      <c r="W141" s="117" t="s">
        <v>453</v>
      </c>
      <c r="X141" s="69"/>
      <c r="Y141" s="69"/>
      <c r="Z141" s="69"/>
      <c r="AA141" s="69"/>
      <c r="AB141" s="69"/>
      <c r="AC141" s="69"/>
    </row>
    <row r="142" ht="65.25" customHeight="1">
      <c r="A142" s="104">
        <v>130</v>
      </c>
      <c r="B142" s="55"/>
      <c r="C142" s="55"/>
      <c r="D142" s="55"/>
      <c r="E142" s="55"/>
      <c r="F142" s="105" t="s">
        <v>106</v>
      </c>
      <c r="G142" s="105" t="s">
        <v>608</v>
      </c>
      <c r="H142" s="106" t="s">
        <v>609</v>
      </c>
      <c r="I142" s="106"/>
      <c r="J142" s="106" t="s">
        <v>610</v>
      </c>
      <c r="K142" s="106" t="s">
        <v>326</v>
      </c>
      <c r="L142" s="106"/>
      <c r="M142" s="105" t="s">
        <v>31</v>
      </c>
      <c r="N142" s="106" t="s">
        <v>82</v>
      </c>
      <c r="O142" s="106" t="s">
        <v>111</v>
      </c>
      <c r="P142" s="106">
        <v>1</v>
      </c>
      <c r="Q142" s="105" t="s">
        <v>30</v>
      </c>
      <c r="R142" s="106" t="s">
        <v>82</v>
      </c>
      <c r="S142" s="106" t="s">
        <v>483</v>
      </c>
      <c r="T142" s="107">
        <v>46182</v>
      </c>
      <c r="U142" s="108"/>
      <c r="V142" s="109"/>
      <c r="W142" s="110"/>
      <c r="X142" s="69"/>
      <c r="Y142" s="69"/>
      <c r="Z142" s="69"/>
      <c r="AA142" s="69"/>
      <c r="AB142" s="69"/>
      <c r="AC142" s="69"/>
    </row>
    <row r="143" ht="65.25" customHeight="1">
      <c r="A143" s="104">
        <v>131</v>
      </c>
      <c r="B143" s="55"/>
      <c r="C143" s="55"/>
      <c r="D143" s="55"/>
      <c r="E143" s="55"/>
      <c r="F143" s="105" t="s">
        <v>106</v>
      </c>
      <c r="G143" s="105" t="s">
        <v>611</v>
      </c>
      <c r="H143" s="106" t="s">
        <v>612</v>
      </c>
      <c r="I143" s="106"/>
      <c r="J143" s="106" t="s">
        <v>613</v>
      </c>
      <c r="K143" s="106" t="s">
        <v>326</v>
      </c>
      <c r="L143" s="106"/>
      <c r="M143" s="105" t="s">
        <v>32</v>
      </c>
      <c r="N143" s="106" t="s">
        <v>82</v>
      </c>
      <c r="O143" s="106" t="s">
        <v>111</v>
      </c>
      <c r="P143" s="106"/>
      <c r="Q143" s="105" t="s">
        <v>30</v>
      </c>
      <c r="R143" s="106" t="s">
        <v>82</v>
      </c>
      <c r="S143" s="106" t="s">
        <v>483</v>
      </c>
      <c r="T143" s="107">
        <v>46182</v>
      </c>
      <c r="U143" s="108"/>
      <c r="V143" s="109"/>
      <c r="W143" s="110"/>
      <c r="X143" s="69"/>
      <c r="Y143" s="69"/>
      <c r="Z143" s="69"/>
      <c r="AA143" s="69"/>
      <c r="AB143" s="69"/>
      <c r="AC143" s="69"/>
    </row>
    <row r="144" ht="65.25" customHeight="1">
      <c r="A144" s="104">
        <v>132</v>
      </c>
      <c r="B144" s="55"/>
      <c r="C144" s="55"/>
      <c r="D144" s="55"/>
      <c r="E144" s="14"/>
      <c r="F144" s="105" t="s">
        <v>106</v>
      </c>
      <c r="G144" s="105" t="s">
        <v>614</v>
      </c>
      <c r="H144" s="106" t="s">
        <v>465</v>
      </c>
      <c r="I144" s="106"/>
      <c r="J144" s="106" t="s">
        <v>615</v>
      </c>
      <c r="K144" s="106" t="s">
        <v>326</v>
      </c>
      <c r="L144" s="106"/>
      <c r="M144" s="105" t="s">
        <v>32</v>
      </c>
      <c r="N144" s="106" t="s">
        <v>82</v>
      </c>
      <c r="O144" s="106" t="s">
        <v>111</v>
      </c>
      <c r="P144" s="106"/>
      <c r="Q144" s="105" t="s">
        <v>30</v>
      </c>
      <c r="R144" s="106" t="s">
        <v>82</v>
      </c>
      <c r="S144" s="106" t="s">
        <v>483</v>
      </c>
      <c r="T144" s="107">
        <v>46182</v>
      </c>
      <c r="U144" s="108"/>
      <c r="V144" s="109"/>
      <c r="W144" s="110"/>
      <c r="X144" s="69"/>
      <c r="Y144" s="69"/>
      <c r="Z144" s="69"/>
      <c r="AA144" s="69"/>
      <c r="AB144" s="69"/>
      <c r="AC144" s="69"/>
    </row>
    <row r="145" ht="65.25" customHeight="1">
      <c r="A145" s="104">
        <v>133</v>
      </c>
      <c r="B145" s="55"/>
      <c r="C145" s="55"/>
      <c r="D145" s="55"/>
      <c r="E145" s="104" t="s">
        <v>616</v>
      </c>
      <c r="F145" s="105" t="s">
        <v>106</v>
      </c>
      <c r="G145" s="105" t="s">
        <v>617</v>
      </c>
      <c r="H145" s="111" t="s">
        <v>618</v>
      </c>
      <c r="I145" s="106"/>
      <c r="J145" s="106" t="s">
        <v>619</v>
      </c>
      <c r="K145" s="111" t="s">
        <v>620</v>
      </c>
      <c r="L145" s="106"/>
      <c r="M145" s="105" t="s">
        <v>32</v>
      </c>
      <c r="N145" s="106" t="s">
        <v>82</v>
      </c>
      <c r="O145" s="106" t="s">
        <v>111</v>
      </c>
      <c r="P145" s="106"/>
      <c r="Q145" s="105" t="s">
        <v>30</v>
      </c>
      <c r="R145" s="106" t="s">
        <v>82</v>
      </c>
      <c r="S145" s="106" t="s">
        <v>483</v>
      </c>
      <c r="T145" s="107">
        <v>46182</v>
      </c>
      <c r="U145" s="108"/>
      <c r="V145" s="109"/>
      <c r="W145" s="117" t="s">
        <v>621</v>
      </c>
      <c r="X145" s="69"/>
      <c r="Y145" s="69"/>
      <c r="Z145" s="69"/>
      <c r="AA145" s="69"/>
      <c r="AB145" s="69"/>
      <c r="AC145" s="69"/>
    </row>
    <row r="146" ht="90.75" customHeight="1">
      <c r="A146" s="104">
        <v>134</v>
      </c>
      <c r="B146" s="55"/>
      <c r="C146" s="55"/>
      <c r="D146" s="55"/>
      <c r="E146" s="106" t="s">
        <v>622</v>
      </c>
      <c r="F146" s="105" t="s">
        <v>106</v>
      </c>
      <c r="G146" s="105" t="s">
        <v>623</v>
      </c>
      <c r="H146" s="111" t="s">
        <v>624</v>
      </c>
      <c r="I146" s="106"/>
      <c r="J146" s="106" t="s">
        <v>625</v>
      </c>
      <c r="K146" s="111" t="s">
        <v>440</v>
      </c>
      <c r="L146" s="106"/>
      <c r="M146" s="105" t="s">
        <v>31</v>
      </c>
      <c r="N146" s="106" t="s">
        <v>82</v>
      </c>
      <c r="O146" s="106" t="s">
        <v>111</v>
      </c>
      <c r="P146" s="106" t="s">
        <v>441</v>
      </c>
      <c r="Q146" s="105" t="s">
        <v>30</v>
      </c>
      <c r="R146" s="106" t="s">
        <v>82</v>
      </c>
      <c r="S146" s="106" t="s">
        <v>483</v>
      </c>
      <c r="T146" s="107">
        <v>46182</v>
      </c>
      <c r="U146" s="108"/>
      <c r="V146" s="109"/>
      <c r="W146" s="117" t="s">
        <v>443</v>
      </c>
      <c r="X146" s="69"/>
      <c r="Y146" s="69"/>
      <c r="Z146" s="69"/>
      <c r="AA146" s="69"/>
      <c r="AB146" s="69"/>
      <c r="AC146" s="69"/>
    </row>
    <row r="147" ht="65.25" customHeight="1">
      <c r="A147" s="104">
        <v>135</v>
      </c>
      <c r="B147" s="55"/>
      <c r="C147" s="55"/>
      <c r="D147" s="55"/>
      <c r="E147" s="55"/>
      <c r="F147" s="105" t="s">
        <v>106</v>
      </c>
      <c r="G147" s="105" t="s">
        <v>626</v>
      </c>
      <c r="H147" s="111" t="s">
        <v>627</v>
      </c>
      <c r="I147" s="106"/>
      <c r="J147" s="106" t="s">
        <v>628</v>
      </c>
      <c r="K147" s="111" t="s">
        <v>452</v>
      </c>
      <c r="L147" s="106"/>
      <c r="M147" s="105" t="s">
        <v>32</v>
      </c>
      <c r="N147" s="106" t="s">
        <v>82</v>
      </c>
      <c r="O147" s="106" t="s">
        <v>111</v>
      </c>
      <c r="P147" s="106"/>
      <c r="Q147" s="105" t="s">
        <v>30</v>
      </c>
      <c r="R147" s="106" t="s">
        <v>82</v>
      </c>
      <c r="S147" s="106" t="s">
        <v>483</v>
      </c>
      <c r="T147" s="107">
        <v>46182</v>
      </c>
      <c r="U147" s="108"/>
      <c r="V147" s="109"/>
      <c r="W147" s="117" t="s">
        <v>453</v>
      </c>
      <c r="X147" s="69"/>
      <c r="Y147" s="69"/>
      <c r="Z147" s="69"/>
      <c r="AA147" s="69"/>
      <c r="AB147" s="69"/>
      <c r="AC147" s="69"/>
    </row>
    <row r="148" ht="65.25" customHeight="1">
      <c r="A148" s="104">
        <v>136</v>
      </c>
      <c r="B148" s="55"/>
      <c r="C148" s="55"/>
      <c r="D148" s="55"/>
      <c r="E148" s="55"/>
      <c r="F148" s="105" t="s">
        <v>106</v>
      </c>
      <c r="G148" s="105" t="s">
        <v>629</v>
      </c>
      <c r="H148" s="111" t="s">
        <v>630</v>
      </c>
      <c r="I148" s="106"/>
      <c r="J148" s="106" t="s">
        <v>631</v>
      </c>
      <c r="K148" s="111" t="s">
        <v>326</v>
      </c>
      <c r="L148" s="106"/>
      <c r="M148" s="105" t="s">
        <v>32</v>
      </c>
      <c r="N148" s="106" t="s">
        <v>82</v>
      </c>
      <c r="O148" s="106" t="s">
        <v>111</v>
      </c>
      <c r="P148" s="106"/>
      <c r="Q148" s="105" t="s">
        <v>30</v>
      </c>
      <c r="R148" s="106" t="s">
        <v>82</v>
      </c>
      <c r="S148" s="106" t="s">
        <v>483</v>
      </c>
      <c r="T148" s="107">
        <v>46182</v>
      </c>
      <c r="U148" s="108"/>
      <c r="V148" s="109"/>
      <c r="W148" s="110"/>
      <c r="X148" s="69"/>
      <c r="Y148" s="69"/>
      <c r="Z148" s="69"/>
      <c r="AA148" s="69"/>
      <c r="AB148" s="69"/>
      <c r="AC148" s="69"/>
    </row>
    <row r="149" ht="65.25" customHeight="1">
      <c r="A149" s="104">
        <v>137</v>
      </c>
      <c r="B149" s="55"/>
      <c r="C149" s="55"/>
      <c r="D149" s="55"/>
      <c r="E149" s="55"/>
      <c r="F149" s="105" t="s">
        <v>106</v>
      </c>
      <c r="G149" s="105" t="s">
        <v>632</v>
      </c>
      <c r="H149" s="111" t="s">
        <v>633</v>
      </c>
      <c r="I149" s="106"/>
      <c r="J149" s="106" t="s">
        <v>634</v>
      </c>
      <c r="K149" s="111" t="s">
        <v>326</v>
      </c>
      <c r="L149" s="106"/>
      <c r="M149" s="105" t="s">
        <v>32</v>
      </c>
      <c r="N149" s="106" t="s">
        <v>82</v>
      </c>
      <c r="O149" s="106" t="s">
        <v>111</v>
      </c>
      <c r="P149" s="106"/>
      <c r="Q149" s="105" t="s">
        <v>30</v>
      </c>
      <c r="R149" s="106" t="s">
        <v>82</v>
      </c>
      <c r="S149" s="106" t="s">
        <v>483</v>
      </c>
      <c r="T149" s="107">
        <v>46182</v>
      </c>
      <c r="U149" s="108"/>
      <c r="V149" s="109"/>
      <c r="W149" s="110"/>
      <c r="X149" s="69"/>
      <c r="Y149" s="69"/>
      <c r="Z149" s="69"/>
      <c r="AA149" s="69"/>
      <c r="AB149" s="69"/>
      <c r="AC149" s="69"/>
    </row>
    <row r="150" ht="65.25" customHeight="1">
      <c r="A150" s="104">
        <v>138</v>
      </c>
      <c r="B150" s="55"/>
      <c r="C150" s="55"/>
      <c r="D150" s="14"/>
      <c r="E150" s="14"/>
      <c r="F150" s="105" t="s">
        <v>106</v>
      </c>
      <c r="G150" s="105" t="s">
        <v>635</v>
      </c>
      <c r="H150" s="111" t="s">
        <v>636</v>
      </c>
      <c r="I150" s="106"/>
      <c r="J150" s="106" t="s">
        <v>637</v>
      </c>
      <c r="K150" s="111" t="s">
        <v>326</v>
      </c>
      <c r="L150" s="106"/>
      <c r="M150" s="105" t="s">
        <v>32</v>
      </c>
      <c r="N150" s="106" t="s">
        <v>82</v>
      </c>
      <c r="O150" s="106" t="s">
        <v>111</v>
      </c>
      <c r="P150" s="106"/>
      <c r="Q150" s="105" t="s">
        <v>30</v>
      </c>
      <c r="R150" s="106" t="s">
        <v>82</v>
      </c>
      <c r="S150" s="106" t="s">
        <v>483</v>
      </c>
      <c r="T150" s="107">
        <v>46182</v>
      </c>
      <c r="U150" s="108"/>
      <c r="V150" s="109"/>
      <c r="W150" s="110"/>
      <c r="X150" s="69"/>
      <c r="Y150" s="69"/>
      <c r="Z150" s="69"/>
      <c r="AA150" s="69"/>
      <c r="AB150" s="69"/>
      <c r="AC150" s="69"/>
    </row>
    <row r="151" ht="45" customHeight="1">
      <c r="A151" s="104">
        <v>139</v>
      </c>
      <c r="B151" s="55"/>
      <c r="C151" s="55"/>
      <c r="D151" s="104" t="s">
        <v>638</v>
      </c>
      <c r="E151" s="104"/>
      <c r="F151" s="105" t="s">
        <v>106</v>
      </c>
      <c r="G151" s="105" t="s">
        <v>639</v>
      </c>
      <c r="H151" s="106" t="s">
        <v>640</v>
      </c>
      <c r="I151" s="106"/>
      <c r="J151" s="106" t="s">
        <v>641</v>
      </c>
      <c r="K151" s="106" t="s">
        <v>642</v>
      </c>
      <c r="L151" s="106"/>
      <c r="M151" s="105" t="s">
        <v>31</v>
      </c>
      <c r="N151" s="106" t="s">
        <v>82</v>
      </c>
      <c r="O151" s="106" t="s">
        <v>111</v>
      </c>
      <c r="P151" s="106">
        <v>2</v>
      </c>
      <c r="Q151" s="105" t="s">
        <v>30</v>
      </c>
      <c r="R151" s="106" t="s">
        <v>82</v>
      </c>
      <c r="S151" s="106" t="s">
        <v>112</v>
      </c>
      <c r="T151" s="107">
        <v>46164</v>
      </c>
      <c r="U151" s="108"/>
      <c r="V151" s="109"/>
      <c r="W151" s="110"/>
      <c r="X151" s="69"/>
      <c r="Y151" s="69"/>
      <c r="Z151" s="69"/>
      <c r="AA151" s="69"/>
      <c r="AB151" s="69"/>
      <c r="AC151" s="69"/>
    </row>
    <row r="152" ht="45" customHeight="1">
      <c r="A152" s="104">
        <v>140</v>
      </c>
      <c r="B152" s="55"/>
      <c r="C152" s="55"/>
      <c r="D152" s="104" t="s">
        <v>643</v>
      </c>
      <c r="E152" s="104"/>
      <c r="F152" s="105" t="s">
        <v>106</v>
      </c>
      <c r="G152" s="105" t="s">
        <v>644</v>
      </c>
      <c r="H152" s="106" t="s">
        <v>645</v>
      </c>
      <c r="I152" s="106"/>
      <c r="J152" s="106" t="s">
        <v>641</v>
      </c>
      <c r="K152" s="106" t="s">
        <v>642</v>
      </c>
      <c r="L152" s="106"/>
      <c r="M152" s="105" t="s">
        <v>32</v>
      </c>
      <c r="N152" s="106" t="s">
        <v>82</v>
      </c>
      <c r="O152" s="106" t="s">
        <v>111</v>
      </c>
      <c r="P152" s="106"/>
      <c r="Q152" s="105" t="s">
        <v>30</v>
      </c>
      <c r="R152" s="106" t="s">
        <v>82</v>
      </c>
      <c r="S152" s="106" t="s">
        <v>483</v>
      </c>
      <c r="T152" s="107">
        <v>46182</v>
      </c>
      <c r="U152" s="108"/>
      <c r="V152" s="109"/>
      <c r="W152" s="110"/>
      <c r="X152" s="69"/>
      <c r="Y152" s="69"/>
      <c r="Z152" s="69"/>
      <c r="AA152" s="69"/>
      <c r="AB152" s="69"/>
      <c r="AC152" s="69"/>
    </row>
    <row r="153" ht="45" customHeight="1">
      <c r="A153" s="104">
        <v>141</v>
      </c>
      <c r="B153" s="55"/>
      <c r="C153" s="55"/>
      <c r="D153" s="104" t="s">
        <v>646</v>
      </c>
      <c r="E153" s="104"/>
      <c r="F153" s="105" t="s">
        <v>106</v>
      </c>
      <c r="G153" s="105" t="s">
        <v>647</v>
      </c>
      <c r="H153" s="106" t="s">
        <v>648</v>
      </c>
      <c r="I153" s="106"/>
      <c r="J153" s="106" t="s">
        <v>649</v>
      </c>
      <c r="K153" s="106" t="s">
        <v>650</v>
      </c>
      <c r="L153" s="106"/>
      <c r="M153" s="105" t="s">
        <v>31</v>
      </c>
      <c r="N153" s="106" t="s">
        <v>82</v>
      </c>
      <c r="O153" s="106" t="s">
        <v>111</v>
      </c>
      <c r="P153" s="106">
        <v>6</v>
      </c>
      <c r="Q153" s="105" t="s">
        <v>30</v>
      </c>
      <c r="R153" s="106" t="s">
        <v>82</v>
      </c>
      <c r="S153" s="106" t="s">
        <v>112</v>
      </c>
      <c r="T153" s="107">
        <v>46164</v>
      </c>
      <c r="U153" s="108"/>
      <c r="V153" s="109"/>
      <c r="W153" s="110"/>
      <c r="X153" s="69"/>
      <c r="Y153" s="69"/>
      <c r="Z153" s="69"/>
      <c r="AA153" s="69"/>
      <c r="AB153" s="69"/>
      <c r="AC153" s="69"/>
    </row>
    <row r="154" ht="45" customHeight="1">
      <c r="A154" s="104">
        <v>142</v>
      </c>
      <c r="B154" s="55"/>
      <c r="C154" s="55"/>
      <c r="D154" s="104" t="s">
        <v>651</v>
      </c>
      <c r="E154" s="104"/>
      <c r="F154" s="105" t="s">
        <v>106</v>
      </c>
      <c r="G154" s="105" t="s">
        <v>652</v>
      </c>
      <c r="H154" s="106" t="s">
        <v>653</v>
      </c>
      <c r="I154" s="106"/>
      <c r="J154" s="106" t="s">
        <v>654</v>
      </c>
      <c r="K154" s="106" t="s">
        <v>655</v>
      </c>
      <c r="L154" s="106"/>
      <c r="M154" s="105" t="s">
        <v>31</v>
      </c>
      <c r="N154" s="106" t="s">
        <v>82</v>
      </c>
      <c r="O154" s="106" t="s">
        <v>111</v>
      </c>
      <c r="P154" s="106">
        <v>4</v>
      </c>
      <c r="Q154" s="105" t="s">
        <v>30</v>
      </c>
      <c r="R154" s="106" t="s">
        <v>82</v>
      </c>
      <c r="S154" s="106" t="s">
        <v>112</v>
      </c>
      <c r="T154" s="107">
        <v>46164</v>
      </c>
      <c r="U154" s="108"/>
      <c r="V154" s="109"/>
      <c r="W154" s="110"/>
      <c r="X154" s="69"/>
      <c r="Y154" s="69"/>
      <c r="Z154" s="69"/>
      <c r="AA154" s="69"/>
      <c r="AB154" s="69"/>
      <c r="AC154" s="69"/>
    </row>
    <row r="155" ht="45" customHeight="1">
      <c r="A155" s="104">
        <v>143</v>
      </c>
      <c r="B155" s="55"/>
      <c r="C155" s="55"/>
      <c r="D155" s="106" t="s">
        <v>656</v>
      </c>
      <c r="E155" s="104" t="s">
        <v>657</v>
      </c>
      <c r="F155" s="105" t="s">
        <v>106</v>
      </c>
      <c r="G155" s="105" t="s">
        <v>658</v>
      </c>
      <c r="H155" s="106" t="s">
        <v>659</v>
      </c>
      <c r="I155" s="106"/>
      <c r="J155" s="106" t="s">
        <v>660</v>
      </c>
      <c r="K155" s="106" t="s">
        <v>661</v>
      </c>
      <c r="L155" s="106"/>
      <c r="M155" s="105" t="s">
        <v>32</v>
      </c>
      <c r="N155" s="106" t="s">
        <v>82</v>
      </c>
      <c r="O155" s="106" t="s">
        <v>111</v>
      </c>
      <c r="P155" s="106"/>
      <c r="Q155" s="105" t="s">
        <v>30</v>
      </c>
      <c r="R155" s="106" t="s">
        <v>82</v>
      </c>
      <c r="S155" s="106" t="s">
        <v>483</v>
      </c>
      <c r="T155" s="107">
        <v>46182</v>
      </c>
      <c r="U155" s="108"/>
      <c r="V155" s="109"/>
      <c r="W155" s="110"/>
      <c r="X155" s="69"/>
      <c r="Y155" s="69"/>
      <c r="Z155" s="69"/>
      <c r="AA155" s="69"/>
      <c r="AB155" s="69"/>
      <c r="AC155" s="69"/>
    </row>
    <row r="156" ht="45" customHeight="1">
      <c r="A156" s="104">
        <v>144</v>
      </c>
      <c r="B156" s="55"/>
      <c r="C156" s="55"/>
      <c r="D156" s="55"/>
      <c r="E156" s="104" t="s">
        <v>662</v>
      </c>
      <c r="F156" s="105" t="s">
        <v>106</v>
      </c>
      <c r="G156" s="105" t="s">
        <v>663</v>
      </c>
      <c r="H156" s="106" t="s">
        <v>664</v>
      </c>
      <c r="I156" s="106"/>
      <c r="J156" s="106" t="s">
        <v>665</v>
      </c>
      <c r="K156" s="106" t="s">
        <v>666</v>
      </c>
      <c r="L156" s="106"/>
      <c r="M156" s="105" t="s">
        <v>32</v>
      </c>
      <c r="N156" s="106" t="s">
        <v>82</v>
      </c>
      <c r="O156" s="106" t="s">
        <v>111</v>
      </c>
      <c r="P156" s="106"/>
      <c r="Q156" s="105"/>
      <c r="R156" s="106" t="s">
        <v>82</v>
      </c>
      <c r="S156" s="106" t="s">
        <v>483</v>
      </c>
      <c r="T156" s="107">
        <v>46182</v>
      </c>
      <c r="U156" s="108"/>
      <c r="V156" s="109"/>
      <c r="W156" s="110"/>
      <c r="X156" s="69"/>
      <c r="Y156" s="69"/>
      <c r="Z156" s="69"/>
      <c r="AA156" s="69"/>
      <c r="AB156" s="69"/>
      <c r="AC156" s="69"/>
    </row>
    <row r="157" ht="45" customHeight="1">
      <c r="A157" s="104">
        <v>145</v>
      </c>
      <c r="B157" s="55"/>
      <c r="C157" s="55"/>
      <c r="D157" s="55"/>
      <c r="E157" s="104" t="s">
        <v>667</v>
      </c>
      <c r="F157" s="105" t="s">
        <v>106</v>
      </c>
      <c r="G157" s="105" t="s">
        <v>668</v>
      </c>
      <c r="H157" s="106" t="s">
        <v>669</v>
      </c>
      <c r="I157" s="106"/>
      <c r="J157" s="106" t="s">
        <v>670</v>
      </c>
      <c r="K157" s="106" t="s">
        <v>661</v>
      </c>
      <c r="L157" s="106"/>
      <c r="M157" s="105" t="s">
        <v>32</v>
      </c>
      <c r="N157" s="106" t="s">
        <v>82</v>
      </c>
      <c r="O157" s="106" t="s">
        <v>111</v>
      </c>
      <c r="P157" s="106"/>
      <c r="Q157" s="105" t="s">
        <v>30</v>
      </c>
      <c r="R157" s="106" t="s">
        <v>82</v>
      </c>
      <c r="S157" s="106" t="s">
        <v>483</v>
      </c>
      <c r="T157" s="107">
        <v>46182</v>
      </c>
      <c r="U157" s="108"/>
      <c r="V157" s="109"/>
      <c r="W157" s="110"/>
      <c r="X157" s="69"/>
      <c r="Y157" s="69"/>
      <c r="Z157" s="69"/>
      <c r="AA157" s="69"/>
      <c r="AB157" s="69"/>
      <c r="AC157" s="69"/>
    </row>
    <row r="158" ht="45" customHeight="1">
      <c r="A158" s="104">
        <v>146</v>
      </c>
      <c r="B158" s="55"/>
      <c r="C158" s="55"/>
      <c r="D158" s="55"/>
      <c r="E158" s="104" t="s">
        <v>671</v>
      </c>
      <c r="F158" s="105" t="s">
        <v>106</v>
      </c>
      <c r="G158" s="105" t="s">
        <v>672</v>
      </c>
      <c r="H158" s="106" t="s">
        <v>673</v>
      </c>
      <c r="I158" s="106"/>
      <c r="J158" s="106" t="s">
        <v>674</v>
      </c>
      <c r="K158" s="106" t="s">
        <v>661</v>
      </c>
      <c r="L158" s="106"/>
      <c r="M158" s="105" t="s">
        <v>32</v>
      </c>
      <c r="N158" s="106" t="s">
        <v>82</v>
      </c>
      <c r="O158" s="106" t="s">
        <v>111</v>
      </c>
      <c r="P158" s="106"/>
      <c r="Q158" s="105" t="s">
        <v>30</v>
      </c>
      <c r="R158" s="106" t="s">
        <v>82</v>
      </c>
      <c r="S158" s="106" t="s">
        <v>483</v>
      </c>
      <c r="T158" s="107">
        <v>46182</v>
      </c>
      <c r="U158" s="108"/>
      <c r="V158" s="109"/>
      <c r="W158" s="110"/>
      <c r="X158" s="69"/>
      <c r="Y158" s="69"/>
      <c r="Z158" s="69"/>
      <c r="AA158" s="69"/>
      <c r="AB158" s="69"/>
      <c r="AC158" s="69"/>
    </row>
    <row r="159" ht="35.25" customHeight="1">
      <c r="A159" s="104">
        <v>147</v>
      </c>
      <c r="B159" s="55"/>
      <c r="C159" s="55"/>
      <c r="D159" s="55"/>
      <c r="E159" s="106" t="s">
        <v>675</v>
      </c>
      <c r="F159" s="105" t="s">
        <v>106</v>
      </c>
      <c r="G159" s="105" t="s">
        <v>676</v>
      </c>
      <c r="H159" s="106" t="s">
        <v>677</v>
      </c>
      <c r="I159" s="106"/>
      <c r="J159" s="106" t="s">
        <v>678</v>
      </c>
      <c r="K159" s="106" t="s">
        <v>679</v>
      </c>
      <c r="L159" s="106"/>
      <c r="M159" s="105" t="s">
        <v>32</v>
      </c>
      <c r="N159" s="106" t="s">
        <v>82</v>
      </c>
      <c r="O159" s="106" t="s">
        <v>111</v>
      </c>
      <c r="P159" s="106"/>
      <c r="Q159" s="105" t="s">
        <v>30</v>
      </c>
      <c r="R159" s="106" t="s">
        <v>82</v>
      </c>
      <c r="S159" s="106" t="s">
        <v>483</v>
      </c>
      <c r="T159" s="107">
        <v>46182</v>
      </c>
      <c r="U159" s="108"/>
      <c r="V159" s="109"/>
      <c r="W159" s="110"/>
      <c r="X159" s="69"/>
      <c r="Y159" s="69"/>
      <c r="Z159" s="69"/>
      <c r="AA159" s="69"/>
      <c r="AB159" s="69"/>
      <c r="AC159" s="69"/>
    </row>
    <row r="160" ht="35.25" customHeight="1">
      <c r="A160" s="104">
        <v>148</v>
      </c>
      <c r="B160" s="55"/>
      <c r="C160" s="55"/>
      <c r="D160" s="55"/>
      <c r="E160" s="55"/>
      <c r="F160" s="105" t="s">
        <v>106</v>
      </c>
      <c r="G160" s="105" t="s">
        <v>680</v>
      </c>
      <c r="H160" s="106" t="s">
        <v>681</v>
      </c>
      <c r="I160" s="106"/>
      <c r="J160" s="106" t="s">
        <v>682</v>
      </c>
      <c r="K160" s="106" t="s">
        <v>683</v>
      </c>
      <c r="L160" s="106"/>
      <c r="M160" s="105" t="s">
        <v>31</v>
      </c>
      <c r="N160" s="106" t="s">
        <v>82</v>
      </c>
      <c r="O160" s="106" t="s">
        <v>111</v>
      </c>
      <c r="P160" s="106">
        <v>3</v>
      </c>
      <c r="Q160" s="105" t="s">
        <v>30</v>
      </c>
      <c r="R160" s="106" t="s">
        <v>82</v>
      </c>
      <c r="S160" s="106" t="s">
        <v>112</v>
      </c>
      <c r="T160" s="107">
        <v>46164</v>
      </c>
      <c r="U160" s="108"/>
      <c r="V160" s="109"/>
      <c r="W160" s="110"/>
      <c r="X160" s="69"/>
      <c r="Y160" s="69"/>
      <c r="Z160" s="69"/>
      <c r="AA160" s="69"/>
      <c r="AB160" s="69"/>
      <c r="AC160" s="69"/>
    </row>
    <row r="161" ht="35.25" customHeight="1">
      <c r="A161" s="104">
        <v>149</v>
      </c>
      <c r="B161" s="55"/>
      <c r="C161" s="55"/>
      <c r="D161" s="55"/>
      <c r="E161" s="55"/>
      <c r="F161" s="105" t="s">
        <v>106</v>
      </c>
      <c r="G161" s="105" t="s">
        <v>684</v>
      </c>
      <c r="H161" s="106" t="s">
        <v>685</v>
      </c>
      <c r="I161" s="106"/>
      <c r="J161" s="106" t="s">
        <v>686</v>
      </c>
      <c r="K161" s="106" t="s">
        <v>687</v>
      </c>
      <c r="L161" s="106"/>
      <c r="M161" s="105" t="s">
        <v>32</v>
      </c>
      <c r="N161" s="106" t="s">
        <v>82</v>
      </c>
      <c r="O161" s="106" t="s">
        <v>111</v>
      </c>
      <c r="P161" s="106">
        <v>23</v>
      </c>
      <c r="Q161" s="105" t="s">
        <v>30</v>
      </c>
      <c r="R161" s="106" t="s">
        <v>82</v>
      </c>
      <c r="S161" s="106" t="s">
        <v>112</v>
      </c>
      <c r="T161" s="107">
        <v>46164</v>
      </c>
      <c r="U161" s="108"/>
      <c r="V161" s="109"/>
      <c r="W161" s="110"/>
      <c r="X161" s="69"/>
      <c r="Y161" s="69"/>
      <c r="Z161" s="69"/>
      <c r="AA161" s="69"/>
      <c r="AB161" s="69"/>
      <c r="AC161" s="69"/>
    </row>
    <row r="162" ht="35.25" customHeight="1">
      <c r="A162" s="104">
        <v>150</v>
      </c>
      <c r="B162" s="14"/>
      <c r="C162" s="14"/>
      <c r="D162" s="14"/>
      <c r="E162" s="14"/>
      <c r="F162" s="105" t="s">
        <v>106</v>
      </c>
      <c r="G162" s="105" t="s">
        <v>688</v>
      </c>
      <c r="H162" s="106" t="s">
        <v>689</v>
      </c>
      <c r="I162" s="106"/>
      <c r="J162" s="106" t="s">
        <v>690</v>
      </c>
      <c r="K162" s="106" t="s">
        <v>691</v>
      </c>
      <c r="L162" s="106"/>
      <c r="M162" s="105" t="s">
        <v>32</v>
      </c>
      <c r="N162" s="106" t="s">
        <v>82</v>
      </c>
      <c r="O162" s="106" t="s">
        <v>111</v>
      </c>
      <c r="P162" s="106"/>
      <c r="Q162" s="105" t="s">
        <v>30</v>
      </c>
      <c r="R162" s="106" t="s">
        <v>82</v>
      </c>
      <c r="S162" s="106" t="s">
        <v>112</v>
      </c>
      <c r="T162" s="107">
        <v>46164</v>
      </c>
      <c r="U162" s="108"/>
      <c r="V162" s="109"/>
      <c r="W162" s="110"/>
      <c r="X162" s="69"/>
      <c r="Y162" s="69"/>
      <c r="Z162" s="69"/>
      <c r="AA162" s="69"/>
      <c r="AB162" s="69"/>
      <c r="AC162" s="69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11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11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11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11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11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11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11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11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11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11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11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11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11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11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11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11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11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11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11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11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11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11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11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11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11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11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11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11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11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11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11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11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11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11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11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11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11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11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11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11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11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11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11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11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11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11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11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11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11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11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11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11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11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11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11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11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11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</row>
    <row r="220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11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</row>
    <row r="221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11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</row>
    <row r="222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11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</row>
    <row r="223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11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</row>
    <row r="224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11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</row>
    <row r="225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11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</row>
    <row r="226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11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</row>
    <row r="227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11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</row>
    <row r="228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11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</row>
    <row r="2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11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</row>
    <row r="230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11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</row>
    <row r="231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11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</row>
    <row r="232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11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</row>
    <row r="233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11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</row>
    <row r="234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11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</row>
    <row r="235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11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</row>
    <row r="236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11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</row>
    <row r="237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11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</row>
    <row r="238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11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</row>
    <row r="23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11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</row>
    <row r="240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11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</row>
    <row r="241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11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</row>
    <row r="242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11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</row>
    <row r="243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11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</row>
    <row r="244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11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</row>
    <row r="245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11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</row>
    <row r="246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11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</row>
    <row r="247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11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</row>
    <row r="248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11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</row>
    <row r="24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11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</row>
    <row r="250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11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</row>
    <row r="251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11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</row>
    <row r="252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11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</row>
    <row r="253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11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</row>
    <row r="254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11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</row>
    <row r="255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11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</row>
    <row r="256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11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</row>
    <row r="257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11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</row>
    <row r="258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11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</row>
    <row r="25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11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</row>
    <row r="260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11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</row>
    <row r="261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11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</row>
    <row r="262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11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</row>
    <row r="263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11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</row>
    <row r="264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11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</row>
    <row r="265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11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</row>
    <row r="266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11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</row>
    <row r="267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11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</row>
    <row r="268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11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</row>
    <row r="26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11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</row>
    <row r="270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11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</row>
    <row r="271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11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</row>
    <row r="272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11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</row>
    <row r="273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11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</row>
    <row r="274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11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</row>
    <row r="275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11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</row>
    <row r="276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11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</row>
    <row r="277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11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</row>
    <row r="278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11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11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11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11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11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11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11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11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11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11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11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11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11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11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11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11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11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11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11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11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11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11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11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11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11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11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11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11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11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11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11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11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11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11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11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11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11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11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11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11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11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11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11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11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11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11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11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11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11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11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 ht="15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11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C328" s="69"/>
    </row>
    <row r="329" ht="15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11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C329" s="69"/>
    </row>
    <row r="330" ht="15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11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C330" s="69"/>
    </row>
    <row r="331" ht="15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11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C331" s="69"/>
    </row>
    <row r="332" ht="15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11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C332" s="69"/>
    </row>
    <row r="333" ht="15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11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C333" s="69"/>
    </row>
    <row r="334" ht="15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11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C334" s="69"/>
    </row>
    <row r="335" ht="15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11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C335" s="69"/>
    </row>
    <row r="336" ht="15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11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C336" s="69"/>
    </row>
    <row r="337" ht="15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11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C337" s="69"/>
    </row>
    <row r="338" ht="15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11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C338" s="69"/>
    </row>
    <row r="339" ht="15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11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C339" s="69"/>
    </row>
    <row r="340" ht="15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11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C340" s="69"/>
    </row>
    <row r="341" ht="15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11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C341" s="69"/>
    </row>
    <row r="342" ht="15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11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C342" s="69"/>
    </row>
    <row r="343" ht="15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11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</row>
    <row r="344" ht="15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11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C344" s="69"/>
    </row>
    <row r="345" ht="15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11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C345" s="69"/>
    </row>
    <row r="346" ht="15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11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C346" s="69"/>
    </row>
    <row r="347" ht="15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11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C347" s="69"/>
    </row>
    <row r="348" ht="15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11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C348" s="69"/>
    </row>
    <row r="349" ht="15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11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C349" s="69"/>
    </row>
    <row r="350" ht="15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11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C350" s="69"/>
    </row>
    <row r="351" ht="15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11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C351" s="69"/>
    </row>
    <row r="352" ht="15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11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C352" s="69"/>
    </row>
    <row r="353" ht="15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11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C353" s="69"/>
    </row>
    <row r="354" ht="15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11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C354" s="69"/>
    </row>
    <row r="355" ht="15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11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C355" s="69"/>
    </row>
    <row r="356" ht="15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11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C356" s="69"/>
    </row>
    <row r="357" ht="15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11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C357" s="69"/>
    </row>
    <row r="358" ht="15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11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C358" s="69"/>
    </row>
    <row r="359" ht="15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11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C359" s="69"/>
    </row>
    <row r="360" ht="15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11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C360" s="69"/>
    </row>
    <row r="361" ht="15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11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C361" s="69"/>
    </row>
    <row r="362" ht="15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11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C362" s="69"/>
    </row>
    <row r="363" ht="15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11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C363" s="69"/>
    </row>
    <row r="364" ht="15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11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C364" s="69"/>
    </row>
    <row r="365" ht="15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11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C365" s="69"/>
    </row>
    <row r="366" ht="15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11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C366" s="69"/>
    </row>
    <row r="367" ht="15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11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C367" s="69"/>
    </row>
    <row r="368" ht="15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11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C368" s="69"/>
    </row>
    <row r="369" ht="15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11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C369" s="69"/>
    </row>
    <row r="370" ht="15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11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C370" s="69"/>
    </row>
    <row r="371" ht="15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11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C371" s="69"/>
    </row>
    <row r="372" ht="15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11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C372" s="69"/>
    </row>
    <row r="373" ht="15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11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C373" s="69"/>
    </row>
    <row r="374" ht="15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11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C374" s="69"/>
    </row>
    <row r="375" ht="15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11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C375" s="69"/>
    </row>
    <row r="376" ht="15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11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C376" s="69"/>
    </row>
    <row r="377" ht="15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11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C377" s="69"/>
    </row>
    <row r="378" ht="15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11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C378" s="69"/>
    </row>
    <row r="379" ht="15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11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C379" s="69"/>
    </row>
    <row r="380" ht="15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11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C380" s="69"/>
    </row>
    <row r="381" ht="15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11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C381" s="69"/>
    </row>
    <row r="382" ht="15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11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C382" s="69"/>
    </row>
    <row r="383" ht="15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11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</row>
    <row r="384" ht="15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11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C384" s="69"/>
    </row>
    <row r="385" ht="15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11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C385" s="69"/>
    </row>
    <row r="386" ht="15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11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C386" s="69"/>
    </row>
    <row r="387" ht="15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11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C387" s="69"/>
    </row>
    <row r="388" ht="15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11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C388" s="69"/>
    </row>
    <row r="389" ht="15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11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C389" s="69"/>
    </row>
    <row r="390" ht="15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11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C390" s="69"/>
    </row>
    <row r="391" ht="15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11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</row>
    <row r="392" ht="15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11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C392" s="69"/>
    </row>
    <row r="393" ht="15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11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C393" s="69"/>
    </row>
    <row r="394" ht="15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11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C394" s="69"/>
    </row>
    <row r="395" ht="15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11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C395" s="69"/>
    </row>
    <row r="396" ht="15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11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C396" s="69"/>
    </row>
    <row r="397" ht="15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11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C397" s="69"/>
    </row>
    <row r="398" ht="15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11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C398" s="69"/>
    </row>
    <row r="399" ht="15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11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C399" s="69"/>
    </row>
    <row r="400" ht="15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11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C400" s="69"/>
    </row>
    <row r="401" ht="15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11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C401" s="69"/>
    </row>
    <row r="402" ht="15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11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C402" s="69"/>
    </row>
    <row r="403" ht="15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11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C403" s="69"/>
    </row>
    <row r="404" ht="15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11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C404" s="69"/>
    </row>
    <row r="405" ht="15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11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C405" s="69"/>
    </row>
    <row r="406" ht="15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11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C406" s="69"/>
    </row>
    <row r="407" ht="15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11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C407" s="69"/>
    </row>
    <row r="408" ht="15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11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C408" s="69"/>
    </row>
    <row r="409" ht="15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11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C409" s="69"/>
    </row>
    <row r="410" ht="15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11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C410" s="69"/>
    </row>
    <row r="411" ht="15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11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C411" s="69"/>
    </row>
    <row r="412" ht="15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11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C412" s="69"/>
    </row>
    <row r="413" ht="15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11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C413" s="69"/>
    </row>
    <row r="414" ht="15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11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</row>
    <row r="415" ht="15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11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C415" s="69"/>
    </row>
    <row r="416" ht="15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11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C416" s="69"/>
    </row>
    <row r="417" ht="15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11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C417" s="69"/>
    </row>
    <row r="418" ht="15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11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C418" s="69"/>
    </row>
    <row r="419" ht="15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11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C419" s="69"/>
    </row>
    <row r="420" ht="15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11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C420" s="69"/>
    </row>
    <row r="421" ht="15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11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C421" s="69"/>
    </row>
    <row r="422" ht="15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11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C422" s="69"/>
    </row>
    <row r="423" ht="15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11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C423" s="69"/>
    </row>
    <row r="424" ht="15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11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C424" s="69"/>
    </row>
    <row r="425" ht="15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11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C425" s="69"/>
    </row>
    <row r="426" ht="15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11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C426" s="69"/>
    </row>
    <row r="427" ht="15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11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C427" s="69"/>
    </row>
    <row r="428" ht="15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11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C428" s="69"/>
    </row>
    <row r="429" ht="15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11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C429" s="69"/>
    </row>
    <row r="430" ht="15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11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C430" s="69"/>
    </row>
    <row r="431" ht="15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11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C431" s="69"/>
    </row>
    <row r="432" ht="15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11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C432" s="69"/>
    </row>
    <row r="433" ht="15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11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C433" s="69"/>
    </row>
    <row r="434" ht="15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11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C434" s="69"/>
    </row>
    <row r="435" ht="15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11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C435" s="69"/>
    </row>
    <row r="436" ht="15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11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C436" s="69"/>
    </row>
    <row r="437" ht="15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11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C437" s="69"/>
    </row>
    <row r="438" ht="15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11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C438" s="69"/>
    </row>
    <row r="439" ht="15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11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C439" s="69"/>
    </row>
    <row r="440" ht="15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11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C440" s="69"/>
    </row>
    <row r="441" ht="15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11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C441" s="69"/>
    </row>
    <row r="442" ht="15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11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C442" s="69"/>
    </row>
    <row r="443" ht="15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11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C443" s="69"/>
    </row>
    <row r="444" ht="15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11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</row>
    <row r="445" ht="15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11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C445" s="69"/>
    </row>
    <row r="446" ht="15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11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C446" s="69"/>
    </row>
    <row r="447" ht="15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11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C447" s="69"/>
    </row>
    <row r="448" ht="15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11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C448" s="69"/>
    </row>
    <row r="449" ht="15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11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C449" s="69"/>
    </row>
    <row r="450" ht="15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11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C450" s="69"/>
    </row>
    <row r="451" ht="15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11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C451" s="69"/>
    </row>
    <row r="452" ht="15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11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C452" s="69"/>
    </row>
    <row r="453" ht="15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11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C453" s="69"/>
    </row>
    <row r="454" ht="15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11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C454" s="69"/>
    </row>
    <row r="455" ht="15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11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C455" s="69"/>
    </row>
    <row r="456" ht="15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11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C456" s="69"/>
    </row>
    <row r="457" ht="15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11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C457" s="69"/>
    </row>
    <row r="458" ht="15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11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C458" s="69"/>
    </row>
    <row r="459" ht="15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11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C459" s="69"/>
    </row>
    <row r="460" ht="15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11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C460" s="69"/>
    </row>
    <row r="461" ht="15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11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C461" s="69"/>
    </row>
    <row r="462" ht="15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11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C462" s="69"/>
    </row>
    <row r="463" ht="15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11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C463" s="69"/>
    </row>
    <row r="464" ht="15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11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C464" s="69"/>
    </row>
    <row r="465" ht="15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11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C465" s="69"/>
    </row>
    <row r="466" ht="15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11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C466" s="69"/>
    </row>
    <row r="467" ht="15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11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C467" s="69"/>
    </row>
    <row r="468" ht="15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11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C468" s="69"/>
    </row>
    <row r="469" ht="15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11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C469" s="69"/>
    </row>
    <row r="470" ht="15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11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C470" s="69"/>
    </row>
    <row r="471" ht="15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11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C471" s="69"/>
    </row>
    <row r="472" ht="15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11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C472" s="69"/>
    </row>
    <row r="473" ht="15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11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C473" s="69"/>
    </row>
    <row r="474" ht="15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11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C474" s="69"/>
    </row>
    <row r="475" ht="15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11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C475" s="69"/>
    </row>
    <row r="476" ht="15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11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C476" s="69"/>
    </row>
    <row r="477" ht="15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11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C477" s="69"/>
    </row>
    <row r="478" ht="15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11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C478" s="69"/>
    </row>
    <row r="479" ht="15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11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C479" s="69"/>
    </row>
    <row r="480" ht="15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11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C480" s="69"/>
    </row>
    <row r="481" ht="15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11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C481" s="69"/>
    </row>
    <row r="482" ht="15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11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C482" s="69"/>
    </row>
    <row r="483" ht="15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11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C483" s="69"/>
    </row>
    <row r="484" ht="15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11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C484" s="69"/>
    </row>
    <row r="485" ht="15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11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C485" s="69"/>
    </row>
    <row r="486" ht="15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11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C486" s="69"/>
    </row>
    <row r="487" ht="15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11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C487" s="69"/>
    </row>
    <row r="488" ht="15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11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C488" s="69"/>
    </row>
    <row r="489" ht="15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11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C489" s="69"/>
    </row>
    <row r="490" ht="15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11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C490" s="69"/>
    </row>
    <row r="491" ht="15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11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C491" s="69"/>
    </row>
    <row r="492" ht="15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11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C492" s="69"/>
    </row>
    <row r="493" ht="15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11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C493" s="69"/>
    </row>
    <row r="494" ht="15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11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C494" s="69"/>
    </row>
    <row r="495" ht="15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11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C495" s="69"/>
    </row>
    <row r="496" ht="15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11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C496" s="69"/>
    </row>
    <row r="497" ht="15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11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C497" s="69"/>
    </row>
    <row r="498" ht="15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11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C498" s="69"/>
    </row>
    <row r="499" ht="15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11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C499" s="69"/>
    </row>
    <row r="500" ht="15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11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C500" s="69"/>
    </row>
    <row r="501" ht="15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11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C501" s="69"/>
    </row>
    <row r="502" ht="15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11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C502" s="69"/>
    </row>
    <row r="503" ht="15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11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C503" s="69"/>
    </row>
    <row r="504" ht="15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11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C504" s="69"/>
    </row>
    <row r="505" ht="15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11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C505" s="69"/>
    </row>
    <row r="506" ht="15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11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C506" s="69"/>
    </row>
    <row r="507" ht="15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11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</row>
    <row r="508" ht="15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11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C508" s="69"/>
    </row>
    <row r="509" ht="15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11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C509" s="69"/>
    </row>
    <row r="510" ht="15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11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C510" s="69"/>
    </row>
    <row r="511" ht="15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11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C511" s="69"/>
    </row>
    <row r="512" ht="15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11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C512" s="69"/>
    </row>
    <row r="513" ht="15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11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C513" s="69"/>
    </row>
    <row r="514" ht="15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11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C514" s="69"/>
    </row>
    <row r="515" ht="15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11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C515" s="69"/>
    </row>
    <row r="516" ht="15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11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C516" s="69"/>
    </row>
    <row r="517" ht="15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11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C517" s="69"/>
    </row>
    <row r="518" ht="15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11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C518" s="69"/>
    </row>
    <row r="519" ht="15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11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C519" s="69"/>
    </row>
    <row r="520" ht="15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11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C520" s="69"/>
    </row>
    <row r="521" ht="15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11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C521" s="69"/>
    </row>
    <row r="522" ht="15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11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C522" s="69"/>
    </row>
    <row r="523" ht="15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11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C523" s="69"/>
    </row>
    <row r="524" ht="15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11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C524" s="69"/>
    </row>
    <row r="525" ht="15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11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C525" s="69"/>
    </row>
    <row r="526" ht="15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11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C526" s="69"/>
    </row>
    <row r="527" ht="15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11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C527" s="69"/>
    </row>
    <row r="528" ht="15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11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C528" s="69"/>
    </row>
    <row r="529" ht="15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11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C529" s="69"/>
    </row>
    <row r="530" ht="15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11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C530" s="69"/>
    </row>
    <row r="531" ht="15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11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C531" s="69"/>
    </row>
    <row r="532" ht="15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11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C532" s="69"/>
    </row>
    <row r="533" ht="15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11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C533" s="69"/>
    </row>
    <row r="534" ht="15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11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C534" s="69"/>
    </row>
    <row r="535" ht="15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11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C535" s="69"/>
    </row>
    <row r="536" ht="15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11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C536" s="69"/>
    </row>
    <row r="537" ht="15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11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C537" s="69"/>
    </row>
    <row r="538" ht="15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11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C538" s="69"/>
    </row>
    <row r="539" ht="15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11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C539" s="69"/>
    </row>
    <row r="540" ht="15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11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C540" s="69"/>
    </row>
    <row r="541" ht="15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11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C541" s="69"/>
    </row>
    <row r="542" ht="15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11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C542" s="69"/>
    </row>
    <row r="543" ht="15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11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C543" s="69"/>
    </row>
    <row r="544" ht="15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11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C544" s="69"/>
    </row>
    <row r="545" ht="15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11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C545" s="69"/>
    </row>
    <row r="546" ht="15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11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C546" s="69"/>
    </row>
    <row r="547" ht="15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11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C547" s="69"/>
    </row>
    <row r="548" ht="15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11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C548" s="69"/>
    </row>
    <row r="549" ht="15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11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C549" s="69"/>
    </row>
    <row r="550" ht="15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11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C550" s="69"/>
    </row>
    <row r="551" ht="15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11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C551" s="69"/>
    </row>
    <row r="552" ht="15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11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C552" s="69"/>
    </row>
    <row r="553" ht="15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11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C553" s="69"/>
    </row>
    <row r="554" ht="15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11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C554" s="69"/>
    </row>
    <row r="555" ht="15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11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C555" s="69"/>
    </row>
    <row r="556" ht="15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11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C556" s="69"/>
    </row>
    <row r="557" ht="15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11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C557" s="69"/>
    </row>
    <row r="558" ht="15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11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C558" s="69"/>
    </row>
    <row r="559" ht="15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11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C559" s="69"/>
    </row>
    <row r="560" ht="15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11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C560" s="69"/>
    </row>
    <row r="561" ht="15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11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C561" s="69"/>
    </row>
    <row r="562" ht="15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11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C562" s="69"/>
    </row>
    <row r="563" ht="15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11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C563" s="69"/>
    </row>
    <row r="564" ht="15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11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C564" s="69"/>
    </row>
    <row r="565" ht="15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11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C565" s="69"/>
    </row>
    <row r="566" ht="15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11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C566" s="69"/>
    </row>
    <row r="567" ht="15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11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C567" s="69"/>
    </row>
    <row r="568" ht="15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11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</row>
    <row r="569" ht="15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11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C569" s="69"/>
    </row>
    <row r="570" ht="15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11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C570" s="69"/>
    </row>
    <row r="571" ht="15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11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C571" s="69"/>
    </row>
    <row r="572" ht="15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11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C572" s="69"/>
    </row>
    <row r="573" ht="15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11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C573" s="69"/>
    </row>
    <row r="574" ht="15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11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C574" s="69"/>
    </row>
    <row r="575" ht="15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11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C575" s="69"/>
    </row>
    <row r="576" ht="15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11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C576" s="69"/>
    </row>
    <row r="577" ht="15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11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C577" s="69"/>
    </row>
    <row r="578" ht="15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11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C578" s="69"/>
    </row>
    <row r="579" ht="15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11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C579" s="69"/>
    </row>
    <row r="580" ht="15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11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C580" s="69"/>
    </row>
    <row r="581" ht="15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11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C581" s="69"/>
    </row>
    <row r="582" ht="15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11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C582" s="69"/>
    </row>
    <row r="583" ht="15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11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C583" s="69"/>
    </row>
    <row r="584" ht="15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11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C584" s="69"/>
    </row>
    <row r="585" ht="15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11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C585" s="69"/>
    </row>
    <row r="586" ht="15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11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C586" s="69"/>
    </row>
    <row r="587" ht="15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11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C587" s="69"/>
    </row>
    <row r="588" ht="15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11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C588" s="69"/>
    </row>
    <row r="589" ht="15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11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C589" s="69"/>
    </row>
    <row r="590" ht="15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11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C590" s="69"/>
    </row>
    <row r="591" ht="15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11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C591" s="69"/>
    </row>
    <row r="592" ht="15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11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C592" s="69"/>
    </row>
    <row r="593" ht="15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11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C593" s="69"/>
    </row>
    <row r="594" ht="15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11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C594" s="69"/>
    </row>
    <row r="595" ht="15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11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C595" s="69"/>
    </row>
    <row r="596" ht="15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11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C596" s="69"/>
    </row>
    <row r="597" ht="15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11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C597" s="69"/>
    </row>
    <row r="598" ht="15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11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C598" s="69"/>
    </row>
    <row r="599" ht="15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11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C599" s="69"/>
    </row>
    <row r="600" ht="15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11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C600" s="69"/>
    </row>
    <row r="601" ht="15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11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C601" s="69"/>
    </row>
    <row r="602" ht="15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11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C602" s="69"/>
    </row>
    <row r="603" ht="15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11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C603" s="69"/>
    </row>
    <row r="604" ht="15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11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C604" s="69"/>
    </row>
    <row r="605" ht="15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11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C605" s="69"/>
    </row>
    <row r="606" ht="15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11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C606" s="69"/>
    </row>
    <row r="607" ht="15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11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C607" s="69"/>
    </row>
    <row r="608" ht="15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11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C608" s="69"/>
    </row>
    <row r="609" ht="15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11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C609" s="69"/>
    </row>
    <row r="610" ht="15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11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C610" s="69"/>
    </row>
    <row r="611" ht="15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11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C611" s="69"/>
    </row>
    <row r="612" ht="15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11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C612" s="69"/>
    </row>
    <row r="613" ht="15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11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C613" s="69"/>
    </row>
    <row r="614" ht="15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11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C614" s="69"/>
    </row>
    <row r="615" ht="15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11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C615" s="69"/>
    </row>
    <row r="616" ht="15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11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C616" s="69"/>
    </row>
    <row r="617" ht="15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11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C617" s="69"/>
    </row>
    <row r="618" ht="15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11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C618" s="69"/>
    </row>
    <row r="619" ht="15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11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C619" s="69"/>
    </row>
    <row r="620" ht="15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11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C620" s="69"/>
    </row>
    <row r="621" ht="15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11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C621" s="69"/>
    </row>
    <row r="622" ht="15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11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C622" s="69"/>
    </row>
    <row r="623" ht="15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11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C623" s="69"/>
    </row>
    <row r="624" ht="15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11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C624" s="69"/>
    </row>
    <row r="625" ht="15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11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C625" s="69"/>
    </row>
    <row r="626" ht="15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11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C626" s="69"/>
    </row>
    <row r="627" ht="15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11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C627" s="69"/>
    </row>
    <row r="628" ht="15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11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C628" s="69"/>
    </row>
    <row r="629" ht="15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11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C629" s="69"/>
    </row>
    <row r="630" ht="15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11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C630" s="69"/>
    </row>
    <row r="631" ht="15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11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C631" s="69"/>
    </row>
    <row r="632" ht="15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11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C632" s="69"/>
    </row>
    <row r="633" ht="15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11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C633" s="69"/>
    </row>
    <row r="634" ht="15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11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C634" s="69"/>
    </row>
    <row r="635" ht="15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11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C635" s="69"/>
    </row>
    <row r="636" ht="15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11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C636" s="69"/>
    </row>
    <row r="637" ht="15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11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C637" s="69"/>
    </row>
    <row r="638" ht="15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11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C638" s="69"/>
    </row>
    <row r="639" ht="15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11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C639" s="69"/>
    </row>
    <row r="640" ht="15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11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C640" s="69"/>
    </row>
    <row r="641" ht="15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11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C641" s="69"/>
    </row>
    <row r="642" ht="15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11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C642" s="69"/>
    </row>
    <row r="643" ht="15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11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C643" s="69"/>
    </row>
    <row r="644" ht="15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11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C644" s="69"/>
    </row>
    <row r="645" ht="15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11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C645" s="69"/>
    </row>
    <row r="646" ht="15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11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C646" s="69"/>
    </row>
    <row r="647" ht="15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11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C647" s="69"/>
    </row>
    <row r="648" ht="15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11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C648" s="69"/>
    </row>
    <row r="649" ht="15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11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C649" s="69"/>
    </row>
    <row r="650" ht="15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11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C650" s="69"/>
    </row>
    <row r="651" ht="15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11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C651" s="69"/>
    </row>
    <row r="652" ht="15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11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C652" s="69"/>
    </row>
    <row r="653" ht="15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11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C653" s="69"/>
    </row>
    <row r="654" ht="15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11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C654" s="69"/>
    </row>
    <row r="655" ht="15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11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C655" s="69"/>
    </row>
    <row r="656" ht="15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11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C656" s="69"/>
    </row>
    <row r="657" ht="15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11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C657" s="69"/>
    </row>
    <row r="658" ht="15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11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C658" s="69"/>
    </row>
    <row r="659" ht="15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11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C659" s="69"/>
    </row>
    <row r="660" ht="15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11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C660" s="69"/>
    </row>
    <row r="661" ht="15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11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C661" s="69"/>
    </row>
    <row r="662" ht="15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11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C662" s="69"/>
    </row>
    <row r="663" ht="15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11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C663" s="69"/>
    </row>
    <row r="664" ht="15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11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C664" s="69"/>
    </row>
    <row r="665" ht="15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11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C665" s="69"/>
    </row>
    <row r="666" ht="15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11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C666" s="69"/>
    </row>
    <row r="667" ht="15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11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C667" s="69"/>
    </row>
    <row r="668" ht="15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11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C668" s="69"/>
    </row>
    <row r="669" ht="15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11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C669" s="69"/>
    </row>
    <row r="670" ht="15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11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C670" s="69"/>
    </row>
    <row r="671" ht="15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11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C671" s="69"/>
    </row>
    <row r="672" ht="15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11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C672" s="69"/>
    </row>
    <row r="673" ht="15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11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C673" s="69"/>
    </row>
    <row r="674" ht="15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11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C674" s="69"/>
    </row>
    <row r="675" ht="15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11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C675" s="69"/>
    </row>
    <row r="676" ht="15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11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C676" s="69"/>
    </row>
    <row r="677" ht="15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11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C677" s="69"/>
    </row>
    <row r="678" ht="15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11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C678" s="69"/>
    </row>
    <row r="679" ht="15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11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C679" s="69"/>
    </row>
    <row r="680" ht="15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11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C680" s="69"/>
    </row>
    <row r="681" ht="15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11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C681" s="69"/>
    </row>
    <row r="682" ht="15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11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C682" s="69"/>
    </row>
    <row r="683" ht="15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11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C683" s="69"/>
    </row>
    <row r="684" ht="15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11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C684" s="69"/>
    </row>
    <row r="685" ht="15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11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C685" s="69"/>
    </row>
    <row r="686" ht="15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11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C686" s="69"/>
    </row>
    <row r="687" ht="15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11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C687" s="69"/>
    </row>
    <row r="688" ht="15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11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C688" s="69"/>
    </row>
    <row r="689" ht="15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11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C689" s="69"/>
    </row>
    <row r="690" ht="15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11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C690" s="69"/>
    </row>
    <row r="691" ht="15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11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C691" s="69"/>
    </row>
    <row r="692" ht="15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11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C692" s="69"/>
    </row>
    <row r="693" ht="15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11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C693" s="69"/>
    </row>
    <row r="694" ht="15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11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C694" s="69"/>
    </row>
    <row r="695" ht="15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11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C695" s="69"/>
    </row>
    <row r="696" ht="15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11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C696" s="69"/>
    </row>
    <row r="697" ht="15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11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C697" s="69"/>
    </row>
    <row r="698" ht="15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11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C698" s="69"/>
    </row>
    <row r="699" ht="15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11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C699" s="69"/>
    </row>
    <row r="700" ht="15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11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C700" s="69"/>
    </row>
    <row r="701" ht="15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11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C701" s="69"/>
    </row>
    <row r="702" ht="15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11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C702" s="69"/>
    </row>
    <row r="703" ht="15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11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C703" s="69"/>
    </row>
    <row r="704" ht="15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11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C704" s="69"/>
    </row>
    <row r="705" ht="15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11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C705" s="69"/>
    </row>
    <row r="706" ht="15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11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C706" s="69"/>
    </row>
    <row r="707" ht="15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11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C707" s="69"/>
    </row>
    <row r="708" ht="15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11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C708" s="69"/>
    </row>
    <row r="709" ht="15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11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C709" s="69"/>
    </row>
    <row r="710" ht="15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11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C710" s="69"/>
    </row>
    <row r="711" ht="15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11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C711" s="69"/>
    </row>
    <row r="712" ht="15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11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C712" s="69"/>
    </row>
    <row r="713" ht="15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11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C713" s="69"/>
    </row>
    <row r="714" ht="15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11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C714" s="69"/>
    </row>
    <row r="715" ht="15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11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C715" s="69"/>
    </row>
    <row r="716" ht="15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11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C716" s="69"/>
    </row>
    <row r="717" ht="15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11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C717" s="69"/>
    </row>
    <row r="718" ht="15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11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C718" s="69"/>
    </row>
    <row r="719" ht="15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11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C719" s="69"/>
    </row>
    <row r="720" ht="15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11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C720" s="69"/>
    </row>
    <row r="721" ht="15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11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C721" s="69"/>
    </row>
    <row r="722" ht="15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11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C722" s="69"/>
    </row>
    <row r="723" ht="15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11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C723" s="69"/>
    </row>
    <row r="724" ht="15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11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C724" s="69"/>
    </row>
    <row r="725" ht="15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11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C725" s="69"/>
    </row>
    <row r="726" ht="15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11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C726" s="69"/>
    </row>
    <row r="727" ht="15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11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C727" s="69"/>
    </row>
    <row r="728" ht="15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11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C728" s="69"/>
    </row>
    <row r="729" ht="15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11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C729" s="69"/>
    </row>
    <row r="730" ht="15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11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C730" s="69"/>
    </row>
    <row r="731" ht="15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11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C731" s="69"/>
    </row>
    <row r="732" ht="15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11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C732" s="69"/>
    </row>
    <row r="733" ht="15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11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C733" s="69"/>
    </row>
    <row r="734" ht="15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11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C734" s="69"/>
    </row>
    <row r="735" ht="15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11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C735" s="69"/>
    </row>
    <row r="736" ht="15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11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C736" s="69"/>
    </row>
    <row r="737" ht="15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11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C737" s="69"/>
    </row>
    <row r="738" ht="15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11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C738" s="69"/>
    </row>
    <row r="739" ht="15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11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C739" s="69"/>
    </row>
    <row r="740" ht="15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11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C740" s="69"/>
    </row>
    <row r="741" ht="15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11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C741" s="69"/>
    </row>
    <row r="742" ht="15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11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C742" s="69"/>
    </row>
    <row r="743" ht="15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11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C743" s="69"/>
    </row>
    <row r="744" ht="15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11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C744" s="69"/>
    </row>
    <row r="745" ht="15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11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C745" s="69"/>
    </row>
    <row r="746" ht="15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11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C746" s="69"/>
    </row>
    <row r="747" ht="15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11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C747" s="69"/>
    </row>
    <row r="748" ht="15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11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C748" s="69"/>
    </row>
    <row r="749" ht="15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11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C749" s="69"/>
    </row>
    <row r="750" ht="15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11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C750" s="69"/>
    </row>
    <row r="751" ht="15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11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C751" s="69"/>
    </row>
    <row r="752" ht="15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11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C752" s="69"/>
    </row>
    <row r="753" ht="15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11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C753" s="69"/>
    </row>
    <row r="754" ht="15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11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C754" s="69"/>
    </row>
    <row r="755" ht="15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11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C755" s="69"/>
    </row>
    <row r="756" ht="15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11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C756" s="69"/>
    </row>
    <row r="757" ht="15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11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C757" s="69"/>
    </row>
    <row r="758" ht="15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11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C758" s="69"/>
    </row>
    <row r="759" ht="15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11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C759" s="69"/>
    </row>
    <row r="760" ht="15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11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C760" s="69"/>
    </row>
    <row r="761" ht="15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11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C761" s="69"/>
    </row>
    <row r="762" ht="15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11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C762" s="69"/>
    </row>
    <row r="763" ht="15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11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C763" s="69"/>
    </row>
    <row r="764" ht="15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11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C764" s="69"/>
    </row>
    <row r="765" ht="15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11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C765" s="69"/>
    </row>
    <row r="766" ht="15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11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C766" s="69"/>
    </row>
    <row r="767" ht="15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11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C767" s="69"/>
    </row>
    <row r="768" ht="15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11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C768" s="69"/>
    </row>
    <row r="769" ht="15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11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C769" s="69"/>
    </row>
    <row r="770" ht="15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11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C770" s="69"/>
    </row>
    <row r="771" ht="15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11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C771" s="69"/>
    </row>
    <row r="772" ht="15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11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C772" s="69"/>
    </row>
    <row r="773" ht="15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11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C773" s="69"/>
    </row>
    <row r="774" ht="15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11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C774" s="69"/>
    </row>
    <row r="775" ht="15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11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C775" s="69"/>
    </row>
    <row r="776" ht="15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11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C776" s="69"/>
    </row>
    <row r="777" ht="15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11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C777" s="69"/>
    </row>
    <row r="778" ht="15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11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C778" s="69"/>
    </row>
    <row r="779" ht="15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11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C779" s="69"/>
    </row>
    <row r="780" ht="15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11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C780" s="69"/>
    </row>
    <row r="781" ht="15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11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C781" s="69"/>
    </row>
    <row r="782" ht="15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11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C782" s="69"/>
    </row>
    <row r="783" ht="15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11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C783" s="69"/>
    </row>
    <row r="784" ht="15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11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C784" s="69"/>
    </row>
    <row r="785" ht="15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11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C785" s="69"/>
    </row>
    <row r="786" ht="15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11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C786" s="69"/>
    </row>
    <row r="787" ht="15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11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C787" s="69"/>
    </row>
    <row r="788" ht="15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11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C788" s="69"/>
    </row>
    <row r="789" ht="15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11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C789" s="69"/>
    </row>
    <row r="790" ht="15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11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C790" s="69"/>
    </row>
    <row r="791" ht="15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11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C791" s="69"/>
    </row>
    <row r="792" ht="15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11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C792" s="69"/>
    </row>
    <row r="793" ht="15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11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C793" s="69"/>
    </row>
    <row r="794" ht="15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11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C794" s="69"/>
    </row>
    <row r="795" ht="15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11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C795" s="69"/>
    </row>
    <row r="796" ht="15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11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C796" s="69"/>
    </row>
    <row r="797" ht="15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11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C797" s="69"/>
    </row>
    <row r="798" ht="15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11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C798" s="69"/>
    </row>
    <row r="799" ht="15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11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C799" s="69"/>
    </row>
    <row r="800" ht="15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11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C800" s="69"/>
    </row>
    <row r="801" ht="15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11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C801" s="69"/>
    </row>
    <row r="802" ht="15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11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C802" s="69"/>
    </row>
    <row r="803" ht="15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11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  <c r="AC803" s="69"/>
    </row>
    <row r="804" ht="15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11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  <c r="AC804" s="69"/>
    </row>
    <row r="805" ht="15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11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  <c r="AC805" s="69"/>
    </row>
    <row r="806" ht="15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11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  <c r="AC806" s="69"/>
    </row>
    <row r="807" ht="15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11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  <c r="AC807" s="69"/>
    </row>
    <row r="808" ht="15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11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  <c r="AC808" s="69"/>
    </row>
    <row r="809" ht="15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11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  <c r="AC809" s="69"/>
    </row>
    <row r="810" ht="15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11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  <c r="AC810" s="69"/>
    </row>
    <row r="811" ht="15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11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  <c r="AC811" s="69"/>
    </row>
    <row r="812" ht="15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11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  <c r="AC812" s="69"/>
    </row>
    <row r="813" ht="15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11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  <c r="AC813" s="69"/>
    </row>
    <row r="814" ht="15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11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  <c r="AC814" s="69"/>
    </row>
    <row r="815" ht="15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11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  <c r="AC815" s="69"/>
    </row>
    <row r="816" ht="15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11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  <c r="AC816" s="69"/>
    </row>
    <row r="817" ht="15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11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  <c r="AC817" s="69"/>
    </row>
    <row r="818" ht="15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11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  <c r="AC818" s="69"/>
    </row>
    <row r="819" ht="15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11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  <c r="AC819" s="69"/>
    </row>
    <row r="820" ht="15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11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  <c r="AC820" s="69"/>
    </row>
    <row r="821" ht="15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11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  <c r="AC821" s="69"/>
    </row>
    <row r="822" ht="15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11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  <c r="AC822" s="69"/>
    </row>
    <row r="823" ht="15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11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  <c r="AC823" s="69"/>
    </row>
    <row r="824" ht="15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11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  <c r="AC824" s="69"/>
    </row>
    <row r="825" ht="15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11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  <c r="AC825" s="69"/>
    </row>
    <row r="826" ht="15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11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  <c r="AC826" s="69"/>
    </row>
    <row r="827" ht="15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11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  <c r="AC827" s="69"/>
    </row>
    <row r="828" ht="15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11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  <c r="AC828" s="69"/>
    </row>
    <row r="829" ht="15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11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  <c r="AC829" s="69"/>
    </row>
    <row r="830" ht="15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11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  <c r="AC830" s="69"/>
    </row>
    <row r="831" ht="15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11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  <c r="AC831" s="69"/>
    </row>
    <row r="832" ht="15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11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  <c r="AC832" s="69"/>
    </row>
    <row r="833" ht="15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11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  <c r="AC833" s="69"/>
    </row>
    <row r="834" ht="15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11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  <c r="AC834" s="69"/>
    </row>
    <row r="835" ht="15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11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  <c r="AC835" s="69"/>
    </row>
    <row r="836" ht="15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11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  <c r="AC836" s="69"/>
    </row>
    <row r="837" ht="15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11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  <c r="AC837" s="69"/>
    </row>
    <row r="838" ht="15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11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  <c r="AC838" s="69"/>
    </row>
    <row r="839" ht="15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11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  <c r="AC839" s="69"/>
    </row>
    <row r="840" ht="15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11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  <c r="AC840" s="69"/>
    </row>
    <row r="841" ht="15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11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  <c r="AC841" s="69"/>
    </row>
    <row r="842" ht="15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11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  <c r="AC842" s="69"/>
    </row>
    <row r="843" ht="15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11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  <c r="AC843" s="69"/>
    </row>
    <row r="844" ht="15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11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  <c r="AC844" s="69"/>
    </row>
    <row r="845" ht="15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11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  <c r="AC845" s="69"/>
    </row>
    <row r="846" ht="15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11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  <c r="AC846" s="69"/>
    </row>
    <row r="847" ht="15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11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  <c r="AC847" s="69"/>
    </row>
    <row r="848" ht="15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11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  <c r="AC848" s="69"/>
    </row>
    <row r="849" ht="15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11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  <c r="AC849" s="69"/>
    </row>
    <row r="850" ht="15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11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  <c r="AC850" s="69"/>
    </row>
    <row r="851" ht="15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11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  <c r="AC851" s="69"/>
    </row>
    <row r="852" ht="15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11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  <c r="AC852" s="69"/>
    </row>
    <row r="853" ht="15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11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  <c r="AC853" s="69"/>
    </row>
    <row r="854" ht="15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11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  <c r="AC854" s="69"/>
    </row>
    <row r="855" ht="15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11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  <c r="AC855" s="69"/>
    </row>
    <row r="856" ht="15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11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  <c r="AC856" s="69"/>
    </row>
    <row r="857" ht="15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11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  <c r="AC857" s="69"/>
    </row>
    <row r="858" ht="15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11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  <c r="AC858" s="69"/>
    </row>
    <row r="859" ht="15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11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  <c r="AC859" s="69"/>
    </row>
    <row r="860" ht="15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11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  <c r="AC860" s="69"/>
    </row>
    <row r="861" ht="15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11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  <c r="AC861" s="69"/>
    </row>
    <row r="862" ht="15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11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  <c r="AC862" s="69"/>
    </row>
    <row r="863" ht="15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11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  <c r="AC863" s="69"/>
    </row>
    <row r="864" ht="15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11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  <c r="AC864" s="69"/>
    </row>
    <row r="865" ht="15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11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  <c r="AC865" s="69"/>
    </row>
    <row r="866" ht="15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11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  <c r="AC866" s="69"/>
    </row>
    <row r="867" ht="15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11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  <c r="AC867" s="69"/>
    </row>
    <row r="868" ht="15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11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  <c r="AC868" s="69"/>
    </row>
    <row r="869" ht="15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11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  <c r="AC869" s="69"/>
    </row>
    <row r="870" ht="15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11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  <c r="AC870" s="69"/>
    </row>
    <row r="871" ht="15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11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  <c r="AC871" s="69"/>
    </row>
    <row r="872" ht="15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11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  <c r="AC872" s="69"/>
    </row>
    <row r="873" ht="15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11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  <c r="AC873" s="69"/>
    </row>
    <row r="874" ht="15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11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  <c r="AC874" s="69"/>
    </row>
    <row r="875" ht="15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11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  <c r="AC875" s="69"/>
    </row>
    <row r="876" ht="15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11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  <c r="AC876" s="69"/>
    </row>
    <row r="877" ht="15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11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  <c r="AC877" s="69"/>
    </row>
    <row r="878" ht="15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11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  <c r="AC878" s="69"/>
    </row>
    <row r="879" ht="15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11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  <c r="AC879" s="69"/>
    </row>
    <row r="880" ht="15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11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  <c r="AC880" s="69"/>
    </row>
    <row r="881" ht="15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11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  <c r="AC881" s="69"/>
    </row>
    <row r="882" ht="15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11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  <c r="AC882" s="69"/>
    </row>
    <row r="883" ht="15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11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  <c r="AC883" s="69"/>
    </row>
    <row r="884" ht="15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11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  <c r="AC884" s="69"/>
    </row>
    <row r="885" ht="15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11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  <c r="AC885" s="69"/>
    </row>
    <row r="886" ht="15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11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  <c r="AC886" s="69"/>
    </row>
    <row r="887" ht="15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11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  <c r="AC887" s="69"/>
    </row>
    <row r="888" ht="15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11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  <c r="AC888" s="69"/>
    </row>
    <row r="889" ht="15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11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  <c r="AC889" s="69"/>
    </row>
    <row r="890" ht="15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11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  <c r="AC890" s="69"/>
    </row>
    <row r="891" ht="15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11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  <c r="AC891" s="69"/>
    </row>
    <row r="892" ht="15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11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  <c r="AC892" s="69"/>
    </row>
    <row r="893" ht="15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11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  <c r="AC893" s="69"/>
    </row>
    <row r="894" ht="15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11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  <c r="AC894" s="69"/>
    </row>
    <row r="895" ht="15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11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  <c r="AC895" s="69"/>
    </row>
    <row r="896" ht="15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11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  <c r="AC896" s="69"/>
    </row>
    <row r="897" ht="15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11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  <c r="AC897" s="69"/>
    </row>
    <row r="898" ht="15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11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  <c r="AC898" s="69"/>
    </row>
    <row r="899" ht="15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11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  <c r="AC899" s="69"/>
    </row>
    <row r="900" ht="15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11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  <c r="AC900" s="69"/>
    </row>
    <row r="901" ht="15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11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  <c r="AC901" s="69"/>
    </row>
    <row r="902" ht="15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11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  <c r="AC902" s="69"/>
    </row>
    <row r="903" ht="15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11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  <c r="AC903" s="69"/>
    </row>
    <row r="904" ht="15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11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  <c r="AC904" s="69"/>
    </row>
    <row r="905" ht="15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11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  <c r="AC905" s="69"/>
    </row>
    <row r="906" ht="15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11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  <c r="AC906" s="69"/>
    </row>
    <row r="907" ht="15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11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  <c r="AC907" s="69"/>
    </row>
    <row r="908" ht="15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11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  <c r="AC908" s="69"/>
    </row>
    <row r="909" ht="15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11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  <c r="AC909" s="69"/>
    </row>
    <row r="910" ht="15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11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  <c r="AC910" s="69"/>
    </row>
    <row r="911" ht="15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11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  <c r="AC911" s="69"/>
    </row>
    <row r="912" ht="15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11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  <c r="AC912" s="69"/>
    </row>
    <row r="913" ht="15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11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  <c r="AC913" s="69"/>
    </row>
    <row r="914" ht="15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11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  <c r="AC914" s="69"/>
    </row>
    <row r="915" ht="15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11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  <c r="AC915" s="69"/>
    </row>
    <row r="916" ht="15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11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  <c r="AC916" s="69"/>
    </row>
    <row r="917" ht="15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11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  <c r="AC917" s="69"/>
    </row>
    <row r="918" ht="15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11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  <c r="AC918" s="69"/>
    </row>
    <row r="919" ht="15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11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  <c r="AC919" s="69"/>
    </row>
    <row r="920" ht="15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11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  <c r="AC920" s="69"/>
    </row>
    <row r="921" ht="15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11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  <c r="AC921" s="69"/>
    </row>
    <row r="922" ht="15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11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  <c r="AC922" s="69"/>
    </row>
    <row r="923" ht="15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11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  <c r="AC923" s="69"/>
    </row>
    <row r="924" ht="15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11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  <c r="AC924" s="69"/>
    </row>
    <row r="925" ht="15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11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  <c r="AC925" s="69"/>
    </row>
    <row r="926" ht="15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11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  <c r="AC926" s="69"/>
    </row>
    <row r="927" ht="15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11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  <c r="AC927" s="69"/>
    </row>
    <row r="928" ht="15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11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  <c r="AC928" s="69"/>
    </row>
    <row r="929" ht="15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11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  <c r="AC929" s="69"/>
    </row>
    <row r="930" ht="15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11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  <c r="AC930" s="69"/>
    </row>
    <row r="931" ht="15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11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  <c r="AC931" s="69"/>
    </row>
    <row r="932" ht="15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11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  <c r="AC932" s="69"/>
    </row>
    <row r="933" ht="15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11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  <c r="AC933" s="69"/>
    </row>
    <row r="934" ht="15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11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  <c r="AC934" s="69"/>
    </row>
    <row r="935" ht="15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11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  <c r="AC935" s="69"/>
    </row>
    <row r="936" ht="15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11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  <c r="AC936" s="69"/>
    </row>
    <row r="937" ht="15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11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  <c r="AC937" s="69"/>
    </row>
    <row r="938" ht="15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11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  <c r="AC938" s="69"/>
    </row>
    <row r="939" ht="15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11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  <c r="AC939" s="69"/>
    </row>
    <row r="940" ht="15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11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  <c r="AC940" s="69"/>
    </row>
    <row r="941" ht="15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11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  <c r="AC941" s="69"/>
    </row>
    <row r="942" ht="15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11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  <c r="AC942" s="69"/>
    </row>
    <row r="943" ht="15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11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  <c r="AC943" s="69"/>
    </row>
    <row r="944" ht="15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11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  <c r="AC944" s="69"/>
    </row>
    <row r="945" ht="15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11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  <c r="AC945" s="69"/>
    </row>
    <row r="946" ht="15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11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  <c r="AC946" s="69"/>
    </row>
    <row r="947" ht="15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11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  <c r="AC947" s="69"/>
    </row>
    <row r="948" ht="15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11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  <c r="AC948" s="69"/>
    </row>
    <row r="949" ht="15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11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  <c r="AC949" s="69"/>
    </row>
    <row r="950" ht="15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11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  <c r="AC950" s="69"/>
    </row>
    <row r="951" ht="15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11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  <c r="AC951" s="69"/>
    </row>
    <row r="952" ht="15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11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  <c r="AC952" s="69"/>
    </row>
    <row r="953" ht="15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11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  <c r="AC953" s="69"/>
    </row>
    <row r="954" ht="15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11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  <c r="AC954" s="69"/>
    </row>
    <row r="955" ht="15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11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  <c r="AC955" s="69"/>
    </row>
    <row r="956" ht="15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11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  <c r="AC956" s="69"/>
    </row>
    <row r="957" ht="15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11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  <c r="AC957" s="69"/>
    </row>
    <row r="958" ht="15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11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  <c r="AC958" s="69"/>
    </row>
    <row r="959" ht="15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11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  <c r="AC959" s="69"/>
    </row>
    <row r="960" ht="15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11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  <c r="AC960" s="69"/>
    </row>
    <row r="961" ht="15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11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  <c r="AC961" s="69"/>
    </row>
    <row r="962" ht="15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11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  <c r="AC962" s="69"/>
    </row>
    <row r="963" ht="15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11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  <c r="AC963" s="69"/>
    </row>
    <row r="964" ht="15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11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  <c r="AC964" s="69"/>
    </row>
    <row r="965" ht="15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11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  <c r="AC965" s="69"/>
    </row>
    <row r="966" ht="15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11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  <c r="AC966" s="69"/>
    </row>
    <row r="967" ht="15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11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  <c r="AC967" s="69"/>
    </row>
    <row r="968" ht="15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11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  <c r="AC968" s="69"/>
    </row>
    <row r="969" ht="15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11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  <c r="AC969" s="69"/>
    </row>
    <row r="970" ht="15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11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  <c r="AC970" s="69"/>
    </row>
    <row r="971" ht="15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11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  <c r="AC971" s="69"/>
    </row>
    <row r="972" ht="15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11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  <c r="AC972" s="69"/>
    </row>
    <row r="973" ht="15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11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  <c r="AC973" s="69"/>
    </row>
    <row r="974" ht="15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11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  <c r="AC974" s="69"/>
    </row>
    <row r="975" ht="15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11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  <c r="AC975" s="69"/>
    </row>
    <row r="976" ht="15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11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  <c r="AC976" s="69"/>
    </row>
    <row r="977" ht="15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11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  <c r="AC977" s="69"/>
    </row>
    <row r="978" ht="15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11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  <c r="AC978" s="69"/>
    </row>
    <row r="979" ht="15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11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  <c r="AC979" s="69"/>
    </row>
    <row r="980" ht="15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11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  <c r="AC980" s="69"/>
    </row>
    <row r="981" ht="15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11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  <c r="AC981" s="69"/>
    </row>
    <row r="982" ht="15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11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  <c r="AC982" s="69"/>
    </row>
    <row r="983" ht="15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11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  <c r="AC983" s="69"/>
    </row>
    <row r="984" ht="15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11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  <c r="AC984" s="69"/>
    </row>
    <row r="985" ht="15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11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  <c r="AC985" s="69"/>
    </row>
    <row r="986" ht="15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11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  <c r="AC986" s="69"/>
    </row>
    <row r="987" ht="15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11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  <c r="AC987" s="69"/>
    </row>
    <row r="988" ht="15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11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  <c r="AC988" s="69"/>
    </row>
    <row r="989" ht="15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11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  <c r="AC989" s="69"/>
    </row>
    <row r="990" ht="15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11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  <c r="AC990" s="69"/>
    </row>
    <row r="991" ht="15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11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  <c r="AC991" s="69"/>
    </row>
    <row r="992" ht="15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11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  <c r="AC992" s="69"/>
    </row>
    <row r="993" ht="15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11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  <c r="AC993" s="69"/>
    </row>
    <row r="994" ht="15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11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  <c r="AC994" s="69"/>
    </row>
    <row r="995" ht="15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11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  <c r="AC995" s="69"/>
    </row>
    <row r="996" ht="15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11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  <c r="AC996" s="69"/>
    </row>
    <row r="997" ht="15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11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  <c r="AC997" s="69"/>
    </row>
    <row r="998" ht="15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11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  <c r="AB998" s="69"/>
      <c r="AC998" s="69"/>
    </row>
    <row r="999" ht="15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11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  <c r="AB999" s="69"/>
      <c r="AC999" s="69"/>
    </row>
    <row r="1000" ht="15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11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  <c r="AB1000" s="69"/>
      <c r="AC1000" s="69"/>
    </row>
    <row r="1001" ht="15.75" customHeight="1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11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  <c r="AA1001" s="69"/>
      <c r="AB1001" s="69"/>
      <c r="AC1001" s="69"/>
    </row>
    <row r="1002" ht="15.75" customHeight="1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11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  <c r="AA1002" s="69"/>
      <c r="AB1002" s="69"/>
      <c r="AC1002" s="69"/>
    </row>
    <row r="1003" ht="15.75" customHeight="1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119"/>
      <c r="Q1003" s="69"/>
      <c r="R1003" s="69"/>
      <c r="S1003" s="69"/>
      <c r="T1003" s="69"/>
      <c r="U1003" s="69"/>
      <c r="V1003" s="69"/>
      <c r="W1003" s="69"/>
      <c r="X1003" s="69"/>
      <c r="Y1003" s="69"/>
      <c r="Z1003" s="69"/>
      <c r="AA1003" s="69"/>
      <c r="AB1003" s="69"/>
      <c r="AC1003" s="69"/>
    </row>
    <row r="1004" ht="15.75" customHeight="1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119"/>
      <c r="Q1004" s="69"/>
      <c r="R1004" s="69"/>
      <c r="S1004" s="69"/>
      <c r="T1004" s="69"/>
      <c r="U1004" s="69"/>
      <c r="V1004" s="69"/>
      <c r="W1004" s="69"/>
      <c r="X1004" s="69"/>
      <c r="Y1004" s="69"/>
      <c r="Z1004" s="69"/>
      <c r="AA1004" s="69"/>
      <c r="AB1004" s="69"/>
      <c r="AC1004" s="69"/>
    </row>
    <row r="1005" ht="15.75" customHeight="1">
      <c r="A1005" s="69"/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119"/>
      <c r="Q1005" s="69"/>
      <c r="R1005" s="69"/>
      <c r="S1005" s="69"/>
      <c r="T1005" s="69"/>
      <c r="U1005" s="69"/>
      <c r="V1005" s="69"/>
      <c r="W1005" s="69"/>
      <c r="X1005" s="69"/>
      <c r="Y1005" s="69"/>
      <c r="Z1005" s="69"/>
      <c r="AA1005" s="69"/>
      <c r="AB1005" s="69"/>
      <c r="AC1005" s="69"/>
    </row>
    <row r="1006" ht="15.75" customHeight="1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119"/>
      <c r="Q1006" s="69"/>
      <c r="R1006" s="69"/>
      <c r="S1006" s="69"/>
      <c r="T1006" s="69"/>
      <c r="U1006" s="69"/>
      <c r="V1006" s="69"/>
      <c r="W1006" s="69"/>
      <c r="X1006" s="69"/>
      <c r="Y1006" s="69"/>
      <c r="Z1006" s="69"/>
      <c r="AA1006" s="69"/>
      <c r="AB1006" s="69"/>
      <c r="AC1006" s="69"/>
    </row>
    <row r="1007" ht="15.75" customHeight="1">
      <c r="A1007" s="69"/>
      <c r="B1007" s="69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119"/>
      <c r="Q1007" s="69"/>
      <c r="R1007" s="69"/>
      <c r="S1007" s="69"/>
      <c r="T1007" s="69"/>
      <c r="U1007" s="69"/>
      <c r="V1007" s="69"/>
      <c r="W1007" s="69"/>
      <c r="X1007" s="69"/>
      <c r="Y1007" s="69"/>
      <c r="Z1007" s="69"/>
      <c r="AA1007" s="69"/>
      <c r="AB1007" s="69"/>
      <c r="AC1007" s="69"/>
    </row>
    <row r="1008" ht="15.75" customHeight="1">
      <c r="A1008" s="69"/>
      <c r="B1008" s="69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119"/>
      <c r="Q1008" s="69"/>
      <c r="R1008" s="69"/>
      <c r="S1008" s="69"/>
      <c r="T1008" s="69"/>
      <c r="U1008" s="69"/>
      <c r="V1008" s="69"/>
      <c r="W1008" s="69"/>
      <c r="X1008" s="69"/>
      <c r="Y1008" s="69"/>
      <c r="Z1008" s="69"/>
      <c r="AA1008" s="69"/>
      <c r="AB1008" s="69"/>
      <c r="AC1008" s="69"/>
    </row>
    <row r="1009" ht="15.75" customHeight="1">
      <c r="A1009" s="69"/>
      <c r="B1009" s="69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119"/>
      <c r="Q1009" s="69"/>
      <c r="R1009" s="69"/>
      <c r="S1009" s="69"/>
      <c r="T1009" s="69"/>
      <c r="U1009" s="69"/>
      <c r="V1009" s="69"/>
      <c r="W1009" s="69"/>
      <c r="X1009" s="69"/>
      <c r="Y1009" s="69"/>
      <c r="Z1009" s="69"/>
      <c r="AA1009" s="69"/>
      <c r="AB1009" s="69"/>
      <c r="AC1009" s="69"/>
    </row>
    <row r="1010" ht="15.75" customHeight="1">
      <c r="A1010" s="69"/>
      <c r="B1010" s="69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119"/>
      <c r="Q1010" s="69"/>
      <c r="R1010" s="69"/>
      <c r="S1010" s="69"/>
      <c r="T1010" s="69"/>
      <c r="U1010" s="69"/>
      <c r="V1010" s="69"/>
      <c r="W1010" s="69"/>
      <c r="X1010" s="69"/>
      <c r="Y1010" s="69"/>
      <c r="Z1010" s="69"/>
      <c r="AA1010" s="69"/>
      <c r="AB1010" s="69"/>
      <c r="AC1010" s="69"/>
    </row>
    <row r="1011" ht="15.75" customHeight="1">
      <c r="A1011" s="69"/>
      <c r="B1011" s="69"/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119"/>
      <c r="Q1011" s="69"/>
      <c r="R1011" s="69"/>
      <c r="S1011" s="69"/>
      <c r="T1011" s="69"/>
      <c r="U1011" s="69"/>
      <c r="V1011" s="69"/>
      <c r="W1011" s="69"/>
      <c r="X1011" s="69"/>
      <c r="Y1011" s="69"/>
      <c r="Z1011" s="69"/>
      <c r="AA1011" s="69"/>
      <c r="AB1011" s="69"/>
      <c r="AC1011" s="69"/>
    </row>
    <row r="1012" ht="15.75" customHeight="1">
      <c r="A1012" s="69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119"/>
      <c r="Q1012" s="69"/>
      <c r="R1012" s="69"/>
      <c r="S1012" s="69"/>
      <c r="T1012" s="69"/>
      <c r="U1012" s="69"/>
      <c r="V1012" s="69"/>
      <c r="W1012" s="69"/>
      <c r="X1012" s="69"/>
      <c r="Y1012" s="69"/>
      <c r="Z1012" s="69"/>
      <c r="AA1012" s="69"/>
      <c r="AB1012" s="69"/>
      <c r="AC1012" s="69"/>
    </row>
    <row r="1013" ht="15.75" customHeight="1">
      <c r="A1013" s="69"/>
      <c r="B1013" s="69"/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119"/>
      <c r="Q1013" s="69"/>
      <c r="R1013" s="69"/>
      <c r="S1013" s="69"/>
      <c r="T1013" s="69"/>
      <c r="U1013" s="69"/>
      <c r="V1013" s="69"/>
      <c r="W1013" s="69"/>
      <c r="X1013" s="69"/>
      <c r="Y1013" s="69"/>
      <c r="Z1013" s="69"/>
      <c r="AA1013" s="69"/>
      <c r="AB1013" s="69"/>
      <c r="AC1013" s="69"/>
    </row>
    <row r="1014" ht="15.75" customHeight="1">
      <c r="A1014" s="69"/>
      <c r="B1014" s="69"/>
      <c r="C1014" s="69"/>
      <c r="D1014" s="69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119"/>
      <c r="Q1014" s="69"/>
      <c r="R1014" s="69"/>
      <c r="S1014" s="69"/>
      <c r="T1014" s="69"/>
      <c r="U1014" s="69"/>
      <c r="V1014" s="69"/>
      <c r="W1014" s="69"/>
      <c r="X1014" s="69"/>
      <c r="Y1014" s="69"/>
      <c r="Z1014" s="69"/>
      <c r="AA1014" s="69"/>
      <c r="AB1014" s="69"/>
      <c r="AC1014" s="69"/>
    </row>
    <row r="1015" ht="15.75" customHeight="1">
      <c r="A1015" s="69"/>
      <c r="B1015" s="69"/>
      <c r="C1015" s="69"/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119"/>
      <c r="Q1015" s="69"/>
      <c r="R1015" s="69"/>
      <c r="S1015" s="69"/>
      <c r="T1015" s="69"/>
      <c r="U1015" s="69"/>
      <c r="V1015" s="69"/>
      <c r="W1015" s="69"/>
      <c r="X1015" s="69"/>
      <c r="Y1015" s="69"/>
      <c r="Z1015" s="69"/>
      <c r="AA1015" s="69"/>
      <c r="AB1015" s="69"/>
      <c r="AC1015" s="69"/>
    </row>
    <row r="1016" ht="15.75" customHeight="1">
      <c r="A1016" s="69"/>
      <c r="B1016" s="69"/>
      <c r="C1016" s="69"/>
      <c r="D1016" s="69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119"/>
      <c r="Q1016" s="69"/>
      <c r="R1016" s="69"/>
      <c r="S1016" s="69"/>
      <c r="T1016" s="69"/>
      <c r="U1016" s="69"/>
      <c r="V1016" s="69"/>
      <c r="W1016" s="69"/>
      <c r="X1016" s="69"/>
      <c r="Y1016" s="69"/>
      <c r="Z1016" s="69"/>
      <c r="AA1016" s="69"/>
      <c r="AB1016" s="69"/>
      <c r="AC1016" s="69"/>
    </row>
    <row r="1017" ht="15.75" customHeight="1">
      <c r="A1017" s="69"/>
      <c r="B1017" s="69"/>
      <c r="C1017" s="69"/>
      <c r="D1017" s="69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119"/>
      <c r="Q1017" s="69"/>
      <c r="R1017" s="69"/>
      <c r="S1017" s="69"/>
      <c r="T1017" s="69"/>
      <c r="U1017" s="69"/>
      <c r="V1017" s="69"/>
      <c r="W1017" s="69"/>
      <c r="X1017" s="69"/>
      <c r="Y1017" s="69"/>
      <c r="Z1017" s="69"/>
      <c r="AA1017" s="69"/>
      <c r="AB1017" s="69"/>
      <c r="AC1017" s="69"/>
    </row>
    <row r="1018" ht="15.75" customHeight="1">
      <c r="A1018" s="69"/>
      <c r="B1018" s="69"/>
      <c r="C1018" s="69"/>
      <c r="D1018" s="69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119"/>
      <c r="Q1018" s="69"/>
      <c r="R1018" s="69"/>
      <c r="S1018" s="69"/>
      <c r="T1018" s="69"/>
      <c r="U1018" s="69"/>
      <c r="V1018" s="69"/>
      <c r="W1018" s="69"/>
      <c r="X1018" s="69"/>
      <c r="Y1018" s="69"/>
      <c r="Z1018" s="69"/>
      <c r="AA1018" s="69"/>
      <c r="AB1018" s="69"/>
      <c r="AC1018" s="69"/>
    </row>
    <row r="1019" ht="15.75" customHeight="1">
      <c r="A1019" s="69"/>
      <c r="B1019" s="69"/>
      <c r="C1019" s="69"/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119"/>
      <c r="Q1019" s="69"/>
      <c r="R1019" s="69"/>
      <c r="S1019" s="69"/>
      <c r="T1019" s="69"/>
      <c r="U1019" s="69"/>
      <c r="V1019" s="69"/>
      <c r="W1019" s="69"/>
      <c r="X1019" s="69"/>
      <c r="Y1019" s="69"/>
      <c r="Z1019" s="69"/>
      <c r="AA1019" s="69"/>
      <c r="AB1019" s="69"/>
      <c r="AC1019" s="69"/>
    </row>
    <row r="1020" ht="15.75" customHeight="1">
      <c r="A1020" s="69"/>
      <c r="B1020" s="69"/>
      <c r="C1020" s="69"/>
      <c r="D1020" s="69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119"/>
      <c r="Q1020" s="69"/>
      <c r="R1020" s="69"/>
      <c r="S1020" s="69"/>
      <c r="T1020" s="69"/>
      <c r="U1020" s="69"/>
      <c r="V1020" s="69"/>
      <c r="W1020" s="69"/>
      <c r="X1020" s="69"/>
      <c r="Y1020" s="69"/>
      <c r="Z1020" s="69"/>
      <c r="AA1020" s="69"/>
      <c r="AB1020" s="69"/>
      <c r="AC1020" s="69"/>
    </row>
    <row r="1021" ht="15.75" customHeight="1">
      <c r="A1021" s="69"/>
      <c r="B1021" s="69"/>
      <c r="C1021" s="69"/>
      <c r="D1021" s="69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119"/>
      <c r="Q1021" s="69"/>
      <c r="R1021" s="69"/>
      <c r="S1021" s="69"/>
      <c r="T1021" s="69"/>
      <c r="U1021" s="69"/>
      <c r="V1021" s="69"/>
      <c r="W1021" s="69"/>
      <c r="X1021" s="69"/>
      <c r="Y1021" s="69"/>
      <c r="Z1021" s="69"/>
      <c r="AA1021" s="69"/>
      <c r="AB1021" s="69"/>
      <c r="AC1021" s="69"/>
    </row>
    <row r="1022" ht="15.75" customHeight="1">
      <c r="A1022" s="69"/>
      <c r="B1022" s="69"/>
      <c r="C1022" s="69"/>
      <c r="D1022" s="69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119"/>
      <c r="Q1022" s="69"/>
      <c r="R1022" s="69"/>
      <c r="S1022" s="69"/>
      <c r="T1022" s="69"/>
      <c r="U1022" s="69"/>
      <c r="V1022" s="69"/>
      <c r="W1022" s="69"/>
      <c r="X1022" s="69"/>
      <c r="Y1022" s="69"/>
      <c r="Z1022" s="69"/>
      <c r="AA1022" s="69"/>
      <c r="AB1022" s="69"/>
      <c r="AC1022" s="69"/>
    </row>
    <row r="1023" ht="15.75" customHeight="1">
      <c r="A1023" s="69"/>
      <c r="B1023" s="69"/>
      <c r="C1023" s="69"/>
      <c r="D1023" s="69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119"/>
      <c r="Q1023" s="69"/>
      <c r="R1023" s="69"/>
      <c r="S1023" s="69"/>
      <c r="T1023" s="69"/>
      <c r="U1023" s="69"/>
      <c r="V1023" s="69"/>
      <c r="W1023" s="69"/>
      <c r="X1023" s="69"/>
      <c r="Y1023" s="69"/>
      <c r="Z1023" s="69"/>
      <c r="AA1023" s="69"/>
      <c r="AB1023" s="69"/>
      <c r="AC1023" s="69"/>
    </row>
    <row r="1024" ht="15.75" customHeight="1">
      <c r="A1024" s="69"/>
      <c r="B1024" s="69"/>
      <c r="C1024" s="69"/>
      <c r="D1024" s="69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119"/>
      <c r="Q1024" s="69"/>
      <c r="R1024" s="69"/>
      <c r="S1024" s="69"/>
      <c r="T1024" s="69"/>
      <c r="U1024" s="69"/>
      <c r="V1024" s="69"/>
      <c r="W1024" s="69"/>
      <c r="X1024" s="69"/>
      <c r="Y1024" s="69"/>
      <c r="Z1024" s="69"/>
      <c r="AA1024" s="69"/>
      <c r="AB1024" s="69"/>
      <c r="AC1024" s="69"/>
    </row>
    <row r="1025" ht="15.75" customHeight="1">
      <c r="A1025" s="69"/>
      <c r="B1025" s="69"/>
      <c r="C1025" s="69"/>
      <c r="D1025" s="69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119"/>
      <c r="Q1025" s="69"/>
      <c r="R1025" s="69"/>
      <c r="S1025" s="69"/>
      <c r="T1025" s="69"/>
      <c r="U1025" s="69"/>
      <c r="V1025" s="69"/>
      <c r="W1025" s="69"/>
      <c r="X1025" s="69"/>
      <c r="Y1025" s="69"/>
      <c r="Z1025" s="69"/>
      <c r="AA1025" s="69"/>
      <c r="AB1025" s="69"/>
      <c r="AC1025" s="69"/>
    </row>
    <row r="1026" ht="15.75" customHeight="1">
      <c r="A1026" s="69"/>
      <c r="B1026" s="69"/>
      <c r="C1026" s="69"/>
      <c r="D1026" s="69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119"/>
      <c r="Q1026" s="69"/>
      <c r="R1026" s="69"/>
      <c r="S1026" s="69"/>
      <c r="T1026" s="69"/>
      <c r="U1026" s="69"/>
      <c r="V1026" s="69"/>
      <c r="W1026" s="69"/>
      <c r="X1026" s="69"/>
      <c r="Y1026" s="69"/>
      <c r="Z1026" s="69"/>
      <c r="AA1026" s="69"/>
      <c r="AB1026" s="69"/>
      <c r="AC1026" s="69"/>
    </row>
    <row r="1027" ht="15.75" customHeight="1">
      <c r="A1027" s="69"/>
      <c r="B1027" s="69"/>
      <c r="C1027" s="69"/>
      <c r="D1027" s="69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119"/>
      <c r="Q1027" s="69"/>
      <c r="R1027" s="69"/>
      <c r="S1027" s="69"/>
      <c r="T1027" s="69"/>
      <c r="U1027" s="69"/>
      <c r="V1027" s="69"/>
      <c r="W1027" s="69"/>
      <c r="X1027" s="69"/>
      <c r="Y1027" s="69"/>
      <c r="Z1027" s="69"/>
      <c r="AA1027" s="69"/>
      <c r="AB1027" s="69"/>
      <c r="AC1027" s="69"/>
    </row>
    <row r="1028" ht="15.75" customHeight="1">
      <c r="A1028" s="69"/>
      <c r="B1028" s="69"/>
      <c r="C1028" s="69"/>
      <c r="D1028" s="69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119"/>
      <c r="Q1028" s="69"/>
      <c r="R1028" s="69"/>
      <c r="S1028" s="69"/>
      <c r="T1028" s="69"/>
      <c r="U1028" s="69"/>
      <c r="V1028" s="69"/>
      <c r="W1028" s="69"/>
      <c r="X1028" s="69"/>
      <c r="Y1028" s="69"/>
      <c r="Z1028" s="69"/>
      <c r="AA1028" s="69"/>
      <c r="AB1028" s="69"/>
      <c r="AC1028" s="69"/>
    </row>
    <row r="1029" ht="15.75" customHeight="1">
      <c r="A1029" s="69"/>
      <c r="B1029" s="69"/>
      <c r="C1029" s="69"/>
      <c r="D1029" s="69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119"/>
      <c r="Q1029" s="69"/>
      <c r="R1029" s="69"/>
      <c r="S1029" s="69"/>
      <c r="T1029" s="69"/>
      <c r="U1029" s="69"/>
      <c r="V1029" s="69"/>
      <c r="W1029" s="69"/>
      <c r="X1029" s="69"/>
      <c r="Y1029" s="69"/>
      <c r="Z1029" s="69"/>
      <c r="AA1029" s="69"/>
      <c r="AB1029" s="69"/>
      <c r="AC1029" s="69"/>
    </row>
    <row r="1030" ht="15.75" customHeight="1">
      <c r="A1030" s="69"/>
      <c r="B1030" s="69"/>
      <c r="C1030" s="69"/>
      <c r="D1030" s="69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119"/>
      <c r="Q1030" s="69"/>
      <c r="R1030" s="69"/>
      <c r="S1030" s="69"/>
      <c r="T1030" s="69"/>
      <c r="U1030" s="69"/>
      <c r="V1030" s="69"/>
      <c r="W1030" s="69"/>
      <c r="X1030" s="69"/>
      <c r="Y1030" s="69"/>
      <c r="Z1030" s="69"/>
      <c r="AA1030" s="69"/>
      <c r="AB1030" s="69"/>
      <c r="AC1030" s="69"/>
    </row>
    <row r="1031" ht="15.75" customHeight="1">
      <c r="A1031" s="69"/>
      <c r="B1031" s="69"/>
      <c r="C1031" s="69"/>
      <c r="D1031" s="69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119"/>
      <c r="Q1031" s="69"/>
      <c r="R1031" s="69"/>
      <c r="S1031" s="69"/>
      <c r="T1031" s="69"/>
      <c r="U1031" s="69"/>
      <c r="V1031" s="69"/>
      <c r="W1031" s="69"/>
      <c r="X1031" s="69"/>
      <c r="Y1031" s="69"/>
      <c r="Z1031" s="69"/>
      <c r="AA1031" s="69"/>
      <c r="AB1031" s="69"/>
      <c r="AC1031" s="69"/>
    </row>
    <row r="1032" ht="15.75" customHeight="1">
      <c r="A1032" s="69"/>
      <c r="B1032" s="69"/>
      <c r="C1032" s="69"/>
      <c r="D1032" s="69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119"/>
      <c r="Q1032" s="69"/>
      <c r="R1032" s="69"/>
      <c r="S1032" s="69"/>
      <c r="T1032" s="69"/>
      <c r="U1032" s="69"/>
      <c r="V1032" s="69"/>
      <c r="W1032" s="69"/>
      <c r="X1032" s="69"/>
      <c r="Y1032" s="69"/>
      <c r="Z1032" s="69"/>
      <c r="AA1032" s="69"/>
      <c r="AB1032" s="69"/>
      <c r="AC1032" s="69"/>
    </row>
    <row r="1033" ht="15.75" customHeight="1">
      <c r="A1033" s="69"/>
      <c r="B1033" s="69"/>
      <c r="C1033" s="69"/>
      <c r="D1033" s="69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119"/>
      <c r="Q1033" s="69"/>
      <c r="R1033" s="69"/>
      <c r="S1033" s="69"/>
      <c r="T1033" s="69"/>
      <c r="U1033" s="69"/>
      <c r="V1033" s="69"/>
      <c r="W1033" s="69"/>
      <c r="X1033" s="69"/>
      <c r="Y1033" s="69"/>
      <c r="Z1033" s="69"/>
      <c r="AA1033" s="69"/>
      <c r="AB1033" s="69"/>
      <c r="AC1033" s="69"/>
    </row>
    <row r="1034" ht="15.75" customHeight="1">
      <c r="A1034" s="69"/>
      <c r="B1034" s="69"/>
      <c r="C1034" s="69"/>
      <c r="D1034" s="69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119"/>
      <c r="Q1034" s="69"/>
      <c r="R1034" s="69"/>
      <c r="S1034" s="69"/>
      <c r="T1034" s="69"/>
      <c r="U1034" s="69"/>
      <c r="V1034" s="69"/>
      <c r="W1034" s="69"/>
      <c r="X1034" s="69"/>
      <c r="Y1034" s="69"/>
      <c r="Z1034" s="69"/>
      <c r="AA1034" s="69"/>
      <c r="AB1034" s="69"/>
      <c r="AC1034" s="69"/>
    </row>
    <row r="1035" ht="15.75" customHeight="1">
      <c r="A1035" s="69"/>
      <c r="B1035" s="69"/>
      <c r="C1035" s="69"/>
      <c r="D1035" s="69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119"/>
      <c r="Q1035" s="69"/>
      <c r="R1035" s="69"/>
      <c r="S1035" s="69"/>
      <c r="T1035" s="69"/>
      <c r="U1035" s="69"/>
      <c r="V1035" s="69"/>
      <c r="W1035" s="69"/>
      <c r="X1035" s="69"/>
      <c r="Y1035" s="69"/>
      <c r="Z1035" s="69"/>
      <c r="AA1035" s="69"/>
      <c r="AB1035" s="69"/>
      <c r="AC1035" s="69"/>
    </row>
    <row r="1036" ht="15.75" customHeight="1">
      <c r="A1036" s="69"/>
      <c r="B1036" s="69"/>
      <c r="C1036" s="69"/>
      <c r="D1036" s="69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119"/>
      <c r="Q1036" s="69"/>
      <c r="R1036" s="69"/>
      <c r="S1036" s="69"/>
      <c r="T1036" s="69"/>
      <c r="U1036" s="69"/>
      <c r="V1036" s="69"/>
      <c r="W1036" s="69"/>
      <c r="X1036" s="69"/>
      <c r="Y1036" s="69"/>
      <c r="Z1036" s="69"/>
      <c r="AA1036" s="69"/>
      <c r="AB1036" s="69"/>
      <c r="AC1036" s="69"/>
    </row>
    <row r="1037" ht="15.75" customHeight="1">
      <c r="A1037" s="69"/>
      <c r="B1037" s="69"/>
      <c r="C1037" s="69"/>
      <c r="D1037" s="69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119"/>
      <c r="Q1037" s="69"/>
      <c r="R1037" s="69"/>
      <c r="S1037" s="69"/>
      <c r="T1037" s="69"/>
      <c r="U1037" s="69"/>
      <c r="V1037" s="69"/>
      <c r="W1037" s="69"/>
      <c r="X1037" s="69"/>
      <c r="Y1037" s="69"/>
      <c r="Z1037" s="69"/>
      <c r="AA1037" s="69"/>
      <c r="AB1037" s="69"/>
      <c r="AC1037" s="69"/>
    </row>
    <row r="1038" ht="15.75" customHeight="1">
      <c r="A1038" s="69"/>
      <c r="B1038" s="69"/>
      <c r="C1038" s="69"/>
      <c r="D1038" s="69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119"/>
      <c r="Q1038" s="69"/>
      <c r="R1038" s="69"/>
      <c r="S1038" s="69"/>
      <c r="T1038" s="69"/>
      <c r="U1038" s="69"/>
      <c r="V1038" s="69"/>
      <c r="W1038" s="69"/>
      <c r="X1038" s="69"/>
      <c r="Y1038" s="69"/>
      <c r="Z1038" s="69"/>
      <c r="AA1038" s="69"/>
      <c r="AB1038" s="69"/>
      <c r="AC1038" s="69"/>
    </row>
    <row r="1039" ht="15.75" customHeight="1">
      <c r="A1039" s="69"/>
      <c r="B1039" s="69"/>
      <c r="C1039" s="69"/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119"/>
      <c r="Q1039" s="69"/>
      <c r="R1039" s="69"/>
      <c r="S1039" s="69"/>
      <c r="T1039" s="69"/>
      <c r="U1039" s="69"/>
      <c r="V1039" s="69"/>
      <c r="W1039" s="69"/>
      <c r="X1039" s="69"/>
      <c r="Y1039" s="69"/>
      <c r="Z1039" s="69"/>
      <c r="AA1039" s="69"/>
      <c r="AB1039" s="69"/>
      <c r="AC1039" s="69"/>
    </row>
    <row r="1040" ht="15.75" customHeight="1">
      <c r="A1040" s="69"/>
      <c r="B1040" s="69"/>
      <c r="C1040" s="69"/>
      <c r="D1040" s="69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119"/>
      <c r="Q1040" s="69"/>
      <c r="R1040" s="69"/>
      <c r="S1040" s="69"/>
      <c r="T1040" s="69"/>
      <c r="U1040" s="69"/>
      <c r="V1040" s="69"/>
      <c r="W1040" s="69"/>
      <c r="X1040" s="69"/>
      <c r="Y1040" s="69"/>
      <c r="Z1040" s="69"/>
      <c r="AA1040" s="69"/>
      <c r="AB1040" s="69"/>
      <c r="AC1040" s="69"/>
    </row>
    <row r="1041" ht="15.75" customHeight="1">
      <c r="A1041" s="69"/>
      <c r="B1041" s="69"/>
      <c r="C1041" s="69"/>
      <c r="D1041" s="69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119"/>
      <c r="Q1041" s="69"/>
      <c r="R1041" s="69"/>
      <c r="S1041" s="69"/>
      <c r="T1041" s="69"/>
      <c r="U1041" s="69"/>
      <c r="V1041" s="69"/>
      <c r="W1041" s="69"/>
      <c r="X1041" s="69"/>
      <c r="Y1041" s="69"/>
      <c r="Z1041" s="69"/>
      <c r="AA1041" s="69"/>
      <c r="AB1041" s="69"/>
      <c r="AC1041" s="69"/>
    </row>
    <row r="1042" ht="15.75" customHeight="1">
      <c r="A1042" s="69"/>
      <c r="B1042" s="69"/>
      <c r="C1042" s="69"/>
      <c r="D1042" s="69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119"/>
      <c r="Q1042" s="69"/>
      <c r="R1042" s="69"/>
      <c r="S1042" s="69"/>
      <c r="T1042" s="69"/>
      <c r="U1042" s="69"/>
      <c r="V1042" s="69"/>
      <c r="W1042" s="69"/>
      <c r="X1042" s="69"/>
      <c r="Y1042" s="69"/>
      <c r="Z1042" s="69"/>
      <c r="AA1042" s="69"/>
      <c r="AB1042" s="69"/>
      <c r="AC1042" s="69"/>
    </row>
    <row r="1043" ht="15.75" customHeight="1">
      <c r="A1043" s="69"/>
      <c r="B1043" s="69"/>
      <c r="C1043" s="69"/>
      <c r="D1043" s="69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119"/>
      <c r="Q1043" s="69"/>
      <c r="R1043" s="69"/>
      <c r="S1043" s="69"/>
      <c r="T1043" s="69"/>
      <c r="U1043" s="69"/>
      <c r="V1043" s="69"/>
      <c r="W1043" s="69"/>
      <c r="X1043" s="69"/>
      <c r="Y1043" s="69"/>
      <c r="Z1043" s="69"/>
      <c r="AA1043" s="69"/>
      <c r="AB1043" s="69"/>
      <c r="AC1043" s="69"/>
    </row>
    <row r="1044" ht="15.75" customHeight="1">
      <c r="A1044" s="69"/>
      <c r="B1044" s="69"/>
      <c r="C1044" s="69"/>
      <c r="D1044" s="69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119"/>
      <c r="Q1044" s="69"/>
      <c r="R1044" s="69"/>
      <c r="S1044" s="69"/>
      <c r="T1044" s="69"/>
      <c r="U1044" s="69"/>
      <c r="V1044" s="69"/>
      <c r="W1044" s="69"/>
      <c r="X1044" s="69"/>
      <c r="Y1044" s="69"/>
      <c r="Z1044" s="69"/>
      <c r="AA1044" s="69"/>
      <c r="AB1044" s="69"/>
      <c r="AC1044" s="69"/>
    </row>
    <row r="1045" ht="15.75" customHeight="1">
      <c r="A1045" s="69"/>
      <c r="B1045" s="69"/>
      <c r="C1045" s="69"/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119"/>
      <c r="Q1045" s="69"/>
      <c r="R1045" s="69"/>
      <c r="S1045" s="69"/>
      <c r="T1045" s="69"/>
      <c r="U1045" s="69"/>
      <c r="V1045" s="69"/>
      <c r="W1045" s="69"/>
      <c r="X1045" s="69"/>
      <c r="Y1045" s="69"/>
      <c r="Z1045" s="69"/>
      <c r="AA1045" s="69"/>
      <c r="AB1045" s="69"/>
      <c r="AC1045" s="69"/>
    </row>
    <row r="1046" ht="15.75" customHeight="1">
      <c r="A1046" s="69"/>
      <c r="B1046" s="69"/>
      <c r="C1046" s="69"/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119"/>
      <c r="Q1046" s="69"/>
      <c r="R1046" s="69"/>
      <c r="S1046" s="69"/>
      <c r="T1046" s="69"/>
      <c r="U1046" s="69"/>
      <c r="V1046" s="69"/>
      <c r="W1046" s="69"/>
      <c r="X1046" s="69"/>
      <c r="Y1046" s="69"/>
      <c r="Z1046" s="69"/>
      <c r="AA1046" s="69"/>
      <c r="AB1046" s="69"/>
      <c r="AC1046" s="69"/>
    </row>
    <row r="1047" ht="15.75" customHeight="1">
      <c r="A1047" s="69"/>
      <c r="B1047" s="69"/>
      <c r="C1047" s="69"/>
      <c r="D1047" s="69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119"/>
      <c r="Q1047" s="69"/>
      <c r="R1047" s="69"/>
      <c r="S1047" s="69"/>
      <c r="T1047" s="69"/>
      <c r="U1047" s="69"/>
      <c r="V1047" s="69"/>
      <c r="W1047" s="69"/>
      <c r="X1047" s="69"/>
      <c r="Y1047" s="69"/>
      <c r="Z1047" s="69"/>
      <c r="AA1047" s="69"/>
      <c r="AB1047" s="69"/>
      <c r="AC1047" s="69"/>
    </row>
    <row r="1048" ht="15.75" customHeight="1">
      <c r="A1048" s="69"/>
      <c r="B1048" s="69"/>
      <c r="C1048" s="69"/>
      <c r="D1048" s="69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119"/>
      <c r="Q1048" s="69"/>
      <c r="R1048" s="69"/>
      <c r="S1048" s="69"/>
      <c r="T1048" s="69"/>
      <c r="U1048" s="69"/>
      <c r="V1048" s="69"/>
      <c r="W1048" s="69"/>
      <c r="X1048" s="69"/>
      <c r="Y1048" s="69"/>
      <c r="Z1048" s="69"/>
      <c r="AA1048" s="69"/>
      <c r="AB1048" s="69"/>
      <c r="AC1048" s="69"/>
    </row>
    <row r="1049" ht="15.75" customHeight="1">
      <c r="A1049" s="69"/>
      <c r="B1049" s="69"/>
      <c r="C1049" s="69"/>
      <c r="D1049" s="69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119"/>
      <c r="Q1049" s="69"/>
      <c r="R1049" s="69"/>
      <c r="S1049" s="69"/>
      <c r="T1049" s="69"/>
      <c r="U1049" s="69"/>
      <c r="V1049" s="69"/>
      <c r="W1049" s="69"/>
      <c r="X1049" s="69"/>
      <c r="Y1049" s="69"/>
      <c r="Z1049" s="69"/>
      <c r="AA1049" s="69"/>
      <c r="AB1049" s="69"/>
      <c r="AC1049" s="69"/>
    </row>
    <row r="1050" ht="15.75" customHeight="1">
      <c r="A1050" s="69"/>
      <c r="B1050" s="69"/>
      <c r="C1050" s="69"/>
      <c r="D1050" s="69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119"/>
      <c r="Q1050" s="69"/>
      <c r="R1050" s="69"/>
      <c r="S1050" s="69"/>
      <c r="T1050" s="69"/>
      <c r="U1050" s="69"/>
      <c r="V1050" s="69"/>
      <c r="W1050" s="69"/>
      <c r="X1050" s="69"/>
      <c r="Y1050" s="69"/>
      <c r="Z1050" s="69"/>
      <c r="AA1050" s="69"/>
      <c r="AB1050" s="69"/>
      <c r="AC1050" s="69"/>
    </row>
    <row r="1051" ht="15.75" customHeight="1">
      <c r="A1051" s="69"/>
      <c r="B1051" s="69"/>
      <c r="C1051" s="69"/>
      <c r="D1051" s="69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119"/>
      <c r="Q1051" s="69"/>
      <c r="R1051" s="69"/>
      <c r="S1051" s="69"/>
      <c r="T1051" s="69"/>
      <c r="U1051" s="69"/>
      <c r="V1051" s="69"/>
      <c r="W1051" s="69"/>
      <c r="X1051" s="69"/>
      <c r="Y1051" s="69"/>
      <c r="Z1051" s="69"/>
      <c r="AA1051" s="69"/>
      <c r="AB1051" s="69"/>
      <c r="AC1051" s="69"/>
    </row>
    <row r="1052" ht="15.75" customHeight="1">
      <c r="A1052" s="69"/>
      <c r="B1052" s="69"/>
      <c r="C1052" s="69"/>
      <c r="D1052" s="69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119"/>
      <c r="Q1052" s="69"/>
      <c r="R1052" s="69"/>
      <c r="S1052" s="69"/>
      <c r="T1052" s="69"/>
      <c r="U1052" s="69"/>
      <c r="V1052" s="69"/>
      <c r="W1052" s="69"/>
      <c r="X1052" s="69"/>
      <c r="Y1052" s="69"/>
      <c r="Z1052" s="69"/>
      <c r="AA1052" s="69"/>
      <c r="AB1052" s="69"/>
      <c r="AC1052" s="69"/>
    </row>
    <row r="1053" ht="15.75" customHeight="1">
      <c r="A1053" s="69"/>
      <c r="B1053" s="69"/>
      <c r="C1053" s="69"/>
      <c r="D1053" s="69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119"/>
      <c r="Q1053" s="69"/>
      <c r="R1053" s="69"/>
      <c r="S1053" s="69"/>
      <c r="T1053" s="69"/>
      <c r="U1053" s="69"/>
      <c r="V1053" s="69"/>
      <c r="W1053" s="69"/>
      <c r="X1053" s="69"/>
      <c r="Y1053" s="69"/>
      <c r="Z1053" s="69"/>
      <c r="AA1053" s="69"/>
      <c r="AB1053" s="69"/>
      <c r="AC1053" s="69"/>
    </row>
    <row r="1054" ht="15.75" customHeight="1">
      <c r="A1054" s="69"/>
      <c r="B1054" s="69"/>
      <c r="C1054" s="69"/>
      <c r="D1054" s="69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119"/>
      <c r="Q1054" s="69"/>
      <c r="R1054" s="69"/>
      <c r="S1054" s="69"/>
      <c r="T1054" s="69"/>
      <c r="U1054" s="69"/>
      <c r="V1054" s="69"/>
      <c r="W1054" s="69"/>
      <c r="X1054" s="69"/>
      <c r="Y1054" s="69"/>
      <c r="Z1054" s="69"/>
      <c r="AA1054" s="69"/>
      <c r="AB1054" s="69"/>
      <c r="AC1054" s="69"/>
    </row>
    <row r="1055" ht="15.75" customHeight="1">
      <c r="A1055" s="69"/>
      <c r="B1055" s="69"/>
      <c r="C1055" s="69"/>
      <c r="D1055" s="69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119"/>
      <c r="Q1055" s="69"/>
      <c r="R1055" s="69"/>
      <c r="S1055" s="69"/>
      <c r="T1055" s="69"/>
      <c r="U1055" s="69"/>
      <c r="V1055" s="69"/>
      <c r="W1055" s="69"/>
      <c r="X1055" s="69"/>
      <c r="Y1055" s="69"/>
      <c r="Z1055" s="69"/>
      <c r="AA1055" s="69"/>
      <c r="AB1055" s="69"/>
      <c r="AC1055" s="69"/>
    </row>
    <row r="1056" ht="15.75" customHeight="1">
      <c r="A1056" s="69"/>
      <c r="B1056" s="69"/>
      <c r="C1056" s="69"/>
      <c r="D1056" s="69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119"/>
      <c r="Q1056" s="69"/>
      <c r="R1056" s="69"/>
      <c r="S1056" s="69"/>
      <c r="T1056" s="69"/>
      <c r="U1056" s="69"/>
      <c r="V1056" s="69"/>
      <c r="W1056" s="69"/>
      <c r="X1056" s="69"/>
      <c r="Y1056" s="69"/>
      <c r="Z1056" s="69"/>
      <c r="AA1056" s="69"/>
      <c r="AB1056" s="69"/>
      <c r="AC1056" s="69"/>
    </row>
    <row r="1057" ht="15.75" customHeight="1">
      <c r="A1057" s="69"/>
      <c r="B1057" s="69"/>
      <c r="C1057" s="69"/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119"/>
      <c r="Q1057" s="69"/>
      <c r="R1057" s="69"/>
      <c r="S1057" s="69"/>
      <c r="T1057" s="69"/>
      <c r="U1057" s="69"/>
      <c r="V1057" s="69"/>
      <c r="W1057" s="69"/>
      <c r="X1057" s="69"/>
      <c r="Y1057" s="69"/>
      <c r="Z1057" s="69"/>
      <c r="AA1057" s="69"/>
      <c r="AB1057" s="69"/>
      <c r="AC1057" s="69"/>
    </row>
    <row r="1058" ht="15.75" customHeight="1">
      <c r="A1058" s="69"/>
      <c r="B1058" s="69"/>
      <c r="C1058" s="69"/>
      <c r="D1058" s="69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119"/>
      <c r="Q1058" s="69"/>
      <c r="R1058" s="69"/>
      <c r="S1058" s="69"/>
      <c r="T1058" s="69"/>
      <c r="U1058" s="69"/>
      <c r="V1058" s="69"/>
      <c r="W1058" s="69"/>
      <c r="X1058" s="69"/>
      <c r="Y1058" s="69"/>
      <c r="Z1058" s="69"/>
      <c r="AA1058" s="69"/>
      <c r="AB1058" s="69"/>
      <c r="AC1058" s="69"/>
    </row>
    <row r="1059" ht="15.75" customHeight="1">
      <c r="A1059" s="69"/>
      <c r="B1059" s="69"/>
      <c r="C1059" s="69"/>
      <c r="D1059" s="69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119"/>
      <c r="Q1059" s="69"/>
      <c r="R1059" s="69"/>
      <c r="S1059" s="69"/>
      <c r="T1059" s="69"/>
      <c r="U1059" s="69"/>
      <c r="V1059" s="69"/>
      <c r="W1059" s="69"/>
      <c r="X1059" s="69"/>
      <c r="Y1059" s="69"/>
      <c r="Z1059" s="69"/>
      <c r="AA1059" s="69"/>
      <c r="AB1059" s="69"/>
      <c r="AC1059" s="69"/>
    </row>
    <row r="1060" ht="15.75" customHeight="1">
      <c r="A1060" s="69"/>
      <c r="B1060" s="69"/>
      <c r="C1060" s="69"/>
      <c r="D1060" s="69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119"/>
      <c r="Q1060" s="69"/>
      <c r="R1060" s="69"/>
      <c r="S1060" s="69"/>
      <c r="T1060" s="69"/>
      <c r="U1060" s="69"/>
      <c r="V1060" s="69"/>
      <c r="W1060" s="69"/>
      <c r="X1060" s="69"/>
      <c r="Y1060" s="69"/>
      <c r="Z1060" s="69"/>
      <c r="AA1060" s="69"/>
      <c r="AB1060" s="69"/>
      <c r="AC1060" s="69"/>
    </row>
    <row r="1061" ht="15.75" customHeight="1">
      <c r="A1061" s="69"/>
      <c r="B1061" s="69"/>
      <c r="C1061" s="69"/>
      <c r="D1061" s="69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119"/>
      <c r="Q1061" s="69"/>
      <c r="R1061" s="69"/>
      <c r="S1061" s="69"/>
      <c r="T1061" s="69"/>
      <c r="U1061" s="69"/>
      <c r="V1061" s="69"/>
      <c r="W1061" s="69"/>
      <c r="X1061" s="69"/>
      <c r="Y1061" s="69"/>
      <c r="Z1061" s="69"/>
      <c r="AA1061" s="69"/>
      <c r="AB1061" s="69"/>
      <c r="AC1061" s="69"/>
    </row>
    <row r="1062" ht="15.75" customHeight="1">
      <c r="A1062" s="69"/>
      <c r="B1062" s="69"/>
      <c r="C1062" s="69"/>
      <c r="D1062" s="69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119"/>
      <c r="Q1062" s="69"/>
      <c r="R1062" s="69"/>
      <c r="S1062" s="69"/>
      <c r="T1062" s="69"/>
      <c r="U1062" s="69"/>
      <c r="V1062" s="69"/>
      <c r="W1062" s="69"/>
      <c r="X1062" s="69"/>
      <c r="Y1062" s="69"/>
      <c r="Z1062" s="69"/>
      <c r="AA1062" s="69"/>
      <c r="AB1062" s="69"/>
      <c r="AC1062" s="69"/>
    </row>
    <row r="1063" ht="15.75" customHeight="1">
      <c r="A1063" s="69"/>
      <c r="B1063" s="69"/>
      <c r="C1063" s="69"/>
      <c r="D1063" s="69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119"/>
      <c r="Q1063" s="69"/>
      <c r="R1063" s="69"/>
      <c r="S1063" s="69"/>
      <c r="T1063" s="69"/>
      <c r="U1063" s="69"/>
      <c r="V1063" s="69"/>
      <c r="W1063" s="69"/>
      <c r="X1063" s="69"/>
      <c r="Y1063" s="69"/>
      <c r="Z1063" s="69"/>
      <c r="AA1063" s="69"/>
      <c r="AB1063" s="69"/>
      <c r="AC1063" s="69"/>
    </row>
  </sheetData>
  <mergeCells count="62">
    <mergeCell ref="K2:S2"/>
    <mergeCell ref="K4:K5"/>
    <mergeCell ref="L4:L5"/>
    <mergeCell ref="K6:K7"/>
    <mergeCell ref="L6:L7"/>
    <mergeCell ref="M10:Q10"/>
    <mergeCell ref="R10:V10"/>
    <mergeCell ref="B11:D11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B14:B162"/>
    <mergeCell ref="C16:C18"/>
    <mergeCell ref="C19:C24"/>
    <mergeCell ref="C25:C26"/>
    <mergeCell ref="D25:D26"/>
    <mergeCell ref="C27:C29"/>
    <mergeCell ref="D27:D29"/>
    <mergeCell ref="C30:C32"/>
    <mergeCell ref="D30:D32"/>
    <mergeCell ref="C33:C36"/>
    <mergeCell ref="C37:C73"/>
    <mergeCell ref="D37:D44"/>
    <mergeCell ref="E39:E44"/>
    <mergeCell ref="D45:D73"/>
    <mergeCell ref="E46:E48"/>
    <mergeCell ref="E49:E52"/>
    <mergeCell ref="E53:E61"/>
    <mergeCell ref="E62:E64"/>
    <mergeCell ref="E65:E70"/>
    <mergeCell ref="E71:E73"/>
    <mergeCell ref="C74:C90"/>
    <mergeCell ref="C91:C162"/>
    <mergeCell ref="D91:D95"/>
    <mergeCell ref="D96:D122"/>
    <mergeCell ref="E96:E103"/>
    <mergeCell ref="E104:E111"/>
    <mergeCell ref="E112:E122"/>
    <mergeCell ref="D123:D139"/>
    <mergeCell ref="E124:E131"/>
    <mergeCell ref="E132:E139"/>
    <mergeCell ref="D140:D150"/>
    <mergeCell ref="E140:E144"/>
    <mergeCell ref="E146:E150"/>
    <mergeCell ref="D155:D162"/>
    <mergeCell ref="E159:E162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text="Critical" id="{35B5B921-478A-4D25-8124-68718D38D12D}">
            <xm:f>NOT(ISERROR(SEARCH(("Critical"),(F13))))</xm:f>
            <x14:dxf>
              <fill>
                <patternFill patternType="solid">
                  <fgColor rgb="FFCC0000"/>
                  <bgColor rgb="FFCC0000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F13:F1063</xm:sqref>
        </x14:conditionalFormatting>
        <x14:conditionalFormatting xmlns:xm="http://schemas.microsoft.com/office/excel/2006/main">
          <x14:cfRule type="containsText" priority="2" operator="containsText" text="High" id="{0AA71F58-B21C-48D0-BB0A-94458B317D00}">
            <xm:f>NOT(ISERROR(SEARCH(("High"),(F13))))</xm:f>
            <x14:dxf>
              <fill>
                <patternFill patternType="solid">
                  <fgColor rgb="FFE06666"/>
                  <bgColor rgb="FFE06666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F13:F1063</xm:sqref>
        </x14:conditionalFormatting>
        <x14:conditionalFormatting xmlns:xm="http://schemas.microsoft.com/office/excel/2006/main">
          <x14:cfRule type="containsText" priority="3" operator="containsText" text="Medium" id="{C7A5A06C-3F0C-476F-AE83-18570B471988}">
            <xm:f>NOT(ISERROR(SEARCH(("Medium"),(F13))))</xm:f>
            <x14:dxf>
              <fill>
                <patternFill patternType="solid">
                  <fgColor rgb="FFF6B26B"/>
                  <bgColor rgb="FFF6B26B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F13:F1063</xm:sqref>
        </x14:conditionalFormatting>
        <x14:conditionalFormatting xmlns:xm="http://schemas.microsoft.com/office/excel/2006/main">
          <x14:cfRule type="containsText" priority="4" operator="containsText" text="Low" id="{08D3E3E1-6972-4986-A089-1A59545D0CAB}">
            <xm:f>NOT(ISERROR(SEARCH(("Low"),(F13))))</xm:f>
            <x14:dxf>
              <fill>
                <patternFill patternType="solid">
                  <fgColor rgb="FFFFF2CC"/>
                  <bgColor rgb="FFFFF2CC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F13:F1063</xm:sqref>
        </x14:conditionalFormatting>
        <x14:conditionalFormatting xmlns:xm="http://schemas.microsoft.com/office/excel/2006/main">
          <x14:cfRule type="containsText" priority="5" operator="containsText" text="Passed" id="{7438C87C-6469-439A-800D-B339C09163CB}">
            <xm:f>NOT(ISERROR(SEARCH(("Passed"),(L13))))</xm:f>
            <x14:dxf>
              <fill>
                <patternFill patternType="solid">
                  <fgColor rgb="FF6AA84F"/>
                  <bgColor rgb="FF6AA84F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K16:K18 N13:O162 S13:T162</xm:sqref>
        </x14:conditionalFormatting>
        <x14:conditionalFormatting xmlns:xm="http://schemas.microsoft.com/office/excel/2006/main">
          <x14:cfRule type="containsText" priority="6" operator="containsText" text="Failed" id="{4A66BEFD-41EA-4355-99A9-8934488C44C7}">
            <xm:f>NOT(ISERROR(SEARCH(("Failed"),(L13))))</xm:f>
            <x14:dxf>
              <fill>
                <patternFill patternType="solid">
                  <fgColor rgb="FF990000"/>
                  <bgColor rgb="FF990000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K16:K18 N13:O162 S13:T162</xm:sqref>
        </x14:conditionalFormatting>
        <x14:conditionalFormatting xmlns:xm="http://schemas.microsoft.com/office/excel/2006/main">
          <x14:cfRule type="containsText" priority="7" operator="containsText" text="Pending" id="{635A9BAB-7497-47B7-94D5-ACB244F13ACA}">
            <xm:f>NOT(ISERROR(SEARCH(("Pending"),(L13))))</xm:f>
            <x14:dxf>
              <fill>
                <patternFill patternType="solid">
                  <fgColor rgb="FFF1C232"/>
                  <bgColor rgb="FFF1C232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K16:K18 N13:O162 S13:T162</xm:sqref>
        </x14:conditionalFormatting>
        <x14:conditionalFormatting xmlns:xm="http://schemas.microsoft.com/office/excel/2006/main">
          <x14:cfRule type="containsText" priority="8" operator="containsText" text="Blocked" id="{3FDAD49B-66FF-49E9-A3E5-CA132ADB8F58}">
            <xm:f>NOT(ISERROR(SEARCH(("Blocked"),(L13))))</xm:f>
            <x14:dxf>
              <fill>
                <patternFill patternType="solid">
                  <fgColor indexed="5"/>
                  <bgColor indexed="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K16:K18 N13:O162 S13:T162</xm:sqref>
        </x14:conditionalFormatting>
        <x14:conditionalFormatting xmlns:xm="http://schemas.microsoft.com/office/excel/2006/main">
          <x14:cfRule type="containsText" priority="9" operator="containsText" text="NA" id="{A22F8E19-EDC7-47AC-9464-D317B8ADD366}">
            <xm:f>NOT(ISERROR(SEARCH(("NA"),(L13))))</xm:f>
            <x14:dxf>
              <fill>
                <patternFill patternType="solid">
                  <fgColor rgb="FF999999"/>
                  <bgColor rgb="FF999999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K16:K18 N13:O162 S13:T162</xm:sqref>
        </x14:conditionalFormatting>
        <x14:conditionalFormatting xmlns:xm="http://schemas.microsoft.com/office/excel/2006/main">
          <x14:cfRule type="containsText" priority="10" operator="containsText" text="Passed" id="{CC3C8110-449A-40BC-A701-60046185DE75}">
            <xm:f>NOT(ISERROR(SEARCH(("Passed"),(M13))))</xm:f>
            <x14:dxf>
              <fill>
                <patternFill patternType="solid">
                  <fgColor rgb="FF6AA84F"/>
                  <bgColor rgb="FF6AA84F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M13:M162 R13:R21 R28:R32 R38:R41 R45:R64</xm:sqref>
        </x14:conditionalFormatting>
        <x14:conditionalFormatting xmlns:xm="http://schemas.microsoft.com/office/excel/2006/main">
          <x14:cfRule type="containsText" priority="11" operator="containsText" text="Failed" id="{6E171D88-7AA7-4148-96A1-DDE349C7C342}">
            <xm:f>NOT(ISERROR(SEARCH(("Failed"),(M13))))</xm:f>
            <x14:dxf>
              <fill>
                <patternFill patternType="solid">
                  <fgColor rgb="FF990000"/>
                  <bgColor rgb="FF990000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M13:M162 R13:R21 R28:R32 R38:R41 R45:R64</xm:sqref>
        </x14:conditionalFormatting>
        <x14:conditionalFormatting xmlns:xm="http://schemas.microsoft.com/office/excel/2006/main">
          <x14:cfRule type="containsText" priority="12" operator="containsText" text="Pending" id="{795D6B0C-9F1D-403C-B6EB-18CD117E2665}">
            <xm:f>NOT(ISERROR(SEARCH(("Pending"),(M13))))</xm:f>
            <x14:dxf>
              <fill>
                <patternFill patternType="solid">
                  <fgColor rgb="FFF1C232"/>
                  <bgColor rgb="FFF1C232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M13:M162 R13:R21 R28:R32 R38:R41 R45:R64</xm:sqref>
        </x14:conditionalFormatting>
        <x14:conditionalFormatting xmlns:xm="http://schemas.microsoft.com/office/excel/2006/main">
          <x14:cfRule type="containsText" priority="13" operator="containsText" text="Blocked" id="{15A48C3A-7FD4-44B4-A00A-E8B37ADA2C37}">
            <xm:f>NOT(ISERROR(SEARCH(("Blocked"),(M13))))</xm:f>
            <x14:dxf>
              <fill>
                <patternFill patternType="solid">
                  <fgColor indexed="5"/>
                  <bgColor indexed="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M13:M162 R13:R21 R28:R32 R38:R41 R45:R64</xm:sqref>
        </x14:conditionalFormatting>
        <x14:conditionalFormatting xmlns:xm="http://schemas.microsoft.com/office/excel/2006/main">
          <x14:cfRule type="containsText" priority="14" operator="containsText" text="NA" id="{3FE60F86-A7F7-481E-A348-09B840B0DE10}">
            <xm:f>NOT(ISERROR(SEARCH(("NA"),(M13))))</xm:f>
            <x14:dxf>
              <fill>
                <patternFill patternType="solid">
                  <fgColor rgb="FF999999"/>
                  <bgColor rgb="FF999999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M13:M162 R13:R21 R28:R32 R38:R41 R45:R64</xm:sqref>
        </x14:conditionalFormatting>
        <x14:conditionalFormatting xmlns:xm="http://schemas.microsoft.com/office/excel/2006/main">
          <x14:cfRule type="containsText" priority="15" operator="containsText" text="Passed" id="{2B66457D-5C14-4F02-8894-ED16C3E84435}">
            <xm:f>NOT(ISERROR(SEARCH(("Passed"),(R13))))</xm:f>
            <x14:dxf>
              <fill>
                <patternFill patternType="solid">
                  <fgColor rgb="FF6AA84F"/>
                  <bgColor rgb="FF6AA84F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R13:R162</xm:sqref>
        </x14:conditionalFormatting>
        <x14:conditionalFormatting xmlns:xm="http://schemas.microsoft.com/office/excel/2006/main">
          <x14:cfRule type="containsText" priority="16" operator="containsText" text="Failed" id="{880AEF3A-48A6-4906-8757-92085BE77DF4}">
            <xm:f>NOT(ISERROR(SEARCH(("Failed"),(R13))))</xm:f>
            <x14:dxf>
              <fill>
                <patternFill patternType="solid">
                  <fgColor rgb="FF990000"/>
                  <bgColor rgb="FF990000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R13:R162</xm:sqref>
        </x14:conditionalFormatting>
        <x14:conditionalFormatting xmlns:xm="http://schemas.microsoft.com/office/excel/2006/main">
          <x14:cfRule type="containsText" priority="17" operator="containsText" text="Pending" id="{9DB9615C-1131-4003-8A03-4130CA7130F0}">
            <xm:f>NOT(ISERROR(SEARCH(("Pending"),(R13))))</xm:f>
            <x14:dxf>
              <fill>
                <patternFill patternType="solid">
                  <fgColor rgb="FFF1C232"/>
                  <bgColor rgb="FFF1C232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R13:R162</xm:sqref>
        </x14:conditionalFormatting>
        <x14:conditionalFormatting xmlns:xm="http://schemas.microsoft.com/office/excel/2006/main">
          <x14:cfRule type="containsText" priority="18" operator="containsText" text="Blocked" id="{9BD4C358-878A-451C-B26D-56325B3A89A6}">
            <xm:f>NOT(ISERROR(SEARCH(("Blocked"),(R13))))</xm:f>
            <x14:dxf>
              <fill>
                <patternFill patternType="solid">
                  <fgColor indexed="5"/>
                  <bgColor indexed="5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R13:R162</xm:sqref>
        </x14:conditionalFormatting>
        <x14:conditionalFormatting xmlns:xm="http://schemas.microsoft.com/office/excel/2006/main">
          <x14:cfRule type="containsText" priority="19" operator="containsText" text="NA" id="{40D531F5-4174-4FEB-B120-5CDA6F7E1D65}">
            <xm:f>NOT(ISERROR(SEARCH(("NA"),(R13))))</xm:f>
            <x14:dxf>
              <fill>
                <patternFill patternType="solid">
                  <fgColor rgb="FF999999"/>
                  <bgColor rgb="FF999999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R13:R162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10C723C1-9647-4BD7-AA31-C0CED94EACFC}" type="list" allowBlank="1" errorStyle="stop" imeMode="noControl" operator="between" showDropDown="0" showErrorMessage="0" showInputMessage="0">
          <x14:formula1>
            <xm:f>"High,Medium,Low,Critical"</xm:f>
          </x14:formula1>
          <xm:sqref>F13:F162</xm:sqref>
        </x14:dataValidation>
        <x14:dataValidation xr:uid="{3AE024C5-DDFD-417A-8362-CC2B81C62B9F}" type="list" allowBlank="1" errorStyle="stop" imeMode="noControl" operator="between" showDropDown="0" showErrorMessage="0" showInputMessage="0">
          <x14:formula1>
            <xm:f>"Passed,Failed,Pending,Blocked,NA,Not execute"</xm:f>
          </x14:formula1>
          <xm:sqref>M13:M162 R13:R162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5</cp:revision>
  <dcterms:created xsi:type="dcterms:W3CDTF">2026-10-01T04:51:11Z</dcterms:created>
  <dcterms:modified xsi:type="dcterms:W3CDTF">2026-10-02T06:37:10Z</dcterms:modified>
</cp:coreProperties>
</file>