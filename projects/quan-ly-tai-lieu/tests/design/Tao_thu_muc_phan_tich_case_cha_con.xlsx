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se cha con" sheetId="1" state="visible" r:id="rId3"/>
    <sheet name="Thông báo" sheetId="2" state="visible" r:id="rId4"/>
    <sheet name="Quy tắc" sheetId="3" state="visible" r:id="rId5"/>
    <sheet name="Còn mở" sheetId="4" state="visible" r:id="rId6"/>
  </sheets>
  <definedNames>
    <definedName function="false" hidden="false" localSheetId="0" name="_xlnm.Print_Titles" vbProcedure="false">'Case cha con'!$4:$4</definedName>
    <definedName function="false" hidden="true" localSheetId="0" name="_xlnm._FilterDatabase" vbProcedure="false">'Case cha con'!$A$4:$I$78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<sst xmlns="http://schemas.openxmlformats.org/spreadsheetml/2006/main" count="694" uniqueCount="521">
  <si>
    <t xml:space="preserve">Phân tích case cha con · Tạo thư mục mới (UC-DOC-007)</t>
  </si>
  <si>
    <t xml:space="preserve">Nguồn: trả lời của Hanna ngày 02/10/2026 (Q1–Q12, C2, C3) kèm 3 ảnh; mockup bản 5; bộ TC FEEC cũ (đã lỗi thời). Quy tắc, thông báo và AC chi tiết ở tài liệu "Tạo thư mục mới — nghiệp vụ, câu hỏi, SRS / US / UC".
Trạng thái: Đã chốt = Hanna hoặc mockup đã xác nhận · Theo mặc định = chưa có trả lời, đang theo đề xuất · Suy ra = suy từ câu trả lời, cần thử để xác nhận · Còn mở = chưa có kết quả mong đợi. Cột Trạng thái chọn được từ danh sách; đổi giá trị thì màu tự đổi.</t>
  </si>
  <si>
    <t xml:space="preserve">Đếm theo trạng thái:</t>
  </si>
  <si>
    <t xml:space="preserve">ID</t>
  </si>
  <si>
    <t xml:space="preserve">Case cha</t>
  </si>
  <si>
    <t xml:space="preserve">Case con</t>
  </si>
  <si>
    <t xml:space="preserve">Điều kiện / Dữ liệu</t>
  </si>
  <si>
    <t xml:space="preserve">Thao tác</t>
  </si>
  <si>
    <t xml:space="preserve">Kết quả mong đợi</t>
  </si>
  <si>
    <t xml:space="preserve">Căn cứ</t>
  </si>
  <si>
    <t xml:space="preserve">Trạng thái</t>
  </si>
  <si>
    <t xml:space="preserve">Ghi chú</t>
  </si>
  <si>
    <t xml:space="preserve">1.1</t>
  </si>
  <si>
    <r>
      <rPr>
        <b val="true"/>
        <sz val="10"/>
        <rFont val="Arial"/>
        <family val="0"/>
        <charset val="1"/>
      </rPr>
      <t xml:space="preserve">1. Mở hộp thoại
</t>
    </r>
    <r>
      <rPr>
        <i val="true"/>
        <sz val="9"/>
        <color rgb="FF595959"/>
        <rFont val="Arial"/>
        <family val="0"/>
        <charset val="1"/>
      </rPr>
      <t xml:space="preserve">Menu, thành phần, dòng vị trí</t>
    </r>
  </si>
  <si>
    <t xml:space="preserve">Menu «Tạo mới»</t>
  </si>
  <si>
    <t xml:space="preserve">Đang ở gốc «Tài liệu dự án» hoặc trong một thư mục</t>
  </si>
  <si>
    <t xml:space="preserve">Bấm «Tạo mới»</t>
  </si>
  <si>
    <t xml:space="preserve">Menu hiện 3 mục: «Tạo thư mục mới», «Tải tệp lên», «Tải thư mục lên»</t>
  </si>
  <si>
    <t xml:space="preserve">AC-01, FR-01</t>
  </si>
  <si>
    <t xml:space="preserve">Đã chốt</t>
  </si>
  <si>
    <t xml:space="preserve">TC_021 cũ chỉ ghi 2 mục</t>
  </si>
  <si>
    <t xml:space="preserve">1.2</t>
  </si>
  <si>
    <t xml:space="preserve">Thành phần hộp thoại</t>
  </si>
  <si>
    <t xml:space="preserve">Thư mục đang đứng dưới cấp 20; đường dẫn còn chỗ</t>
  </si>
  <si>
    <t xml:space="preserve">Chọn «Tạo thư mục mới»</t>
  </si>
  <si>
    <t xml:space="preserve">Hộp thoại «Tạo thư mục» gồm: dòng «Thư mục mới sẽ được tạo tại: …»; nhãn «Tên thư mục *» có dấu * đỏ; ô tên rỗng, placeholder «Nhập tên thư mục», đang focus; bộ đếm «Còn 255 ký tự (tối đa 255)»; nút «Huỷ», «Lưu», «×»</t>
  </si>
  <si>
    <t xml:space="preserve">AC-02, FR-02</t>
  </si>
  <si>
    <t xml:space="preserve">Nhãn theo mockup; ảnh hệ thống ghi khác (xem sheet Còn mở)</t>
  </si>
  <si>
    <t xml:space="preserve">1.3</t>
  </si>
  <si>
    <t xml:space="preserve">Dòng vị trí khi đứng ở gốc</t>
  </si>
  <si>
    <t xml:space="preserve">Đang ở gốc «Tài liệu dự án»</t>
  </si>
  <si>
    <t xml:space="preserve">Mở hộp thoại</t>
  </si>
  <si>
    <t xml:space="preserve">«Thư mục mới sẽ được tạo tại: Quản lý tài liệu»</t>
  </si>
  <si>
    <t xml:space="preserve">FR-02; mockup tr.7</t>
  </si>
  <si>
    <t xml:space="preserve">1.4</t>
  </si>
  <si>
    <t xml:space="preserve">Dòng vị trí khi đứng trong thư mục con</t>
  </si>
  <si>
    <t xml:space="preserve">Đang ở thư mục "B", đường dẫn «Quản lý rủi ro» › "A" › "B"</t>
  </si>
  <si>
    <t xml:space="preserve">Hiện cả đường dẫn tới "B" kiểu breadcrumb, như ảnh 2</t>
  </si>
  <si>
    <t xml:space="preserve">FR-02; Q10, ảnh 2</t>
  </si>
  <si>
    <t xml:space="preserve">1.5</t>
  </si>
  <si>
    <t xml:space="preserve">Tên dài trên đường dẫn</t>
  </si>
  <si>
    <t xml:space="preserve">Một thư mục trên đường dẫn có tên dài, vd 255 ký tự</t>
  </si>
  <si>
    <t xml:space="preserve">Tên dài bị rút gọn bằng "…"</t>
  </si>
  <si>
    <t xml:space="preserve">Q10, ảnh 2</t>
  </si>
  <si>
    <t xml:space="preserve">1.6</t>
  </si>
  <si>
    <t xml:space="preserve">Bấm vào thư mục trên đường dẫn</t>
  </si>
  <si>
    <t xml:space="preserve">Như 1.4</t>
  </si>
  <si>
    <t xml:space="preserve">Bấm vào "A" trên dòng vị trí</t>
  </si>
  <si>
    <t xml:space="preserve">Bấm được vào từng thư mục</t>
  </si>
  <si>
    <t xml:space="preserve">Q10</t>
  </si>
  <si>
    <t xml:space="preserve">Bấm xong thì sao (đóng hộp thoại, chuyển tới "A"?) chưa rõ</t>
  </si>
  <si>
    <t xml:space="preserve">2.1</t>
  </si>
  <si>
    <r>
      <rPr>
        <b val="true"/>
        <sz val="10"/>
        <rFont val="Arial"/>
        <family val="0"/>
        <charset val="1"/>
      </rPr>
      <t xml:space="preserve">2. Bộ đếm và độ dài tên
</t>
    </r>
    <r>
      <rPr>
        <i val="true"/>
        <sz val="9"/>
        <color rgb="FF595959"/>
        <rFont val="Arial"/>
        <family val="0"/>
        <charset val="1"/>
      </rPr>
      <t xml:space="preserve">Đếm ký tự, tự cắt khi quá 255</t>
    </r>
  </si>
  <si>
    <t xml:space="preserve">Bộ đếm ban đầu</t>
  </si>
  <si>
    <t xml:space="preserve">Hộp thoại vừa mở, đường dẫn còn nhiều chỗ</t>
  </si>
  <si>
    <t xml:space="preserve">«Còn 255 ký tự (tối đa 255)»</t>
  </si>
  <si>
    <t xml:space="preserve">FR-03</t>
  </si>
  <si>
    <t xml:space="preserve">2.2</t>
  </si>
  <si>
    <t xml:space="preserve">Ký tự Half-width</t>
  </si>
  <si>
    <t xml:space="preserve">Ô rỗng</t>
  </si>
  <si>
    <t xml:space="preserve">Nhập "abc"</t>
  </si>
  <si>
    <t xml:space="preserve">Tính 3 ký tự: «Còn 252 ký tự (tối đa 255)»</t>
  </si>
  <si>
    <t xml:space="preserve">BR-03</t>
  </si>
  <si>
    <t xml:space="preserve">2.3</t>
  </si>
  <si>
    <t xml:space="preserve">Ký tự Full-width</t>
  </si>
  <si>
    <r>
      <rPr>
        <sz val="10"/>
        <rFont val="Arial"/>
        <family val="0"/>
        <charset val="1"/>
      </rPr>
      <t xml:space="preserve">Nhập "</t>
    </r>
    <r>
      <rPr>
        <sz val="10"/>
        <rFont val="Noto Sans CJK SC"/>
        <family val="2"/>
      </rPr>
      <t xml:space="preserve">ＮＲＴ０７８</t>
    </r>
    <r>
      <rPr>
        <sz val="10"/>
        <rFont val="Arial"/>
        <family val="0"/>
        <charset val="1"/>
      </rPr>
      <t xml:space="preserve">"</t>
    </r>
  </si>
  <si>
    <t xml:space="preserve">Tính 6 ký tự: «Còn 249 ký tự (tối đa 255)»</t>
  </si>
  <si>
    <t xml:space="preserve">AC-03, BR-03</t>
  </si>
  <si>
    <t xml:space="preserve">2.4</t>
  </si>
  <si>
    <t xml:space="preserve">Chữ có 1 dấu</t>
  </si>
  <si>
    <t xml:space="preserve">Nhập "Tại sảo" (không có dấu cách cuối)</t>
  </si>
  <si>
    <t xml:space="preserve">Tính 9 ký tự: «Còn 246 ký tự (tối đa 255)»</t>
  </si>
  <si>
    <t xml:space="preserve">AC-04, Q8</t>
  </si>
  <si>
    <t xml:space="preserve">Ví dụ của Hanna</t>
  </si>
  <si>
    <t xml:space="preserve">2.5</t>
  </si>
  <si>
    <t xml:space="preserve">Chữ có 2 dấu</t>
  </si>
  <si>
    <t xml:space="preserve">Nhập "Việt"</t>
  </si>
  <si>
    <t xml:space="preserve">Q8</t>
  </si>
  <si>
    <t xml:space="preserve">Suy ra</t>
  </si>
  <si>
    <t xml:space="preserve">Suy từ "Tại sảo" = 9: mỗi dấu tính 1 ký tự</t>
  </si>
  <si>
    <t xml:space="preserve">2.6</t>
  </si>
  <si>
    <t xml:space="preserve">Chữ "đ"</t>
  </si>
  <si>
    <t xml:space="preserve">Nhập "đ"</t>
  </si>
  <si>
    <t xml:space="preserve">Tính 1 ký tự: «Còn 254 ký tự (tối đa 255)»</t>
  </si>
  <si>
    <t xml:space="preserve">"đ" không có dấu tách rời</t>
  </si>
  <si>
    <t xml:space="preserve">2.7</t>
  </si>
  <si>
    <t xml:space="preserve">Chữ Nhật có dấu</t>
  </si>
  <si>
    <r>
      <rPr>
        <sz val="10"/>
        <rFont val="Arial"/>
        <family val="0"/>
        <charset val="1"/>
      </rPr>
      <t xml:space="preserve">Nhập "</t>
    </r>
    <r>
      <rPr>
        <sz val="10"/>
        <rFont val="Noto Sans CJK SC"/>
        <family val="2"/>
      </rPr>
      <t xml:space="preserve">デ</t>
    </r>
    <r>
      <rPr>
        <sz val="10"/>
        <rFont val="Arial"/>
        <family val="0"/>
        <charset val="1"/>
      </rPr>
      <t xml:space="preserve">"</t>
    </r>
  </si>
  <si>
    <t xml:space="preserve">Tính 2 ký tự: «Còn 253 ký tự (tối đa 255)»</t>
  </si>
  <si>
    <t xml:space="preserve">BR-03, Q8</t>
  </si>
  <si>
    <t xml:space="preserve">Nếu đúng thì tên tiếng Nhật có dấu bị đếm nhiều hơn số chữ nhìn thấy</t>
  </si>
  <si>
    <t xml:space="preserve">2.8</t>
  </si>
  <si>
    <t xml:space="preserve">Xoá bớt ký tự</t>
  </si>
  <si>
    <t xml:space="preserve">Ô có "abc"</t>
  </si>
  <si>
    <t xml:space="preserve">Xoá 1 ký tự</t>
  </si>
  <si>
    <t xml:space="preserve">«Còn 253 ký tự (tối đa 255)»</t>
  </si>
  <si>
    <t xml:space="preserve">2.9</t>
  </si>
  <si>
    <t xml:space="preserve">Gõ tới giới hạn</t>
  </si>
  <si>
    <t xml:space="preserve">Ô có 254 ký tự</t>
  </si>
  <si>
    <t xml:space="preserve">Gõ thêm 2 ký tự</t>
  </si>
  <si>
    <t xml:space="preserve">Ký tự thứ 255 vào được, bộ đếm «Còn 0 ký tự (tối đa 255)»; ký tự thứ 256 không vào; không có câu báo lỗi</t>
  </si>
  <si>
    <t xml:space="preserve">AC-05, Q2</t>
  </si>
  <si>
    <t xml:space="preserve">2.10</t>
  </si>
  <si>
    <t xml:space="preserve">Dán chuỗi quá dài</t>
  </si>
  <si>
    <t xml:space="preserve">Dán chuỗi 300 ký tự</t>
  </si>
  <si>
    <t xml:space="preserve">Ô chỉ giữ 255 ký tự đầu; không có câu báo lỗi</t>
  </si>
  <si>
    <t xml:space="preserve">2.11</t>
  </si>
  <si>
    <t xml:space="preserve">Chữ có dấu ở ký tự thứ 255</t>
  </si>
  <si>
    <t xml:space="preserve">Ô có 254 chữ "a"</t>
  </si>
  <si>
    <t xml:space="preserve">Gõ "ạ" (tính 2 ký tự)</t>
  </si>
  <si>
    <t xml:space="preserve">Ghi lại hệ thống làm gì: không nhận chữ, hay giữ "a" mà mất dấu</t>
  </si>
  <si>
    <t xml:space="preserve">Còn mở</t>
  </si>
  <si>
    <t xml:space="preserve">Ca dò lỗi, chưa có kết quả mong đợi</t>
  </si>
  <si>
    <t xml:space="preserve">2.12</t>
  </si>
  <si>
    <t xml:space="preserve">Emoji</t>
  </si>
  <si>
    <t xml:space="preserve">Nhập "📁"</t>
  </si>
  <si>
    <t xml:space="preserve">Chưa rõ cách đếm</t>
  </si>
  <si>
    <t xml:space="preserve">Tạm không test</t>
  </si>
  <si>
    <t xml:space="preserve">3.1</t>
  </si>
  <si>
    <r>
      <rPr>
        <b val="true"/>
        <sz val="10"/>
        <rFont val="Arial"/>
        <family val="0"/>
        <charset val="1"/>
      </rPr>
      <t xml:space="preserve">3. Kiểm tên khi bấm «Lưu»
</t>
    </r>
    <r>
      <rPr>
        <i val="true"/>
        <sz val="9"/>
        <color rgb="FF595959"/>
        <rFont val="Arial"/>
        <family val="0"/>
        <charset val="1"/>
      </rPr>
      <t xml:space="preserve">Tên rỗng, dấu cách, ký tự cấm</t>
    </r>
  </si>
  <si>
    <t xml:space="preserve">Để trống</t>
  </si>
  <si>
    <t xml:space="preserve">Bấm «Lưu»</t>
  </si>
  <si>
    <t xml:space="preserve">Hiện "Vui lòng nhập tên tệp."; hộp thoại vẫn mở; không tạo thư mục</t>
  </si>
  <si>
    <t xml:space="preserve">AC-15, MSG-02</t>
  </si>
  <si>
    <t xml:space="preserve">3.2</t>
  </si>
  <si>
    <t xml:space="preserve">Chỉ có dấu cách</t>
  </si>
  <si>
    <t xml:space="preserve">Ô có 3 dấu cách</t>
  </si>
  <si>
    <t xml:space="preserve">Hiện "Tên không được bắt đầu hoặc kết thúc bằng dấu cách."; không tạo thư mục</t>
  </si>
  <si>
    <t xml:space="preserve">AC-17, C4</t>
  </si>
  <si>
    <t xml:space="preserve">Theo mặc định</t>
  </si>
  <si>
    <t xml:space="preserve">3.3</t>
  </si>
  <si>
    <t xml:space="preserve">Dấu cách ở đầu</t>
  </si>
  <si>
    <t xml:space="preserve">Nhập "Báo cáo" có 1 dấu cách ở đầu, bấm «Lưu»</t>
  </si>
  <si>
    <t xml:space="preserve">AC-16, MSG-03</t>
  </si>
  <si>
    <t xml:space="preserve">Hanna nói cấm dấu cách cuối; câu báo nói cả đầu và cuối</t>
  </si>
  <si>
    <t xml:space="preserve">3.4</t>
  </si>
  <si>
    <t xml:space="preserve">Dấu cách ở cuối</t>
  </si>
  <si>
    <t xml:space="preserve">Nhập "Báo cáo" có 1 dấu cách ở cuối, bấm «Lưu»</t>
  </si>
  <si>
    <t xml:space="preserve">3.5</t>
  </si>
  <si>
    <t xml:space="preserve">Dấu cách ở giữa</t>
  </si>
  <si>
    <t xml:space="preserve">Nhập "Báo cáo 2026", bấm «Lưu»</t>
  </si>
  <si>
    <t xml:space="preserve">Tạo được thư mục "Báo cáo 2026"</t>
  </si>
  <si>
    <t xml:space="preserve">BR-02</t>
  </si>
  <si>
    <t xml:space="preserve">3.6</t>
  </si>
  <si>
    <t xml:space="preserve">Ký tự cấm</t>
  </si>
  <si>
    <t xml:space="preserve">Nhập tên có 1 trong 8 ký tự \ / : * ? " &lt; &gt; (mỗi ký tự thử một lần), vd "Bản vẽ/2026"; bấm «Lưu»</t>
  </si>
  <si>
    <t xml:space="preserve">Hiện "Tên tệp chứa các ký tự không được phép sử dụng."; không tạo thư mục</t>
  </si>
  <si>
    <t xml:space="preserve">AC-18, MSG-04</t>
  </si>
  <si>
    <t xml:space="preserve">3.7</t>
  </si>
  <si>
    <t xml:space="preserve">Dấu gạch đứng</t>
  </si>
  <si>
    <t xml:space="preserve">Nhập "A|B", bấm «Lưu»</t>
  </si>
  <si>
    <t xml:space="preserve">Tạo được</t>
  </si>
  <si>
    <t xml:space="preserve">C5</t>
  </si>
  <si>
    <t xml:space="preserve">Không có trong danh sách 8 ký tự cấm</t>
  </si>
  <si>
    <t xml:space="preserve">3.8</t>
  </si>
  <si>
    <t xml:space="preserve">Tên chỉ gồm dấu chấm</t>
  </si>
  <si>
    <t xml:space="preserve">Nhập "." hoặc "..", bấm «Lưu»</t>
  </si>
  <si>
    <t xml:space="preserve">3.9</t>
  </si>
  <si>
    <t xml:space="preserve">Ký tự đặc biệt khác</t>
  </si>
  <si>
    <t xml:space="preserve">Nhập "A#B&amp;C%D@E", bấm «Lưu»</t>
  </si>
  <si>
    <t xml:space="preserve">BR-04</t>
  </si>
  <si>
    <t xml:space="preserve">Chỉ 8 ký tự bị cấm</t>
  </si>
  <si>
    <t xml:space="preserve">3.10</t>
  </si>
  <si>
    <t xml:space="preserve">Sửa lỗi rồi lưu lại</t>
  </si>
  <si>
    <t xml:space="preserve">Đang hiện một câu lỗi ở trên</t>
  </si>
  <si>
    <t xml:space="preserve">Sửa tên cho hợp lệ, bấm «Lưu»</t>
  </si>
  <si>
    <t xml:space="preserve">Tạo được; câu lỗi không còn</t>
  </si>
  <si>
    <t xml:space="preserve">FR-04</t>
  </si>
  <si>
    <t xml:space="preserve">4.1</t>
  </si>
  <si>
    <r>
      <rPr>
        <b val="true"/>
        <sz val="10"/>
        <rFont val="Arial"/>
        <family val="0"/>
        <charset val="1"/>
      </rPr>
      <t xml:space="preserve">4. Tạo thành công
</t>
    </r>
    <r>
      <rPr>
        <i val="true"/>
        <sz val="9"/>
        <color rgb="FF595959"/>
        <rFont val="Arial"/>
        <family val="0"/>
        <charset val="1"/>
      </rPr>
      <t xml:space="preserve">Tên hợp lệ, ở gốc và trong «Thư mục công trình cũ»</t>
    </r>
  </si>
  <si>
    <t xml:space="preserve">Tên thường</t>
  </si>
  <si>
    <t xml:space="preserve">Thư mục đang đứng chưa có mục nào tên "Hồ sơ thiết kế"</t>
  </si>
  <si>
    <t xml:space="preserve">Nhập "Hồ sơ thiết kế", bấm «Lưu»</t>
  </si>
  <si>
    <t xml:space="preserve">Hộp thoại đóng; hiện "Tôi đã tạo một thư mục."; danh sách có thư mục "Hồ sơ thiết kế"</t>
  </si>
  <si>
    <t xml:space="preserve">AC-06, MSG-06</t>
  </si>
  <si>
    <t xml:space="preserve">4.2</t>
  </si>
  <si>
    <t xml:space="preserve">Tên 1 ký tự</t>
  </si>
  <si>
    <t xml:space="preserve">Nhập "A", bấm «Lưu»</t>
  </si>
  <si>
    <t xml:space="preserve">Tạo được thư mục "A"</t>
  </si>
  <si>
    <t xml:space="preserve">4.3</t>
  </si>
  <si>
    <t xml:space="preserve">Tên 255 ký tự Half-width</t>
  </si>
  <si>
    <t xml:space="preserve">Nhập 255 ký tự Half-width, bấm «Lưu»</t>
  </si>
  <si>
    <t xml:space="preserve">Tạo được; tên giữ đủ 255 ký tự</t>
  </si>
  <si>
    <t xml:space="preserve">AC-07, BR-03</t>
  </si>
  <si>
    <t xml:space="preserve">4.4</t>
  </si>
  <si>
    <t xml:space="preserve">Tên 255 ký tự Full-width</t>
  </si>
  <si>
    <t xml:space="preserve">Nhập 255 ký tự Full-width, bấm «Lưu»</t>
  </si>
  <si>
    <t xml:space="preserve">Tạo được; tên giữ đủ 255 ký tự, không bị đổi sang Half-width</t>
  </si>
  <si>
    <t xml:space="preserve">AC-07, BR-05</t>
  </si>
  <si>
    <t xml:space="preserve">4.5</t>
  </si>
  <si>
    <t xml:space="preserve">Tên 255 ký tự trộn</t>
  </si>
  <si>
    <t xml:space="preserve">Nhập tên trộn Full-width, Half-width và chữ có dấu, đúng 255 ký tự theo cách đếm của hệ thống; bấm «Lưu»</t>
  </si>
  <si>
    <t xml:space="preserve">Tạo được; tên giữ nguyên</t>
  </si>
  <si>
    <t xml:space="preserve">4.6</t>
  </si>
  <si>
    <t xml:space="preserve">Tên Full-width</t>
  </si>
  <si>
    <r>
      <rPr>
        <sz val="10"/>
        <rFont val="Arial"/>
        <family val="0"/>
        <charset val="1"/>
      </rPr>
      <t xml:space="preserve">Nhập "</t>
    </r>
    <r>
      <rPr>
        <sz val="10"/>
        <rFont val="Noto Sans CJK SC"/>
        <family val="2"/>
      </rPr>
      <t xml:space="preserve">ＮＲＴ０７８</t>
    </r>
    <r>
      <rPr>
        <sz val="10"/>
        <rFont val="Arial"/>
        <family val="0"/>
        <charset val="1"/>
      </rPr>
      <t xml:space="preserve">", bấm «Lưu»</t>
    </r>
  </si>
  <si>
    <r>
      <rPr>
        <sz val="10"/>
        <rFont val="Arial"/>
        <family val="0"/>
        <charset val="1"/>
      </rPr>
      <t xml:space="preserve">Tên hiện đúng "</t>
    </r>
    <r>
      <rPr>
        <sz val="10"/>
        <rFont val="Noto Sans CJK SC"/>
        <family val="2"/>
      </rPr>
      <t xml:space="preserve">ＮＲＴ０７８</t>
    </r>
    <r>
      <rPr>
        <sz val="10"/>
        <rFont val="Arial"/>
        <family val="0"/>
        <charset val="1"/>
      </rPr>
      <t xml:space="preserve">", không đổi thành "NRT078"</t>
    </r>
  </si>
  <si>
    <t xml:space="preserve">BR-05</t>
  </si>
  <si>
    <t xml:space="preserve">Sửa từ TC_083 cũ</t>
  </si>
  <si>
    <t xml:space="preserve">4.7</t>
  </si>
  <si>
    <t xml:space="preserve">Tạo ở gốc «Tài liệu dự án»</t>
  </si>
  <si>
    <t xml:space="preserve">Đang ở gốc</t>
  </si>
  <si>
    <t xml:space="preserve">Tạo "Thư mục A"</t>
  </si>
  <si>
    <t xml:space="preserve">Thư mục mới nằm ở gốc và là cấp 1</t>
  </si>
  <si>
    <t xml:space="preserve">BR-07</t>
  </si>
  <si>
    <t xml:space="preserve">4.8</t>
  </si>
  <si>
    <t xml:space="preserve">Tạo trong «Thư mục công trình cũ»</t>
  </si>
  <si>
    <t xml:space="preserve">Đang ở ngay trong «Thư mục công trình cũ»</t>
  </si>
  <si>
    <t xml:space="preserve">Tạo "Công trình A"</t>
  </si>
  <si>
    <t xml:space="preserve">Tạo được; thư mục mới là cấp 1, thuộc phạm vi «Thư mục công trình cũ»</t>
  </si>
  <si>
    <t xml:space="preserve">AC-13, BR-09, BR-10</t>
  </si>
  <si>
    <t xml:space="preserve">5.1</t>
  </si>
  <si>
    <r>
      <rPr>
        <b val="true"/>
        <sz val="10"/>
        <rFont val="Arial"/>
        <family val="0"/>
        <charset val="1"/>
      </rPr>
      <t xml:space="preserve">5. Trùng tên
</t>
    </r>
    <r>
      <rPr>
        <i val="true"/>
        <sz val="9"/>
        <color rgb="FF595959"/>
        <rFont val="Arial"/>
        <family val="0"/>
        <charset val="1"/>
      </rPr>
      <t xml:space="preserve">So với thư mục, tệp và «Thùng rác» trong cùng thư mục cha</t>
    </r>
  </si>
  <si>
    <t xml:space="preserve">Trùng với thư mục</t>
  </si>
  <si>
    <t xml:space="preserve">Thư mục đang đứng có thư mục "Báo cáo"</t>
  </si>
  <si>
    <t xml:space="preserve">Tạo thư mục "Báo cáo"</t>
  </si>
  <si>
    <t xml:space="preserve">Tạo "Báo cáo (1)"; hiện "Vì chúng có cùng tên, tôi đã tạo một thư mục mới có tên "Báo cáo (1)" thay vì "Báo cáo". Các mục trong Thùng rác cũng sẽ giữ nguyên tên của chúng. Để sử dụng tên gốc, vui lòng xóa hoàn toàn mục đó khỏi Thùng rác."; thư mục "Báo cáo" cũ giữ nguyên</t>
  </si>
  <si>
    <t xml:space="preserve">AC-08, MSG-05</t>
  </si>
  <si>
    <t xml:space="preserve">5.2</t>
  </si>
  <si>
    <t xml:space="preserve">Trùng lần 2</t>
  </si>
  <si>
    <t xml:space="preserve">Đã có "Báo cáo" và "Báo cáo (1)"</t>
  </si>
  <si>
    <t xml:space="preserve">Tạo "Báo cáo"</t>
  </si>
  <si>
    <t xml:space="preserve">Tạo "Báo cáo (2)"; hiện MSG-05 với tên "Báo cáo (2)"</t>
  </si>
  <si>
    <t xml:space="preserve">AC-08</t>
  </si>
  <si>
    <t xml:space="preserve">5.3</t>
  </si>
  <si>
    <t xml:space="preserve">Trùng với tệp</t>
  </si>
  <si>
    <t xml:space="preserve">Thư mục đang đứng có tệp tên "Báo cáo"</t>
  </si>
  <si>
    <t xml:space="preserve">Tạo "Báo cáo (1)"; hiện MSG-05</t>
  </si>
  <si>
    <t xml:space="preserve">AC-09</t>
  </si>
  <si>
    <t xml:space="preserve">5.4</t>
  </si>
  <si>
    <t xml:space="preserve">Trùng với mục trong Thùng rác</t>
  </si>
  <si>
    <t xml:space="preserve">Thư mục "Báo cáo" ở đây đã bị xoá, đang nằm trong «Thùng rác»</t>
  </si>
  <si>
    <t xml:space="preserve">AC-10</t>
  </si>
  <si>
    <t xml:space="preserve">5.5</t>
  </si>
  <si>
    <t xml:space="preserve">Dùng lại tên gốc</t>
  </si>
  <si>
    <t xml:space="preserve">Tiếp 5.4: xoá vĩnh viễn "Báo cáo" khỏi «Thùng rác»</t>
  </si>
  <si>
    <t xml:space="preserve">Tạo đúng tên "Báo cáo", không thêm số</t>
  </si>
  <si>
    <t xml:space="preserve">5.6</t>
  </si>
  <si>
    <t xml:space="preserve">Khác chữ hoa/thường</t>
  </si>
  <si>
    <t xml:space="preserve">Có thư mục "abc"</t>
  </si>
  <si>
    <t xml:space="preserve">Tạo "ABC"</t>
  </si>
  <si>
    <t xml:space="preserve">Tạo "ABC (1)"; hiện MSG-05</t>
  </si>
  <si>
    <t xml:space="preserve">AC-11, C2</t>
  </si>
  <si>
    <t xml:space="preserve">5.7</t>
  </si>
  <si>
    <t xml:space="preserve">Khác Full-width/Half-width</t>
  </si>
  <si>
    <r>
      <rPr>
        <sz val="10"/>
        <rFont val="Arial"/>
        <family val="0"/>
        <charset val="1"/>
      </rPr>
      <t xml:space="preserve">Tạo "</t>
    </r>
    <r>
      <rPr>
        <sz val="10"/>
        <rFont val="Noto Sans CJK SC"/>
        <family val="2"/>
      </rPr>
      <t xml:space="preserve">ａｂｃ</t>
    </r>
    <r>
      <rPr>
        <sz val="10"/>
        <rFont val="Arial"/>
        <family val="0"/>
        <charset val="1"/>
      </rPr>
      <t xml:space="preserve">"</t>
    </r>
  </si>
  <si>
    <r>
      <rPr>
        <sz val="10"/>
        <rFont val="Arial"/>
        <family val="0"/>
        <charset val="1"/>
      </rPr>
      <t xml:space="preserve">Tạo "</t>
    </r>
    <r>
      <rPr>
        <sz val="10"/>
        <rFont val="Noto Sans CJK SC"/>
        <family val="2"/>
      </rPr>
      <t xml:space="preserve">ａｂｃ </t>
    </r>
    <r>
      <rPr>
        <sz val="10"/>
        <rFont val="Arial"/>
        <family val="0"/>
        <charset val="1"/>
      </rPr>
      <t xml:space="preserve">(1)"; hiện MSG-05</t>
    </r>
  </si>
  <si>
    <t xml:space="preserve">5.8</t>
  </si>
  <si>
    <t xml:space="preserve">Cùng tên ở thư mục cha khác</t>
  </si>
  <si>
    <t xml:space="preserve">Thư mục "X" có "Báo cáo"; đang đứng ở thư mục "Y"</t>
  </si>
  <si>
    <t xml:space="preserve">Tạo đúng tên "Báo cáo"</t>
  </si>
  <si>
    <t xml:space="preserve">BR-06</t>
  </si>
  <si>
    <t xml:space="preserve">Chỉ so trong cùng thư mục cha</t>
  </si>
  <si>
    <t xml:space="preserve">5.9</t>
  </si>
  <si>
    <t xml:space="preserve">Thông báo khi đã đổi tên</t>
  </si>
  <si>
    <t xml:space="preserve">Như 5.1</t>
  </si>
  <si>
    <t xml:space="preserve">Chỉ hiện MSG-05, không hiện thêm "Tôi đã tạo một thư mục."</t>
  </si>
  <si>
    <t xml:space="preserve">UC A1</t>
  </si>
  <si>
    <t xml:space="preserve">6.1</t>
  </si>
  <si>
    <r>
      <rPr>
        <b val="true"/>
        <sz val="10"/>
        <rFont val="Arial"/>
        <family val="0"/>
        <charset val="1"/>
      </rPr>
      <t xml:space="preserve">6. Giới hạn 20 cấp
</t>
    </r>
    <r>
      <rPr>
        <i val="true"/>
        <sz val="9"/>
        <color rgb="FF595959"/>
        <rFont val="Arial"/>
        <family val="0"/>
        <charset val="1"/>
      </rPr>
      <t xml:space="preserve">Gốc là cấp 1; «Thư mục công trình cũ» không tính cấp</t>
    </r>
  </si>
  <si>
    <t xml:space="preserve">Tới cấp 20 ở «Tài liệu dự án»</t>
  </si>
  <si>
    <t xml:space="preserve">Thư mục ở gốc (vd «Quản lý rủi ro») là cấp 1</t>
  </si>
  <si>
    <t xml:space="preserve">Tạo lần lượt cấp 2 → 20 bên trong</t>
  </si>
  <si>
    <t xml:space="preserve">Tạo được tới cấp 20</t>
  </si>
  <si>
    <t xml:space="preserve">AC-12, BR-07</t>
  </si>
  <si>
    <t xml:space="preserve">Đặt tên ngắn ("2" → "20") để không chạm giới hạn đường dẫn</t>
  </si>
  <si>
    <t xml:space="preserve">6.2</t>
  </si>
  <si>
    <t xml:space="preserve">Ở cấp 20 trong «Tài liệu dự án»</t>
  </si>
  <si>
    <t xml:space="preserve">Đang đứng ở thư mục cấp 20</t>
  </si>
  <si>
    <t xml:space="preserve">Bấm «Tạo mới» → «Tạo thư mục mới»</t>
  </si>
  <si>
    <t xml:space="preserve">Hộp thoại mở với cảnh báo vàng "Không thể tạo thư mục con vì số cấp thư mục đã đạt giới hạn (20 cấp)."; nút lưu bị tắt; không tạo được thư mục</t>
  </si>
  <si>
    <t xml:space="preserve">AC-19, MSG-01, C3</t>
  </si>
  <si>
    <t xml:space="preserve">Ô nhập có bị khoá như ảnh 3 không: chưa rõ</t>
  </si>
  <si>
    <t xml:space="preserve">6.3</t>
  </si>
  <si>
    <t xml:space="preserve">Tới cấp 20 trong «Thư mục công trình cũ»</t>
  </si>
  <si>
    <t xml:space="preserve">«Thư mục công trình cũ» không tính là cấp</t>
  </si>
  <si>
    <t xml:space="preserve">Tạo lần lượt cấp 1 → 20 bên trong</t>
  </si>
  <si>
    <t xml:space="preserve">Tạo được đủ 20 cấp</t>
  </si>
  <si>
    <t xml:space="preserve">AC-13, AC-14, BR-07</t>
  </si>
  <si>
    <t xml:space="preserve">6.4</t>
  </si>
  <si>
    <t xml:space="preserve">Ở cấp 20 trong «Thư mục công trình cũ»</t>
  </si>
  <si>
    <t xml:space="preserve">Đang đứng ở cấp 20 bên trong «Thư mục công trình cũ»</t>
  </si>
  <si>
    <t xml:space="preserve">Như 6.2: cảnh báo vàng, nút lưu bị tắt</t>
  </si>
  <si>
    <t xml:space="preserve">AC-19, C3</t>
  </si>
  <si>
    <t xml:space="preserve">7.1</t>
  </si>
  <si>
    <r>
      <rPr>
        <b val="true"/>
        <sz val="10"/>
        <rFont val="Arial"/>
        <family val="0"/>
        <charset val="1"/>
      </rPr>
      <t xml:space="preserve">7. Giới hạn đường dẫn
</t>
    </r>
    <r>
      <rPr>
        <i val="true"/>
        <sz val="9"/>
        <color rgb="FF595959"/>
        <rFont val="Arial"/>
        <family val="0"/>
        <charset val="1"/>
      </rPr>
      <t xml:space="preserve">Tên mới bị giới hạn theo độ dài đường dẫn</t>
    </r>
  </si>
  <si>
    <t xml:space="preserve">Đường dẫn còn nhiều chỗ</t>
  </si>
  <si>
    <t xml:space="preserve">Đường dẫn ngắn</t>
  </si>
  <si>
    <t xml:space="preserve">Tối đa 255; không có cảnh báo</t>
  </si>
  <si>
    <t xml:space="preserve">BR-08</t>
  </si>
  <si>
    <t xml:space="preserve">7.2</t>
  </si>
  <si>
    <t xml:space="preserve">Đường dẫn gần hết chỗ</t>
  </si>
  <si>
    <t xml:space="preserve">Đường dẫn chỉ còn N chỗ (1 ≤ N &lt; 255), dựng bằng chuỗi thư mục tên dài</t>
  </si>
  <si>
    <t xml:space="preserve">Mở hộp thoại, gõ N + 1 ký tự</t>
  </si>
  <si>
    <t xml:space="preserve">Bộ đếm «Còn N ký tự (tối đa N)»; cảnh báo vàng hiện với số N; ký tự thứ N + 1 không vào</t>
  </si>
  <si>
    <t xml:space="preserve">BR-08, C1</t>
  </si>
  <si>
    <t xml:space="preserve">7.3</t>
  </si>
  <si>
    <t xml:space="preserve">Đường dẫn hết chỗ</t>
  </si>
  <si>
    <t xml:space="preserve">Chuỗi thư mục tên dài như ảnh 2, tới khi hết chỗ</t>
  </si>
  <si>
    <t xml:space="preserve">Cảnh báo vàng "*Do giới hạn đường dẫn tổng thể ở cấp độ này, số ký tự tối đa là 0. Vui lòng chọn cấp độ cao hơn hoặc rút ngắn tên thư mục cha."; bộ đếm "Còn 0 ký tự (tối đa 0 ký tự)"; không nhập được; nút lưu bị tắt</t>
  </si>
  <si>
    <t xml:space="preserve">AC-20, MSG-08</t>
  </si>
  <si>
    <t xml:space="preserve">Ảnh 3</t>
  </si>
  <si>
    <t xml:space="preserve">7.4</t>
  </si>
  <si>
    <t xml:space="preserve">Lên cấp cao hơn</t>
  </si>
  <si>
    <t xml:space="preserve">Tiếp 7.3: lùi lên thư mục cha</t>
  </si>
  <si>
    <t xml:space="preserve">Tối đa lớn hơn 0; tạo được</t>
  </si>
  <si>
    <t xml:space="preserve">Theo câu cảnh báo: "chọn cấp độ cao hơn"</t>
  </si>
  <si>
    <t xml:space="preserve">7.5</t>
  </si>
  <si>
    <t xml:space="preserve">Rút ngắn tên thư mục cha</t>
  </si>
  <si>
    <t xml:space="preserve">Tiếp 7.3: đổi tên một thư mục cha cho ngắn lại</t>
  </si>
  <si>
    <t xml:space="preserve">Mở lại hộp thoại</t>
  </si>
  <si>
    <t xml:space="preserve">Tối đa tăng lên; tạo được</t>
  </si>
  <si>
    <t xml:space="preserve">Theo câu cảnh báo; cần chức năng Đổi tên</t>
  </si>
  <si>
    <t xml:space="preserve">7.6</t>
  </si>
  <si>
    <t xml:space="preserve">Con số giới hạn</t>
  </si>
  <si>
    <t xml:space="preserve">Giới hạn bao nhiêu ký tự, tính những phần nào: chưa có</t>
  </si>
  <si>
    <t xml:space="preserve">C1</t>
  </si>
  <si>
    <t xml:space="preserve">8.1</t>
  </si>
  <si>
    <r>
      <rPr>
        <b val="true"/>
        <sz val="10"/>
        <rFont val="Arial"/>
        <family val="0"/>
        <charset val="1"/>
      </rPr>
      <t xml:space="preserve">8. Đóng hộp thoại
</t>
    </r>
    <r>
      <rPr>
        <i val="true"/>
        <sz val="9"/>
        <color rgb="FF595959"/>
        <rFont val="Arial"/>
        <family val="0"/>
        <charset val="1"/>
      </rPr>
      <t xml:space="preserve">«Huỷ», «×», Esc, bấm ra ngoài</t>
    </r>
  </si>
  <si>
    <t xml:space="preserve">Bấm «Huỷ»</t>
  </si>
  <si>
    <t xml:space="preserve">Đã nhập tên</t>
  </si>
  <si>
    <t xml:space="preserve">Hộp thoại đóng ngay, không hỏi lại; không tạo thư mục</t>
  </si>
  <si>
    <t xml:space="preserve">AC-21, FR-08</t>
  </si>
  <si>
    <t xml:space="preserve">8.2</t>
  </si>
  <si>
    <t xml:space="preserve">Bấm «×»</t>
  </si>
  <si>
    <t xml:space="preserve">AC-21</t>
  </si>
  <si>
    <t xml:space="preserve">8.3</t>
  </si>
  <si>
    <t xml:space="preserve">Nhấn Esc</t>
  </si>
  <si>
    <t xml:space="preserve">AC-21, Q11</t>
  </si>
  <si>
    <t xml:space="preserve">8.4</t>
  </si>
  <si>
    <t xml:space="preserve">Bấm ra ngoài</t>
  </si>
  <si>
    <t xml:space="preserve">Bấm ra ngoài hộp thoại</t>
  </si>
  <si>
    <t xml:space="preserve">Hộp thoại không đóng</t>
  </si>
  <si>
    <t xml:space="preserve">FR-08</t>
  </si>
  <si>
    <t xml:space="preserve">8.5</t>
  </si>
  <si>
    <t xml:space="preserve">Mở lại sau khi huỷ</t>
  </si>
  <si>
    <t xml:space="preserve">Vừa huỷ ở 8.1</t>
  </si>
  <si>
    <t xml:space="preserve">Ô tên rỗng</t>
  </si>
  <si>
    <t xml:space="preserve">8.6</t>
  </si>
  <si>
    <t xml:space="preserve">Đóng khi đang có cảnh báo</t>
  </si>
  <si>
    <t xml:space="preserve">Hộp thoại đang hiện cảnh báo vàng (6.2 hoặc 7.3)</t>
  </si>
  <si>
    <t xml:space="preserve">Bấm «Huỷ», «×» hoặc nhấn Esc</t>
  </si>
  <si>
    <t xml:space="preserve">Hộp thoại đóng; không tạo thư mục</t>
  </si>
  <si>
    <t xml:space="preserve">FR-09</t>
  </si>
  <si>
    <t xml:space="preserve">9.1</t>
  </si>
  <si>
    <r>
      <rPr>
        <b val="true"/>
        <sz val="10"/>
        <rFont val="Arial"/>
        <family val="0"/>
        <charset val="1"/>
      </rPr>
      <t xml:space="preserve">9. Sau khi tạo
</t>
    </r>
    <r>
      <rPr>
        <i val="true"/>
        <sz val="9"/>
        <color rgb="FF595959"/>
        <rFont val="Arial"/>
        <family val="0"/>
        <charset val="1"/>
      </rPr>
      <t xml:space="preserve">Thông tin trên danh sách, thư mục mới</t>
    </r>
  </si>
  <si>
    <t xml:space="preserve">Các cột của dòng mới</t>
  </si>
  <si>
    <t xml:space="preserve">Vừa tạo "Hồ sơ thiết kế" ở 4.1</t>
  </si>
  <si>
    <t xml:space="preserve">Xem dòng mới trên danh sách</t>
  </si>
  <si>
    <t xml:space="preserve">«Định dạng» và «Dung lượng» là «—»; «Người cập nhật cuối» là người tạo; «Cập nhật lần cuối» là lúc tạo</t>
  </si>
  <si>
    <t xml:space="preserve">AC-06, FR-06, Q9</t>
  </si>
  <si>
    <t xml:space="preserve">9.2</t>
  </si>
  <si>
    <t xml:space="preserve">Định dạng ngày giờ</t>
  </si>
  <si>
    <t xml:space="preserve">Như 9.1</t>
  </si>
  <si>
    <t xml:space="preserve">Xem «Cập nhật lần cuối»</t>
  </si>
  <si>
    <t xml:space="preserve">Dạng DD/MM/YYYY HH:mm, vd «30/09/2026 15:02»</t>
  </si>
  <si>
    <t xml:space="preserve">FR-06</t>
  </si>
  <si>
    <t xml:space="preserve">TC_150 cũ ghi YYYY-MM-DD HH:MM</t>
  </si>
  <si>
    <t xml:space="preserve">9.3</t>
  </si>
  <si>
    <t xml:space="preserve">Vị trí dòng mới</t>
  </si>
  <si>
    <t xml:space="preserve">Xem danh sách</t>
  </si>
  <si>
    <t xml:space="preserve">Dòng mới xếp theo cách sắp xếp đang chọn</t>
  </si>
  <si>
    <t xml:space="preserve">9.4</t>
  </si>
  <si>
    <t xml:space="preserve">Ở lại thư mục đang đứng</t>
  </si>
  <si>
    <t xml:space="preserve">Không tự chuyển vào thư mục mới</t>
  </si>
  <si>
    <t xml:space="preserve">9.5</t>
  </si>
  <si>
    <t xml:space="preserve">Mở thư mục mới</t>
  </si>
  <si>
    <t xml:space="preserve">Mở "Hồ sơ thiết kế"</t>
  </si>
  <si>
    <t xml:space="preserve">Thấy «Bấm + Tạo mới để tải tệp hoặc tạo thư mục con.»</t>
  </si>
  <si>
    <t xml:space="preserve">AC-22, FR-07</t>
  </si>
  <si>
    <t xml:space="preserve">10.1</t>
  </si>
  <si>
    <r>
      <rPr>
        <b val="true"/>
        <sz val="10"/>
        <rFont val="Arial"/>
        <family val="0"/>
        <charset val="1"/>
      </rPr>
      <t xml:space="preserve">10. Lỗi khi lưu
</t>
    </r>
    <r>
      <rPr>
        <i val="true"/>
        <sz val="9"/>
        <color rgb="FF595959"/>
        <rFont val="Arial"/>
        <family val="0"/>
        <charset val="1"/>
      </rPr>
      <t xml:space="preserve">Mạng, máy chủ, bấm hai lần</t>
    </r>
  </si>
  <si>
    <t xml:space="preserve">Mất mạng hoặc lỗi máy chủ</t>
  </si>
  <si>
    <t xml:space="preserve">Tên hợp lệ; ngắt mạng</t>
  </si>
  <si>
    <t xml:space="preserve">Hiện "Không thể tạo thư mục."; không tạo thư mục</t>
  </si>
  <si>
    <t xml:space="preserve">AC-23, MSG-07</t>
  </si>
  <si>
    <t xml:space="preserve">Giữ hộp thoại và tên đã nhập: theo mặc định</t>
  </si>
  <si>
    <t xml:space="preserve">10.2</t>
  </si>
  <si>
    <t xml:space="preserve">Bấm «Lưu» hai lần liền</t>
  </si>
  <si>
    <t xml:space="preserve">Tên hợp lệ</t>
  </si>
  <si>
    <t xml:space="preserve">Bấm «Lưu» 2 lần thật nhanh</t>
  </si>
  <si>
    <t xml:space="preserve">Chỉ tạo 1 thư mục</t>
  </si>
  <si>
    <t xml:space="preserve">FR-05</t>
  </si>
  <si>
    <t xml:space="preserve">10.3</t>
  </si>
  <si>
    <t xml:space="preserve">Thư mục cha bị xoá khi đang mở hộp thoại</t>
  </si>
  <si>
    <t xml:space="preserve">Người khác xoá thư mục cha lúc hộp thoại đang mở</t>
  </si>
  <si>
    <t xml:space="preserve">MSG-07</t>
  </si>
  <si>
    <t xml:space="preserve">11.1</t>
  </si>
  <si>
    <r>
      <rPr>
        <b val="true"/>
        <sz val="10"/>
        <rFont val="Arial"/>
        <family val="0"/>
        <charset val="1"/>
      </rPr>
      <t xml:space="preserve">11. Ngoài phạm vi, ghi để biết
</t>
    </r>
    <r>
      <rPr>
        <i val="true"/>
        <sz val="9"/>
        <color rgb="FF595959"/>
        <rFont val="Arial"/>
        <family val="0"/>
        <charset val="1"/>
      </rPr>
      <t xml:space="preserve">Thuộc chức năng khác</t>
    </r>
  </si>
  <si>
    <t xml:space="preserve">Phân quyền</t>
  </si>
  <si>
    <t xml:space="preserve">Màn này tính là có toàn quyền; thực tế có nhiều logic phân quyền</t>
  </si>
  <si>
    <t xml:space="preserve">Q6</t>
  </si>
  <si>
    <t xml:space="preserve">11.2</t>
  </si>
  <si>
    <t xml:space="preserve">Trùng tên khi tải lên, di chuyển</t>
  </si>
  <si>
    <t xml:space="preserve">Cũng tự thêm (1), (2)… như khi tạo</t>
  </si>
  <si>
    <t xml:space="preserve">Q4</t>
  </si>
  <si>
    <t xml:space="preserve">11.3</t>
  </si>
  <si>
    <t xml:space="preserve">Trùng tên khi đổi tên</t>
  </si>
  <si>
    <t xml:space="preserve">TC_144 cũ ghi báo lỗi, khác với khi tạo: hỏi khi làm phần Đổi tên</t>
  </si>
  <si>
    <t xml:space="preserve">TC_144</t>
  </si>
  <si>
    <t xml:space="preserve">11.4</t>
  </si>
  <si>
    <t xml:space="preserve">20 cấp khi «Tải thư mục lên»</t>
  </si>
  <si>
    <t xml:space="preserve">Có áp giới hạn 20 cấp không: chưa rõ</t>
  </si>
  <si>
    <t xml:space="preserve">11.5</t>
  </si>
  <si>
    <t xml:space="preserve">Di chuyển khác phạm vi</t>
  </si>
  <si>
    <t xml:space="preserve">Không được chuyển giữa «Tài liệu dự án» và «Thư mục công trình cũ»; cách chặn chưa rõ</t>
  </si>
  <si>
    <t xml:space="preserve">Chốt 02/10</t>
  </si>
  <si>
    <t xml:space="preserve">Thông báo của phần tạo thư mục</t>
  </si>
  <si>
    <t xml:space="preserve">Tiếng Việt dịch tạm, dùng luôn khi kiểm. Câu "Tên thư mục quá dài (tối đa 255 ký tự)." của TC_082 đã bỏ, vì gõ hay dán quá đều tự cắt (Q2).</t>
  </si>
  <si>
    <t xml:space="preserve">Khi nào</t>
  </si>
  <si>
    <t xml:space="preserve">Câu thông báo</t>
  </si>
  <si>
    <t xml:space="preserve">Hiện ở đâu</t>
  </si>
  <si>
    <t xml:space="preserve">Nguồn</t>
  </si>
  <si>
    <t xml:space="preserve">MSG-01</t>
  </si>
  <si>
    <t xml:space="preserve">Mở hộp thoại ở thư mục cấp 20</t>
  </si>
  <si>
    <t xml:space="preserve">Không thể tạo thư mục con vì số cấp thư mục đã đạt giới hạn (20 cấp).</t>
  </si>
  <si>
    <t xml:space="preserve">Cảnh báo vàng ở đầu hộp thoại; nút lưu bị tắt</t>
  </si>
  <si>
    <t xml:space="preserve">TC_081 (dịch tạm, đổi 10 thành 20); cách hiện theo C3</t>
  </si>
  <si>
    <t xml:space="preserve">MSG-02</t>
  </si>
  <si>
    <t xml:space="preserve">Bấm «Lưu» khi tên rỗng</t>
  </si>
  <si>
    <t xml:space="preserve">Vui lòng nhập tên tệp.</t>
  </si>
  <si>
    <t xml:space="preserve">Trong hộp thoại</t>
  </si>
  <si>
    <t xml:space="preserve">Q3</t>
  </si>
  <si>
    <t xml:space="preserve">MSG-03</t>
  </si>
  <si>
    <t xml:space="preserve">Tên có dấu cách ở đầu hoặc cuối</t>
  </si>
  <si>
    <t xml:space="preserve">Tên không được bắt đầu hoặc kết thúc bằng dấu cách.</t>
  </si>
  <si>
    <t xml:space="preserve">Q7</t>
  </si>
  <si>
    <t xml:space="preserve">MSG-04</t>
  </si>
  <si>
    <t xml:space="preserve">Tên có ký tự bị cấm</t>
  </si>
  <si>
    <t xml:space="preserve">Tên tệp chứa các ký tự không được phép sử dụng.</t>
  </si>
  <si>
    <t xml:space="preserve">MSG-05</t>
  </si>
  <si>
    <t xml:space="preserve">Trùng tên, hệ thống đã tự thêm số</t>
  </si>
  <si>
    <t xml:space="preserve">Vì chúng có cùng tên, tôi đã tạo một thư mục mới có tên "[tên mới]" thay vì "[tên đã nhập]". Các mục trong Thùng rác cũng sẽ giữ nguyên tên của chúng. Để sử dụng tên gốc, vui lòng xóa hoàn toàn mục đó khỏi Thùng rác.</t>
  </si>
  <si>
    <t xml:space="preserve">Sau khi lưu</t>
  </si>
  <si>
    <t xml:space="preserve">Q4; ví dụ của Hanna: "Thư mục mới (2)" thay vì "Thư mục mới"</t>
  </si>
  <si>
    <t xml:space="preserve">MSG-06</t>
  </si>
  <si>
    <t xml:space="preserve">Tạo thành công</t>
  </si>
  <si>
    <t xml:space="preserve">Tôi đã tạo một thư mục.</t>
  </si>
  <si>
    <t xml:space="preserve">Q9</t>
  </si>
  <si>
    <t xml:space="preserve">Lưu bị lỗi</t>
  </si>
  <si>
    <t xml:space="preserve">Không thể tạo thư mục.</t>
  </si>
  <si>
    <t xml:space="preserve">Khi lưu</t>
  </si>
  <si>
    <t xml:space="preserve">Q12</t>
  </si>
  <si>
    <t xml:space="preserve">MSG-08</t>
  </si>
  <si>
    <t xml:space="preserve">*Do giới hạn đường dẫn tổng thể ở cấp độ này, số ký tự tối đa là 0. Vui lòng chọn cấp độ cao hơn hoặc rút ngắn tên thư mục cha.</t>
  </si>
  <si>
    <t xml:space="preserve">Ảnh 3; số 0 đổi theo số tối đa (C1)</t>
  </si>
  <si>
    <t xml:space="preserve">Quy tắc nghiệp vụ (BR)</t>
  </si>
  <si>
    <t xml:space="preserve">Cột Căn cứ ở sheet Case cha con trỏ tới các mã này. Q là câu hỏi đã trả lời, C là chi tiết thêm.</t>
  </si>
  <si>
    <t xml:space="preserve">Quy tắc</t>
  </si>
  <si>
    <t xml:space="preserve">BR-01</t>
  </si>
  <si>
    <t xml:space="preserve">Tên thư mục là bắt buộc</t>
  </si>
  <si>
    <t xml:space="preserve">Đã chốt; tên chỉ toàn dấu cách: C4</t>
  </si>
  <si>
    <t xml:space="preserve">Q3; mockup tr.7</t>
  </si>
  <si>
    <t xml:space="preserve">Tên không được bắt đầu hoặc kết thúc bằng dấu cách; hệ thống không tự cắt dấu cách mà báo lỗi</t>
  </si>
  <si>
    <t xml:space="preserve">Tên dài tối đa 255 ký tự. Full-width và Half-width đều tính 1; mỗi dấu tiếng Việt tính thêm 1 ("Tại sảo" là 9). Gõ hoặc dán quá thì tự cắt, không báo lỗi</t>
  </si>
  <si>
    <t xml:space="preserve">Đã chốt; emoji chưa rõ</t>
  </si>
  <si>
    <t xml:space="preserve">Chốt 02/10; Q2, Q8</t>
  </si>
  <si>
    <t xml:space="preserve">Tên không được chứa 8 ký tự \ / : * ? " &lt; &gt;</t>
  </si>
  <si>
    <t xml:space="preserve">Đã chốt; dấu gạch đứng, tên chỉ gồm dấu chấm: C5</t>
  </si>
  <si>
    <t xml:space="preserve">Tên được chứa ký tự Full-width và giữ nguyên như đã nhập</t>
  </si>
  <si>
    <t xml:space="preserve">Theo bộ TC</t>
  </si>
  <si>
    <t xml:space="preserve">TC_083</t>
  </si>
  <si>
    <t xml:space="preserve">Trùng tên với thư mục hoặc tệp trong cùng thư mục cha, kể cả mục đã xoá vào «Thùng rác» và tên chỉ khác chữ hoa/thường hoặc Full-width/Half-width, thì vẫn tạo; tên mới tự thêm " (1)", " (2)"… Muốn dùng lại tên gốc thì xoá vĩnh viễn mục đó khỏi «Thùng rác»</t>
  </si>
  <si>
    <t xml:space="preserve">TC_143; Q4, C2</t>
  </si>
  <si>
    <t xml:space="preserve">Thư mục lồng nhau tối đa 20 cấp. Thư mục ở gốc «Tài liệu dự án» là cấp 1, bên trong thêm được 19 cấp. «Thư mục công trình cũ» không tính là cấp, bên trong được đủ 20 cấp. Đang ở cấp 20 thì mở hộp thoại là thấy cảnh báo MSG-01, nút lưu bị tắt</t>
  </si>
  <si>
    <t xml:space="preserve">Chốt 02/10; Q1, C3, ảnh 1</t>
  </si>
  <si>
    <t xml:space="preserve">Tổng độ dài đường dẫn có giới hạn: số ký tự tối đa của tên mới giảm theo đường dẫn; hết chỗ thì tối đa là 0 và không lưu được</t>
  </si>
  <si>
    <t xml:space="preserve">Đã chốt; con số và cách tính: C1</t>
  </si>
  <si>
    <t xml:space="preserve">Q12, ảnh 3</t>
  </si>
  <si>
    <t xml:space="preserve">BR-09</t>
  </si>
  <si>
    <t xml:space="preserve">Thư mục mới thuộc phạm vi của nơi tạo, «Tài liệu dự án» hoặc «Thư mục công trình cũ»; về sau chỉ đổi tên, di chuyển trong phạm vi đó</t>
  </si>
  <si>
    <t xml:space="preserve">Chốt 02/10; Q5</t>
  </si>
  <si>
    <t xml:space="preserve">BR-10</t>
  </si>
  <si>
    <t xml:space="preserve">«Thư mục công trình cũ» là thư mục hệ thống: không xoá, đổi tên, di chuyển được, nhưng tạo được thư mục bên trong</t>
  </si>
  <si>
    <t xml:space="preserve">Mockup tr.1, tr.5; Q5</t>
  </si>
  <si>
    <t xml:space="preserve">Điểm còn mở hoặc đang theo mặc định</t>
  </si>
  <si>
    <t xml:space="preserve">Mỗi dòng ghi mặc định đang dùng và case bị ảnh hưởng. Trả lời khác thì sửa case tương ứng ở sheet Case cha con.</t>
  </si>
  <si>
    <t xml:space="preserve">#</t>
  </si>
  <si>
    <t xml:space="preserve">Mã</t>
  </si>
  <si>
    <t xml:space="preserve">Điểm cần xác nhận</t>
  </si>
  <si>
    <t xml:space="preserve">Đang dùng</t>
  </si>
  <si>
    <t xml:space="preserve">Case liên quan</t>
  </si>
  <si>
    <t xml:space="preserve">Giới hạn tổng độ dài đường dẫn là bao nhiêu ký tự, tính những phần nào? Cảnh báo vàng chỉ hiện khi còn 0, hay cả khi còn ít hơn 255?</t>
  </si>
  <si>
    <t xml:space="preserve">Dùng số tối đa hộp thoại đang hiện; cảnh báo hiện mỗi khi tối đa nhỏ hơn 255</t>
  </si>
  <si>
    <t xml:space="preserve">7.2, 7.6</t>
  </si>
  <si>
    <t xml:space="preserve">C4</t>
  </si>
  <si>
    <t xml:space="preserve">Tên chỉ toàn dấu cách báo câu nào?</t>
  </si>
  <si>
    <t xml:space="preserve">"Tên không được bắt đầu hoặc kết thúc bằng dấu cách."</t>
  </si>
  <si>
    <t xml:space="preserve">Dấu gạch đứng và tên chỉ gồm dấu chấm ("." hoặc "..") có bị cấm không?</t>
  </si>
  <si>
    <t xml:space="preserve">Không cấm</t>
  </si>
  <si>
    <t xml:space="preserve">3.7, 3.8</t>
  </si>
  <si>
    <t xml:space="preserve">Thêm</t>
  </si>
  <si>
    <t xml:space="preserve">Ở cấp 20, ô nhập còn gõ được không (ảnh 3 thì không)?</t>
  </si>
  <si>
    <t xml:space="preserve">Chưa rõ</t>
  </si>
  <si>
    <t xml:space="preserve">6.2, 6.4</t>
  </si>
  <si>
    <t xml:space="preserve">Dấu cách ở đầu: Hanna nói cấm dấu cách cuối, câu báo nói cả đầu và cuối</t>
  </si>
  <si>
    <t xml:space="preserve">Cấm cả đầu và cuối</t>
  </si>
  <si>
    <t xml:space="preserve">Lỗi dấu cách, ký tự cấm hiện lúc gõ hay lúc bấm «Lưu»?</t>
  </si>
  <si>
    <t xml:space="preserve">Lúc bấm «Lưu»</t>
  </si>
  <si>
    <t xml:space="preserve">3.3, 3.4, 3.6</t>
  </si>
  <si>
    <t xml:space="preserve">Bấm vào một thư mục trên dòng vị trí thì sao: đóng hộp thoại, chuyển tới thư mục đó?</t>
  </si>
  <si>
    <t xml:space="preserve">Sau khi lưu: định dạng ngày giờ, vị trí dòng mới, có ở lại thư mục đang đứng không?</t>
  </si>
  <si>
    <t xml:space="preserve">DD/MM/YYYY HH:mm theo mockup; theo cách sắp xếp đang chọn; ở lại</t>
  </si>
  <si>
    <t xml:space="preserve">9.2, 9.3, 9.4</t>
  </si>
  <si>
    <t xml:space="preserve">Bấm ra ngoài có đóng hộp thoại không; mở lại thì ô có rỗng không?</t>
  </si>
  <si>
    <t xml:space="preserve">Không đóng; ô rỗng</t>
  </si>
  <si>
    <t xml:space="preserve">8.4, 8.5</t>
  </si>
  <si>
    <t xml:space="preserve">Bấm «Lưu» hai lần liền; thư mục cha bị xoá khi đang mở hộp thoại</t>
  </si>
  <si>
    <t xml:space="preserve">Chỉ tạo 1 thư mục; báo "Không thể tạo thư mục."</t>
  </si>
  <si>
    <t xml:space="preserve">10.2, 10.3</t>
  </si>
  <si>
    <t xml:space="preserve">Khi trùng tên, MSG-05 có hiện thay cho "Tôi đã tạo một thư mục." không?</t>
  </si>
  <si>
    <t xml:space="preserve">Có, chỉ hiện MSG-05</t>
  </si>
  <si>
    <r>
      <rPr>
        <sz val="10"/>
        <rFont val="Arial"/>
        <family val="0"/>
        <charset val="1"/>
      </rPr>
      <t xml:space="preserve">"Tại sảo" = 9 cho thấy hệ thống đếm theo dạng tách dấu. Cần thử "Việt", "đ", "</t>
    </r>
    <r>
      <rPr>
        <sz val="10"/>
        <rFont val="Noto Sans CJK SC"/>
        <family val="2"/>
      </rPr>
      <t xml:space="preserve">デ</t>
    </r>
    <r>
      <rPr>
        <sz val="10"/>
        <rFont val="Arial"/>
        <family val="0"/>
        <charset val="1"/>
      </rPr>
      <t xml:space="preserve">" và chữ có dấu ở ký tự thứ 255</t>
    </r>
  </si>
  <si>
    <r>
      <rPr>
        <sz val="10"/>
        <rFont val="Arial"/>
        <family val="0"/>
        <charset val="1"/>
      </rPr>
      <t xml:space="preserve">"Việt" = 6, "đ" = 1, "</t>
    </r>
    <r>
      <rPr>
        <sz val="10"/>
        <rFont val="Noto Sans CJK SC"/>
        <family val="2"/>
      </rPr>
      <t xml:space="preserve">デ</t>
    </r>
    <r>
      <rPr>
        <sz val="10"/>
        <rFont val="Arial"/>
        <family val="0"/>
        <charset val="1"/>
      </rPr>
      <t xml:space="preserve">" = 2</t>
    </r>
  </si>
  <si>
    <t xml:space="preserve">2.5, 2.6, 2.7, 2.11</t>
  </si>
  <si>
    <t xml:space="preserve">Emoji tính mấy ký tự?</t>
  </si>
  <si>
    <t xml:space="preserve">Ảnh 2, 3 ghi nhãn khác mockup ("Tạo một thư mục", "Nhập tên tệp", "Hủy bỏ", "giữ"). Dùng nhãn nào?</t>
  </si>
  <si>
    <t xml:space="preserve">Theo mockup</t>
  </si>
  <si>
    <t xml:space="preserve">Ngoài phạm vi: đổi tên trùng (TC_144 báo lỗi); 20 cấp khi «Tải thư mục lên»; cách chặn di chuyển khác phạm vi</t>
  </si>
  <si>
    <t xml:space="preserve">Hỏi khi làm phần đó</t>
  </si>
  <si>
    <t xml:space="preserve">11.3, 11.4, 11.5</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</si>
</sst>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9"/>
      <color rgb="FF595959"/>
      <name val="Arial"/>
      <family val="0"/>
      <charset val="1"/>
    </font>
    <font>
      <b val="true"/>
      <sz val="10"/>
      <name val="Arial"/>
      <family val="0"/>
      <charset val="1"/>
    </font>
    <font>
      <b val="true"/>
      <sz val="10"/>
      <color rgb="FFFFFFFF"/>
      <name val="Arial"/>
      <family val="0"/>
      <charset val="1"/>
    </font>
    <font>
      <sz val="10"/>
      <name val="Arial"/>
      <family val="0"/>
      <charset val="1"/>
    </font>
    <font>
      <i val="true"/>
      <sz val="9"/>
      <color rgb="FF595959"/>
      <name val="Arial"/>
      <family val="0"/>
      <charset val="1"/>
    </font>
    <font>
      <sz val="10"/>
      <name val="Noto Sans CJK SC"/>
      <family val="2"/>
    </font>
  </fonts>
  <fills count="8">
    <fill>
      <patternFill patternType="none"/>
    </fill>
    <fill>
      <patternFill patternType="gray125"/>
    </fill>
    <fill>
      <patternFill patternType="solid">
        <fgColor rgb="FFE2EFDA"/>
        <bgColor rgb="FFDDEBF7"/>
      </patternFill>
    </fill>
    <fill>
      <patternFill patternType="solid">
        <fgColor rgb="FFFFF2CC"/>
        <bgColor rgb="FFE2EFDA"/>
      </patternFill>
    </fill>
    <fill>
      <patternFill patternType="solid">
        <fgColor rgb="FFDDEBF7"/>
        <bgColor rgb="FFD9E1F2"/>
      </patternFill>
    </fill>
    <fill>
      <patternFill patternType="solid">
        <fgColor rgb="FFF8D7DA"/>
        <bgColor rgb="FFD9E1F2"/>
      </patternFill>
    </fill>
    <fill>
      <patternFill patternType="solid">
        <fgColor rgb="FF2F5496"/>
        <bgColor rgb="FF595959"/>
      </patternFill>
    </fill>
    <fill>
      <patternFill patternType="solid">
        <fgColor rgb="FFD9E1F2"/>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medium">
        <color rgb="FF7F7F7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6" fillId="7" borderId="2"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2" xfId="0" applyFont="true" applyBorder="true" applyAlignment="true" applyProtection="false">
      <alignment horizontal="center"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center"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2F5496"/>
          <bgColor rgb="FF000000"/>
        </patternFill>
      </fill>
    </dxf>
    <dxf>
      <fill>
        <patternFill patternType="solid">
          <bgColor rgb="FF000000"/>
        </patternFill>
      </fill>
    </dxf>
    <dxf>
      <fill>
        <patternFill patternType="solid">
          <fgColor rgb="FFFFFFFF"/>
          <bgColor rgb="FF000000"/>
        </patternFill>
      </fill>
    </dxf>
    <dxf>
      <fill>
        <patternFill patternType="solid">
          <fgColor rgb="FFD9E1F2"/>
          <bgColor rgb="FF000000"/>
        </patternFill>
      </fill>
    </dxf>
    <dxf>
      <fill>
        <patternFill patternType="solid">
          <fgColor rgb="FF000000"/>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8D7DA"/>
          <bgColor rgb="FF000000"/>
        </patternFill>
      </fill>
    </dxf>
    <dxf>
      <fill>
        <patternFill patternType="solid">
          <fgColor rgb="FFFFF2CC"/>
          <bgColor rgb="FF000000"/>
        </patternFill>
      </fill>
    </dxf>
    <dxf>
      <fill>
        <patternFill>
          <bgColor rgb="FFE2EFDA"/>
        </patternFill>
      </fill>
    </dxf>
    <dxf>
      <fill>
        <patternFill>
          <bgColor rgb="FFFFF2CC"/>
        </patternFill>
      </fill>
    </dxf>
    <dxf>
      <fill>
        <patternFill>
          <bgColor rgb="FFDDEBF7"/>
        </patternFill>
      </fill>
    </dxf>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7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26"/>
    <col collapsed="false" customWidth="true" hidden="false" outlineLevel="0" max="4" min="4" style="0" width="32"/>
    <col collapsed="false" customWidth="true" hidden="false" outlineLevel="0" max="5" min="5" style="0" width="28"/>
    <col collapsed="false" customWidth="true" hidden="false" outlineLevel="0" max="6" min="6" style="0" width="50"/>
    <col collapsed="false" customWidth="true" hidden="false" outlineLevel="0" max="7" min="7" style="0" width="15"/>
    <col collapsed="false" customWidth="true" hidden="false" outlineLevel="0" max="8" min="8" style="0" width="14"/>
    <col collapsed="false" customWidth="true" hidden="false" outlineLevel="0" max="9" min="9" style="0" width="30"/>
  </cols>
  <sheetData>
    <row r="1" customFormat="false" ht="25.5" hidden="false" customHeight="true" outlineLevel="0" collapsed="false">
      <c r="A1" s="1" t="s">
        <v>0</v>
      </c>
      <c r="B1" s="1"/>
      <c r="C1" s="1"/>
      <c r="D1" s="1"/>
      <c r="E1" s="1"/>
      <c r="F1" s="1"/>
      <c r="G1" s="1"/>
      <c r="H1" s="1"/>
      <c r="I1" s="1"/>
    </row>
    <row r="2" customFormat="false" ht="39.75" hidden="false" customHeight="true" outlineLevel="0" collapsed="false">
      <c r="A2" s="2" t="s">
        <v>1</v>
      </c>
      <c r="B2" s="2"/>
      <c r="C2" s="2"/>
      <c r="D2" s="2"/>
      <c r="E2" s="2"/>
      <c r="F2" s="2"/>
      <c r="G2" s="2"/>
      <c r="H2" s="2"/>
      <c r="I2" s="2"/>
    </row>
    <row r="3" customFormat="false" ht="19.5" hidden="false" customHeight="true" outlineLevel="0" collapsed="false">
      <c r="A3" s="3" t="s">
        <v>2</v>
      </c>
      <c r="B3" s="3"/>
      <c r="C3" s="4" t="str">
        <f aca="false">"Tổng: "&amp;COUNTA($C$5:$C$78)&amp;" case con"</f>
        <v>Tổng: 74 case con</v>
      </c>
      <c r="D3" s="5" t="str">
        <f aca="false">"Đã chốt: "&amp;COUNTIF($H$5:$H$78,"Đã chốt")</f>
        <v>Đã chốt: 47</v>
      </c>
      <c r="E3" s="6" t="str">
        <f aca="false">"Theo mặc định: "&amp;COUNTIF($H$5:$H$78,"Theo mặc định")</f>
        <v>Theo mặc định: 13</v>
      </c>
      <c r="F3" s="7" t="str">
        <f aca="false">"Suy ra: "&amp;COUNTIF($H$5:$H$78,"Suy ra")</f>
        <v>Suy ra: 8</v>
      </c>
      <c r="G3" s="8" t="str">
        <f aca="false">"Còn mở: "&amp;COUNTIF($H$5:$H$78,"Còn mở")</f>
        <v>Còn mở: 6</v>
      </c>
    </row>
    <row r="4" customFormat="false" ht="30" hidden="false" customHeight="true" outlineLevel="0" collapsed="false">
      <c r="A4" s="9" t="s">
        <v>3</v>
      </c>
      <c r="B4" s="9" t="s">
        <v>4</v>
      </c>
      <c r="C4" s="9" t="s">
        <v>5</v>
      </c>
      <c r="D4" s="9" t="s">
        <v>6</v>
      </c>
      <c r="E4" s="9" t="s">
        <v>7</v>
      </c>
      <c r="F4" s="9" t="s">
        <v>8</v>
      </c>
      <c r="G4" s="9" t="s">
        <v>9</v>
      </c>
      <c r="H4" s="9" t="s">
        <v>10</v>
      </c>
      <c r="I4" s="9" t="s">
        <v>11</v>
      </c>
    </row>
    <row r="5" customFormat="false" ht="30.75" hidden="false" customHeight="true" outlineLevel="0" collapsed="false">
      <c r="A5" s="10" t="s">
        <v>12</v>
      </c>
      <c r="B5" s="11" t="s">
        <v>13</v>
      </c>
      <c r="C5" s="12" t="s">
        <v>14</v>
      </c>
      <c r="D5" s="12" t="s">
        <v>15</v>
      </c>
      <c r="E5" s="12" t="s">
        <v>16</v>
      </c>
      <c r="F5" s="12" t="s">
        <v>17</v>
      </c>
      <c r="G5" s="12" t="s">
        <v>18</v>
      </c>
      <c r="H5" s="13" t="s">
        <v>19</v>
      </c>
      <c r="I5" s="12" t="s">
        <v>20</v>
      </c>
    </row>
    <row r="6" customFormat="false" ht="69.75" hidden="false" customHeight="true" outlineLevel="0" collapsed="false">
      <c r="A6" s="10" t="s">
        <v>21</v>
      </c>
      <c r="B6" s="11"/>
      <c r="C6" s="12" t="s">
        <v>22</v>
      </c>
      <c r="D6" s="12" t="s">
        <v>23</v>
      </c>
      <c r="E6" s="12" t="s">
        <v>24</v>
      </c>
      <c r="F6" s="12" t="s">
        <v>25</v>
      </c>
      <c r="G6" s="12" t="s">
        <v>26</v>
      </c>
      <c r="H6" s="13" t="s">
        <v>19</v>
      </c>
      <c r="I6" s="12" t="s">
        <v>27</v>
      </c>
    </row>
    <row r="7" customFormat="false" ht="30.75" hidden="false" customHeight="true" outlineLevel="0" collapsed="false">
      <c r="A7" s="10" t="s">
        <v>28</v>
      </c>
      <c r="B7" s="11"/>
      <c r="C7" s="12" t="s">
        <v>29</v>
      </c>
      <c r="D7" s="12" t="s">
        <v>30</v>
      </c>
      <c r="E7" s="12" t="s">
        <v>31</v>
      </c>
      <c r="F7" s="12" t="s">
        <v>32</v>
      </c>
      <c r="G7" s="12" t="s">
        <v>33</v>
      </c>
      <c r="H7" s="13" t="s">
        <v>19</v>
      </c>
      <c r="I7" s="12"/>
    </row>
    <row r="8" customFormat="false" ht="30.75" hidden="false" customHeight="true" outlineLevel="0" collapsed="false">
      <c r="A8" s="10" t="s">
        <v>34</v>
      </c>
      <c r="B8" s="11"/>
      <c r="C8" s="12" t="s">
        <v>35</v>
      </c>
      <c r="D8" s="12" t="s">
        <v>36</v>
      </c>
      <c r="E8" s="12" t="s">
        <v>31</v>
      </c>
      <c r="F8" s="12" t="s">
        <v>37</v>
      </c>
      <c r="G8" s="12" t="s">
        <v>38</v>
      </c>
      <c r="H8" s="13" t="s">
        <v>19</v>
      </c>
      <c r="I8" s="12"/>
    </row>
    <row r="9" customFormat="false" ht="30.75" hidden="false" customHeight="true" outlineLevel="0" collapsed="false">
      <c r="A9" s="10" t="s">
        <v>39</v>
      </c>
      <c r="B9" s="11"/>
      <c r="C9" s="12" t="s">
        <v>40</v>
      </c>
      <c r="D9" s="12" t="s">
        <v>41</v>
      </c>
      <c r="E9" s="12" t="s">
        <v>31</v>
      </c>
      <c r="F9" s="12" t="s">
        <v>42</v>
      </c>
      <c r="G9" s="12" t="s">
        <v>43</v>
      </c>
      <c r="H9" s="13" t="s">
        <v>19</v>
      </c>
      <c r="I9" s="12"/>
    </row>
    <row r="10" customFormat="false" ht="43.5" hidden="false" customHeight="true" outlineLevel="0" collapsed="false">
      <c r="A10" s="14" t="s">
        <v>44</v>
      </c>
      <c r="B10" s="11"/>
      <c r="C10" s="15" t="s">
        <v>45</v>
      </c>
      <c r="D10" s="15" t="s">
        <v>46</v>
      </c>
      <c r="E10" s="15" t="s">
        <v>47</v>
      </c>
      <c r="F10" s="15" t="s">
        <v>48</v>
      </c>
      <c r="G10" s="15" t="s">
        <v>49</v>
      </c>
      <c r="H10" s="16" t="s">
        <v>19</v>
      </c>
      <c r="I10" s="15" t="s">
        <v>50</v>
      </c>
    </row>
    <row r="11" customFormat="false" ht="30.75" hidden="false" customHeight="true" outlineLevel="0" collapsed="false">
      <c r="A11" s="10" t="s">
        <v>51</v>
      </c>
      <c r="B11" s="11" t="s">
        <v>52</v>
      </c>
      <c r="C11" s="12" t="s">
        <v>53</v>
      </c>
      <c r="D11" s="12" t="s">
        <v>54</v>
      </c>
      <c r="E11" s="12"/>
      <c r="F11" s="12" t="s">
        <v>55</v>
      </c>
      <c r="G11" s="12" t="s">
        <v>56</v>
      </c>
      <c r="H11" s="13" t="s">
        <v>19</v>
      </c>
      <c r="I11" s="12"/>
    </row>
    <row r="12" customFormat="false" ht="18" hidden="false" customHeight="true" outlineLevel="0" collapsed="false">
      <c r="A12" s="10" t="s">
        <v>57</v>
      </c>
      <c r="B12" s="11"/>
      <c r="C12" s="12" t="s">
        <v>58</v>
      </c>
      <c r="D12" s="12" t="s">
        <v>59</v>
      </c>
      <c r="E12" s="12" t="s">
        <v>60</v>
      </c>
      <c r="F12" s="12" t="s">
        <v>61</v>
      </c>
      <c r="G12" s="12" t="s">
        <v>62</v>
      </c>
      <c r="H12" s="13" t="s">
        <v>19</v>
      </c>
      <c r="I12" s="12"/>
    </row>
    <row r="13" customFormat="false" ht="18" hidden="false" customHeight="true" outlineLevel="0" collapsed="false">
      <c r="A13" s="10" t="s">
        <v>63</v>
      </c>
      <c r="B13" s="11"/>
      <c r="C13" s="12" t="s">
        <v>64</v>
      </c>
      <c r="D13" s="12" t="s">
        <v>59</v>
      </c>
      <c r="E13" s="12" t="s">
        <v>65</v>
      </c>
      <c r="F13" s="12" t="s">
        <v>66</v>
      </c>
      <c r="G13" s="12" t="s">
        <v>67</v>
      </c>
      <c r="H13" s="13" t="s">
        <v>19</v>
      </c>
      <c r="I13" s="12"/>
    </row>
    <row r="14" customFormat="false" ht="30.75" hidden="false" customHeight="true" outlineLevel="0" collapsed="false">
      <c r="A14" s="10" t="s">
        <v>68</v>
      </c>
      <c r="B14" s="11"/>
      <c r="C14" s="12" t="s">
        <v>69</v>
      </c>
      <c r="D14" s="12" t="s">
        <v>59</v>
      </c>
      <c r="E14" s="12" t="s">
        <v>70</v>
      </c>
      <c r="F14" s="12" t="s">
        <v>71</v>
      </c>
      <c r="G14" s="12" t="s">
        <v>72</v>
      </c>
      <c r="H14" s="13" t="s">
        <v>19</v>
      </c>
      <c r="I14" s="12" t="s">
        <v>73</v>
      </c>
    </row>
    <row r="15" customFormat="false" ht="30.75" hidden="false" customHeight="true" outlineLevel="0" collapsed="false">
      <c r="A15" s="10" t="s">
        <v>74</v>
      </c>
      <c r="B15" s="11"/>
      <c r="C15" s="12" t="s">
        <v>75</v>
      </c>
      <c r="D15" s="12" t="s">
        <v>59</v>
      </c>
      <c r="E15" s="12" t="s">
        <v>76</v>
      </c>
      <c r="F15" s="12" t="s">
        <v>66</v>
      </c>
      <c r="G15" s="12" t="s">
        <v>77</v>
      </c>
      <c r="H15" s="13" t="s">
        <v>78</v>
      </c>
      <c r="I15" s="12" t="s">
        <v>79</v>
      </c>
    </row>
    <row r="16" customFormat="false" ht="18" hidden="false" customHeight="true" outlineLevel="0" collapsed="false">
      <c r="A16" s="10" t="s">
        <v>80</v>
      </c>
      <c r="B16" s="11"/>
      <c r="C16" s="12" t="s">
        <v>81</v>
      </c>
      <c r="D16" s="12" t="s">
        <v>59</v>
      </c>
      <c r="E16" s="12" t="s">
        <v>82</v>
      </c>
      <c r="F16" s="12" t="s">
        <v>83</v>
      </c>
      <c r="G16" s="12" t="s">
        <v>77</v>
      </c>
      <c r="H16" s="13" t="s">
        <v>78</v>
      </c>
      <c r="I16" s="12" t="s">
        <v>84</v>
      </c>
    </row>
    <row r="17" customFormat="false" ht="43.5" hidden="false" customHeight="true" outlineLevel="0" collapsed="false">
      <c r="A17" s="10" t="s">
        <v>85</v>
      </c>
      <c r="B17" s="11"/>
      <c r="C17" s="12" t="s">
        <v>86</v>
      </c>
      <c r="D17" s="12" t="s">
        <v>59</v>
      </c>
      <c r="E17" s="12" t="s">
        <v>87</v>
      </c>
      <c r="F17" s="12" t="s">
        <v>88</v>
      </c>
      <c r="G17" s="12" t="s">
        <v>89</v>
      </c>
      <c r="H17" s="13" t="s">
        <v>78</v>
      </c>
      <c r="I17" s="12" t="s">
        <v>90</v>
      </c>
    </row>
    <row r="18" customFormat="false" ht="18" hidden="false" customHeight="true" outlineLevel="0" collapsed="false">
      <c r="A18" s="10" t="s">
        <v>91</v>
      </c>
      <c r="B18" s="11"/>
      <c r="C18" s="12" t="s">
        <v>92</v>
      </c>
      <c r="D18" s="12" t="s">
        <v>93</v>
      </c>
      <c r="E18" s="12" t="s">
        <v>94</v>
      </c>
      <c r="F18" s="12" t="s">
        <v>95</v>
      </c>
      <c r="G18" s="12" t="s">
        <v>56</v>
      </c>
      <c r="H18" s="13" t="s">
        <v>19</v>
      </c>
      <c r="I18" s="12"/>
    </row>
    <row r="19" customFormat="false" ht="43.5" hidden="false" customHeight="true" outlineLevel="0" collapsed="false">
      <c r="A19" s="10" t="s">
        <v>96</v>
      </c>
      <c r="B19" s="11"/>
      <c r="C19" s="12" t="s">
        <v>97</v>
      </c>
      <c r="D19" s="12" t="s">
        <v>98</v>
      </c>
      <c r="E19" s="12" t="s">
        <v>99</v>
      </c>
      <c r="F19" s="12" t="s">
        <v>100</v>
      </c>
      <c r="G19" s="12" t="s">
        <v>101</v>
      </c>
      <c r="H19" s="13" t="s">
        <v>19</v>
      </c>
      <c r="I19" s="12"/>
    </row>
    <row r="20" customFormat="false" ht="18" hidden="false" customHeight="true" outlineLevel="0" collapsed="false">
      <c r="A20" s="10" t="s">
        <v>102</v>
      </c>
      <c r="B20" s="11"/>
      <c r="C20" s="12" t="s">
        <v>103</v>
      </c>
      <c r="D20" s="12" t="s">
        <v>59</v>
      </c>
      <c r="E20" s="12" t="s">
        <v>104</v>
      </c>
      <c r="F20" s="12" t="s">
        <v>105</v>
      </c>
      <c r="G20" s="12" t="s">
        <v>101</v>
      </c>
      <c r="H20" s="13" t="s">
        <v>19</v>
      </c>
      <c r="I20" s="12"/>
    </row>
    <row r="21" customFormat="false" ht="30.75" hidden="false" customHeight="true" outlineLevel="0" collapsed="false">
      <c r="A21" s="10" t="s">
        <v>106</v>
      </c>
      <c r="B21" s="11"/>
      <c r="C21" s="12" t="s">
        <v>107</v>
      </c>
      <c r="D21" s="12" t="s">
        <v>108</v>
      </c>
      <c r="E21" s="12" t="s">
        <v>109</v>
      </c>
      <c r="F21" s="12" t="s">
        <v>110</v>
      </c>
      <c r="G21" s="12" t="s">
        <v>77</v>
      </c>
      <c r="H21" s="13" t="s">
        <v>111</v>
      </c>
      <c r="I21" s="12" t="s">
        <v>112</v>
      </c>
    </row>
    <row r="22" customFormat="false" ht="18" hidden="false" customHeight="true" outlineLevel="0" collapsed="false">
      <c r="A22" s="14" t="s">
        <v>113</v>
      </c>
      <c r="B22" s="11"/>
      <c r="C22" s="15" t="s">
        <v>114</v>
      </c>
      <c r="D22" s="15" t="s">
        <v>59</v>
      </c>
      <c r="E22" s="15" t="s">
        <v>115</v>
      </c>
      <c r="F22" s="15" t="s">
        <v>116</v>
      </c>
      <c r="G22" s="15" t="s">
        <v>77</v>
      </c>
      <c r="H22" s="16" t="s">
        <v>111</v>
      </c>
      <c r="I22" s="15" t="s">
        <v>117</v>
      </c>
    </row>
    <row r="23" customFormat="false" ht="30.75" hidden="false" customHeight="true" outlineLevel="0" collapsed="false">
      <c r="A23" s="10" t="s">
        <v>118</v>
      </c>
      <c r="B23" s="11" t="s">
        <v>119</v>
      </c>
      <c r="C23" s="12" t="s">
        <v>120</v>
      </c>
      <c r="D23" s="12" t="s">
        <v>59</v>
      </c>
      <c r="E23" s="12" t="s">
        <v>121</v>
      </c>
      <c r="F23" s="12" t="s">
        <v>122</v>
      </c>
      <c r="G23" s="12" t="s">
        <v>123</v>
      </c>
      <c r="H23" s="13" t="s">
        <v>19</v>
      </c>
      <c r="I23" s="12"/>
    </row>
    <row r="24" customFormat="false" ht="30.75" hidden="false" customHeight="true" outlineLevel="0" collapsed="false">
      <c r="A24" s="10" t="s">
        <v>124</v>
      </c>
      <c r="B24" s="11"/>
      <c r="C24" s="12" t="s">
        <v>125</v>
      </c>
      <c r="D24" s="12" t="s">
        <v>126</v>
      </c>
      <c r="E24" s="12" t="s">
        <v>121</v>
      </c>
      <c r="F24" s="12" t="s">
        <v>127</v>
      </c>
      <c r="G24" s="12" t="s">
        <v>128</v>
      </c>
      <c r="H24" s="13" t="s">
        <v>129</v>
      </c>
      <c r="I24" s="12"/>
    </row>
    <row r="25" customFormat="false" ht="30.75" hidden="false" customHeight="true" outlineLevel="0" collapsed="false">
      <c r="A25" s="10" t="s">
        <v>130</v>
      </c>
      <c r="B25" s="11"/>
      <c r="C25" s="12" t="s">
        <v>131</v>
      </c>
      <c r="D25" s="12"/>
      <c r="E25" s="12" t="s">
        <v>132</v>
      </c>
      <c r="F25" s="12" t="s">
        <v>127</v>
      </c>
      <c r="G25" s="12" t="s">
        <v>133</v>
      </c>
      <c r="H25" s="13" t="s">
        <v>78</v>
      </c>
      <c r="I25" s="12" t="s">
        <v>134</v>
      </c>
    </row>
    <row r="26" customFormat="false" ht="30.75" hidden="false" customHeight="true" outlineLevel="0" collapsed="false">
      <c r="A26" s="10" t="s">
        <v>135</v>
      </c>
      <c r="B26" s="11"/>
      <c r="C26" s="12" t="s">
        <v>136</v>
      </c>
      <c r="D26" s="12"/>
      <c r="E26" s="12" t="s">
        <v>137</v>
      </c>
      <c r="F26" s="12" t="s">
        <v>127</v>
      </c>
      <c r="G26" s="12" t="s">
        <v>133</v>
      </c>
      <c r="H26" s="13" t="s">
        <v>19</v>
      </c>
      <c r="I26" s="12"/>
    </row>
    <row r="27" customFormat="false" ht="30.75" hidden="false" customHeight="true" outlineLevel="0" collapsed="false">
      <c r="A27" s="10" t="s">
        <v>138</v>
      </c>
      <c r="B27" s="11"/>
      <c r="C27" s="12" t="s">
        <v>139</v>
      </c>
      <c r="D27" s="12"/>
      <c r="E27" s="12" t="s">
        <v>140</v>
      </c>
      <c r="F27" s="12" t="s">
        <v>141</v>
      </c>
      <c r="G27" s="12" t="s">
        <v>142</v>
      </c>
      <c r="H27" s="13" t="s">
        <v>19</v>
      </c>
      <c r="I27" s="12"/>
    </row>
    <row r="28" customFormat="false" ht="57" hidden="false" customHeight="true" outlineLevel="0" collapsed="false">
      <c r="A28" s="10" t="s">
        <v>143</v>
      </c>
      <c r="B28" s="11"/>
      <c r="C28" s="12" t="s">
        <v>144</v>
      </c>
      <c r="D28" s="12"/>
      <c r="E28" s="12" t="s">
        <v>145</v>
      </c>
      <c r="F28" s="12" t="s">
        <v>146</v>
      </c>
      <c r="G28" s="12" t="s">
        <v>147</v>
      </c>
      <c r="H28" s="13" t="s">
        <v>19</v>
      </c>
      <c r="I28" s="12"/>
    </row>
    <row r="29" customFormat="false" ht="30.75" hidden="false" customHeight="true" outlineLevel="0" collapsed="false">
      <c r="A29" s="10" t="s">
        <v>148</v>
      </c>
      <c r="B29" s="11"/>
      <c r="C29" s="12" t="s">
        <v>149</v>
      </c>
      <c r="D29" s="12"/>
      <c r="E29" s="12" t="s">
        <v>150</v>
      </c>
      <c r="F29" s="12" t="s">
        <v>151</v>
      </c>
      <c r="G29" s="12" t="s">
        <v>152</v>
      </c>
      <c r="H29" s="13" t="s">
        <v>129</v>
      </c>
      <c r="I29" s="12" t="s">
        <v>153</v>
      </c>
    </row>
    <row r="30" customFormat="false" ht="30.75" hidden="false" customHeight="true" outlineLevel="0" collapsed="false">
      <c r="A30" s="10" t="s">
        <v>154</v>
      </c>
      <c r="B30" s="11"/>
      <c r="C30" s="12" t="s">
        <v>155</v>
      </c>
      <c r="D30" s="12"/>
      <c r="E30" s="12" t="s">
        <v>156</v>
      </c>
      <c r="F30" s="12" t="s">
        <v>151</v>
      </c>
      <c r="G30" s="12" t="s">
        <v>152</v>
      </c>
      <c r="H30" s="13" t="s">
        <v>129</v>
      </c>
      <c r="I30" s="12"/>
    </row>
    <row r="31" customFormat="false" ht="18" hidden="false" customHeight="true" outlineLevel="0" collapsed="false">
      <c r="A31" s="10" t="s">
        <v>157</v>
      </c>
      <c r="B31" s="11"/>
      <c r="C31" s="12" t="s">
        <v>158</v>
      </c>
      <c r="D31" s="12"/>
      <c r="E31" s="12" t="s">
        <v>159</v>
      </c>
      <c r="F31" s="12" t="s">
        <v>151</v>
      </c>
      <c r="G31" s="12" t="s">
        <v>160</v>
      </c>
      <c r="H31" s="13" t="s">
        <v>78</v>
      </c>
      <c r="I31" s="12" t="s">
        <v>161</v>
      </c>
    </row>
    <row r="32" customFormat="false" ht="30.75" hidden="false" customHeight="true" outlineLevel="0" collapsed="false">
      <c r="A32" s="14" t="s">
        <v>162</v>
      </c>
      <c r="B32" s="11"/>
      <c r="C32" s="15" t="s">
        <v>163</v>
      </c>
      <c r="D32" s="15" t="s">
        <v>164</v>
      </c>
      <c r="E32" s="15" t="s">
        <v>165</v>
      </c>
      <c r="F32" s="15" t="s">
        <v>166</v>
      </c>
      <c r="G32" s="15" t="s">
        <v>167</v>
      </c>
      <c r="H32" s="16" t="s">
        <v>129</v>
      </c>
      <c r="I32" s="15"/>
    </row>
    <row r="33" customFormat="false" ht="30.75" hidden="false" customHeight="true" outlineLevel="0" collapsed="false">
      <c r="A33" s="10" t="s">
        <v>168</v>
      </c>
      <c r="B33" s="11" t="s">
        <v>169</v>
      </c>
      <c r="C33" s="12" t="s">
        <v>170</v>
      </c>
      <c r="D33" s="12" t="s">
        <v>171</v>
      </c>
      <c r="E33" s="12" t="s">
        <v>172</v>
      </c>
      <c r="F33" s="12" t="s">
        <v>173</v>
      </c>
      <c r="G33" s="12" t="s">
        <v>174</v>
      </c>
      <c r="H33" s="13" t="s">
        <v>19</v>
      </c>
      <c r="I33" s="12"/>
    </row>
    <row r="34" customFormat="false" ht="18" hidden="false" customHeight="true" outlineLevel="0" collapsed="false">
      <c r="A34" s="10" t="s">
        <v>175</v>
      </c>
      <c r="B34" s="11"/>
      <c r="C34" s="12" t="s">
        <v>176</v>
      </c>
      <c r="D34" s="12"/>
      <c r="E34" s="12" t="s">
        <v>177</v>
      </c>
      <c r="F34" s="12" t="s">
        <v>178</v>
      </c>
      <c r="G34" s="12" t="s">
        <v>62</v>
      </c>
      <c r="H34" s="13" t="s">
        <v>19</v>
      </c>
      <c r="I34" s="12"/>
    </row>
    <row r="35" customFormat="false" ht="30.75" hidden="false" customHeight="true" outlineLevel="0" collapsed="false">
      <c r="A35" s="10" t="s">
        <v>179</v>
      </c>
      <c r="B35" s="11"/>
      <c r="C35" s="12" t="s">
        <v>180</v>
      </c>
      <c r="D35" s="12"/>
      <c r="E35" s="12" t="s">
        <v>181</v>
      </c>
      <c r="F35" s="12" t="s">
        <v>182</v>
      </c>
      <c r="G35" s="12" t="s">
        <v>183</v>
      </c>
      <c r="H35" s="13" t="s">
        <v>19</v>
      </c>
      <c r="I35" s="12"/>
    </row>
    <row r="36" customFormat="false" ht="30.75" hidden="false" customHeight="true" outlineLevel="0" collapsed="false">
      <c r="A36" s="10" t="s">
        <v>184</v>
      </c>
      <c r="B36" s="11"/>
      <c r="C36" s="12" t="s">
        <v>185</v>
      </c>
      <c r="D36" s="12"/>
      <c r="E36" s="12" t="s">
        <v>186</v>
      </c>
      <c r="F36" s="12" t="s">
        <v>187</v>
      </c>
      <c r="G36" s="12" t="s">
        <v>188</v>
      </c>
      <c r="H36" s="13" t="s">
        <v>19</v>
      </c>
      <c r="I36" s="12"/>
    </row>
    <row r="37" customFormat="false" ht="57" hidden="false" customHeight="true" outlineLevel="0" collapsed="false">
      <c r="A37" s="10" t="s">
        <v>189</v>
      </c>
      <c r="B37" s="11"/>
      <c r="C37" s="12" t="s">
        <v>190</v>
      </c>
      <c r="D37" s="12"/>
      <c r="E37" s="12" t="s">
        <v>191</v>
      </c>
      <c r="F37" s="12" t="s">
        <v>192</v>
      </c>
      <c r="G37" s="12" t="s">
        <v>183</v>
      </c>
      <c r="H37" s="13" t="s">
        <v>19</v>
      </c>
      <c r="I37" s="12"/>
    </row>
    <row r="38" customFormat="false" ht="18" hidden="false" customHeight="true" outlineLevel="0" collapsed="false">
      <c r="A38" s="10" t="s">
        <v>193</v>
      </c>
      <c r="B38" s="11"/>
      <c r="C38" s="12" t="s">
        <v>194</v>
      </c>
      <c r="D38" s="12"/>
      <c r="E38" s="12" t="s">
        <v>195</v>
      </c>
      <c r="F38" s="12" t="s">
        <v>196</v>
      </c>
      <c r="G38" s="12" t="s">
        <v>197</v>
      </c>
      <c r="H38" s="13" t="s">
        <v>19</v>
      </c>
      <c r="I38" s="12" t="s">
        <v>198</v>
      </c>
    </row>
    <row r="39" customFormat="false" ht="18" hidden="false" customHeight="true" outlineLevel="0" collapsed="false">
      <c r="A39" s="10" t="s">
        <v>199</v>
      </c>
      <c r="B39" s="11"/>
      <c r="C39" s="12" t="s">
        <v>200</v>
      </c>
      <c r="D39" s="12" t="s">
        <v>201</v>
      </c>
      <c r="E39" s="12" t="s">
        <v>202</v>
      </c>
      <c r="F39" s="12" t="s">
        <v>203</v>
      </c>
      <c r="G39" s="12" t="s">
        <v>204</v>
      </c>
      <c r="H39" s="13" t="s">
        <v>19</v>
      </c>
      <c r="I39" s="12"/>
    </row>
    <row r="40" customFormat="false" ht="30.75" hidden="false" customHeight="true" outlineLevel="0" collapsed="false">
      <c r="A40" s="14" t="s">
        <v>205</v>
      </c>
      <c r="B40" s="11"/>
      <c r="C40" s="15" t="s">
        <v>206</v>
      </c>
      <c r="D40" s="15" t="s">
        <v>207</v>
      </c>
      <c r="E40" s="15" t="s">
        <v>208</v>
      </c>
      <c r="F40" s="15" t="s">
        <v>209</v>
      </c>
      <c r="G40" s="15" t="s">
        <v>210</v>
      </c>
      <c r="H40" s="16" t="s">
        <v>19</v>
      </c>
      <c r="I40" s="15"/>
    </row>
    <row r="41" customFormat="false" ht="82.5" hidden="false" customHeight="true" outlineLevel="0" collapsed="false">
      <c r="A41" s="10" t="s">
        <v>211</v>
      </c>
      <c r="B41" s="11" t="s">
        <v>212</v>
      </c>
      <c r="C41" s="12" t="s">
        <v>213</v>
      </c>
      <c r="D41" s="12" t="s">
        <v>214</v>
      </c>
      <c r="E41" s="12" t="s">
        <v>215</v>
      </c>
      <c r="F41" s="12" t="s">
        <v>216</v>
      </c>
      <c r="G41" s="12" t="s">
        <v>217</v>
      </c>
      <c r="H41" s="13" t="s">
        <v>19</v>
      </c>
      <c r="I41" s="12"/>
    </row>
    <row r="42" customFormat="false" ht="30.75" hidden="false" customHeight="true" outlineLevel="0" collapsed="false">
      <c r="A42" s="10" t="s">
        <v>218</v>
      </c>
      <c r="B42" s="11"/>
      <c r="C42" s="12" t="s">
        <v>219</v>
      </c>
      <c r="D42" s="12" t="s">
        <v>220</v>
      </c>
      <c r="E42" s="12" t="s">
        <v>221</v>
      </c>
      <c r="F42" s="12" t="s">
        <v>222</v>
      </c>
      <c r="G42" s="12" t="s">
        <v>223</v>
      </c>
      <c r="H42" s="13" t="s">
        <v>19</v>
      </c>
      <c r="I42" s="12"/>
    </row>
    <row r="43" customFormat="false" ht="30.75" hidden="false" customHeight="true" outlineLevel="0" collapsed="false">
      <c r="A43" s="10" t="s">
        <v>224</v>
      </c>
      <c r="B43" s="11"/>
      <c r="C43" s="12" t="s">
        <v>225</v>
      </c>
      <c r="D43" s="12" t="s">
        <v>226</v>
      </c>
      <c r="E43" s="12" t="s">
        <v>215</v>
      </c>
      <c r="F43" s="12" t="s">
        <v>227</v>
      </c>
      <c r="G43" s="12" t="s">
        <v>228</v>
      </c>
      <c r="H43" s="13" t="s">
        <v>19</v>
      </c>
      <c r="I43" s="12"/>
    </row>
    <row r="44" customFormat="false" ht="30.75" hidden="false" customHeight="true" outlineLevel="0" collapsed="false">
      <c r="A44" s="10" t="s">
        <v>229</v>
      </c>
      <c r="B44" s="11"/>
      <c r="C44" s="12" t="s">
        <v>230</v>
      </c>
      <c r="D44" s="12" t="s">
        <v>231</v>
      </c>
      <c r="E44" s="12" t="s">
        <v>221</v>
      </c>
      <c r="F44" s="12" t="s">
        <v>227</v>
      </c>
      <c r="G44" s="12" t="s">
        <v>232</v>
      </c>
      <c r="H44" s="13" t="s">
        <v>19</v>
      </c>
      <c r="I44" s="12"/>
    </row>
    <row r="45" customFormat="false" ht="30.75" hidden="false" customHeight="true" outlineLevel="0" collapsed="false">
      <c r="A45" s="10" t="s">
        <v>233</v>
      </c>
      <c r="B45" s="11"/>
      <c r="C45" s="12" t="s">
        <v>234</v>
      </c>
      <c r="D45" s="12" t="s">
        <v>235</v>
      </c>
      <c r="E45" s="12" t="s">
        <v>221</v>
      </c>
      <c r="F45" s="12" t="s">
        <v>236</v>
      </c>
      <c r="G45" s="12" t="s">
        <v>232</v>
      </c>
      <c r="H45" s="13" t="s">
        <v>19</v>
      </c>
      <c r="I45" s="12"/>
    </row>
    <row r="46" customFormat="false" ht="18" hidden="false" customHeight="true" outlineLevel="0" collapsed="false">
      <c r="A46" s="10" t="s">
        <v>237</v>
      </c>
      <c r="B46" s="11"/>
      <c r="C46" s="12" t="s">
        <v>238</v>
      </c>
      <c r="D46" s="12" t="s">
        <v>239</v>
      </c>
      <c r="E46" s="12" t="s">
        <v>240</v>
      </c>
      <c r="F46" s="12" t="s">
        <v>241</v>
      </c>
      <c r="G46" s="12" t="s">
        <v>242</v>
      </c>
      <c r="H46" s="13" t="s">
        <v>19</v>
      </c>
      <c r="I46" s="12"/>
    </row>
    <row r="47" customFormat="false" ht="18" hidden="false" customHeight="true" outlineLevel="0" collapsed="false">
      <c r="A47" s="10" t="s">
        <v>243</v>
      </c>
      <c r="B47" s="11"/>
      <c r="C47" s="12" t="s">
        <v>244</v>
      </c>
      <c r="D47" s="12" t="s">
        <v>239</v>
      </c>
      <c r="E47" s="12" t="s">
        <v>245</v>
      </c>
      <c r="F47" s="12" t="s">
        <v>246</v>
      </c>
      <c r="G47" s="12" t="s">
        <v>242</v>
      </c>
      <c r="H47" s="13" t="s">
        <v>19</v>
      </c>
      <c r="I47" s="12"/>
    </row>
    <row r="48" customFormat="false" ht="30.75" hidden="false" customHeight="true" outlineLevel="0" collapsed="false">
      <c r="A48" s="10" t="s">
        <v>247</v>
      </c>
      <c r="B48" s="11"/>
      <c r="C48" s="12" t="s">
        <v>248</v>
      </c>
      <c r="D48" s="12" t="s">
        <v>249</v>
      </c>
      <c r="E48" s="12" t="s">
        <v>221</v>
      </c>
      <c r="F48" s="12" t="s">
        <v>250</v>
      </c>
      <c r="G48" s="12" t="s">
        <v>251</v>
      </c>
      <c r="H48" s="13" t="s">
        <v>19</v>
      </c>
      <c r="I48" s="12" t="s">
        <v>252</v>
      </c>
    </row>
    <row r="49" customFormat="false" ht="30.75" hidden="false" customHeight="true" outlineLevel="0" collapsed="false">
      <c r="A49" s="14" t="s">
        <v>253</v>
      </c>
      <c r="B49" s="11"/>
      <c r="C49" s="15" t="s">
        <v>254</v>
      </c>
      <c r="D49" s="15" t="s">
        <v>255</v>
      </c>
      <c r="E49" s="15"/>
      <c r="F49" s="15" t="s">
        <v>256</v>
      </c>
      <c r="G49" s="15" t="s">
        <v>257</v>
      </c>
      <c r="H49" s="16" t="s">
        <v>129</v>
      </c>
      <c r="I49" s="15"/>
    </row>
    <row r="50" customFormat="false" ht="30.75" hidden="false" customHeight="true" outlineLevel="0" collapsed="false">
      <c r="A50" s="10" t="s">
        <v>258</v>
      </c>
      <c r="B50" s="11" t="s">
        <v>259</v>
      </c>
      <c r="C50" s="12" t="s">
        <v>260</v>
      </c>
      <c r="D50" s="12" t="s">
        <v>261</v>
      </c>
      <c r="E50" s="12" t="s">
        <v>262</v>
      </c>
      <c r="F50" s="12" t="s">
        <v>263</v>
      </c>
      <c r="G50" s="12" t="s">
        <v>264</v>
      </c>
      <c r="H50" s="13" t="s">
        <v>19</v>
      </c>
      <c r="I50" s="12" t="s">
        <v>265</v>
      </c>
    </row>
    <row r="51" customFormat="false" ht="43.5" hidden="false" customHeight="true" outlineLevel="0" collapsed="false">
      <c r="A51" s="10" t="s">
        <v>266</v>
      </c>
      <c r="B51" s="11"/>
      <c r="C51" s="12" t="s">
        <v>267</v>
      </c>
      <c r="D51" s="12" t="s">
        <v>268</v>
      </c>
      <c r="E51" s="12" t="s">
        <v>269</v>
      </c>
      <c r="F51" s="12" t="s">
        <v>270</v>
      </c>
      <c r="G51" s="12" t="s">
        <v>271</v>
      </c>
      <c r="H51" s="13" t="s">
        <v>19</v>
      </c>
      <c r="I51" s="12" t="s">
        <v>272</v>
      </c>
    </row>
    <row r="52" customFormat="false" ht="30.75" hidden="false" customHeight="true" outlineLevel="0" collapsed="false">
      <c r="A52" s="10" t="s">
        <v>273</v>
      </c>
      <c r="B52" s="11"/>
      <c r="C52" s="12" t="s">
        <v>274</v>
      </c>
      <c r="D52" s="12" t="s">
        <v>275</v>
      </c>
      <c r="E52" s="12" t="s">
        <v>276</v>
      </c>
      <c r="F52" s="12" t="s">
        <v>277</v>
      </c>
      <c r="G52" s="12" t="s">
        <v>278</v>
      </c>
      <c r="H52" s="13" t="s">
        <v>19</v>
      </c>
      <c r="I52" s="12"/>
    </row>
    <row r="53" customFormat="false" ht="30.75" hidden="false" customHeight="true" outlineLevel="0" collapsed="false">
      <c r="A53" s="14" t="s">
        <v>279</v>
      </c>
      <c r="B53" s="11"/>
      <c r="C53" s="15" t="s">
        <v>280</v>
      </c>
      <c r="D53" s="15" t="s">
        <v>281</v>
      </c>
      <c r="E53" s="15" t="s">
        <v>269</v>
      </c>
      <c r="F53" s="15" t="s">
        <v>282</v>
      </c>
      <c r="G53" s="15" t="s">
        <v>283</v>
      </c>
      <c r="H53" s="16" t="s">
        <v>19</v>
      </c>
      <c r="I53" s="15"/>
    </row>
    <row r="54" customFormat="false" ht="18" hidden="false" customHeight="true" outlineLevel="0" collapsed="false">
      <c r="A54" s="10" t="s">
        <v>284</v>
      </c>
      <c r="B54" s="11" t="s">
        <v>285</v>
      </c>
      <c r="C54" s="12" t="s">
        <v>286</v>
      </c>
      <c r="D54" s="12" t="s">
        <v>287</v>
      </c>
      <c r="E54" s="12" t="s">
        <v>31</v>
      </c>
      <c r="F54" s="12" t="s">
        <v>288</v>
      </c>
      <c r="G54" s="12" t="s">
        <v>289</v>
      </c>
      <c r="H54" s="13" t="s">
        <v>19</v>
      </c>
      <c r="I54" s="12"/>
    </row>
    <row r="55" customFormat="false" ht="43.5" hidden="false" customHeight="true" outlineLevel="0" collapsed="false">
      <c r="A55" s="10" t="s">
        <v>290</v>
      </c>
      <c r="B55" s="11"/>
      <c r="C55" s="12" t="s">
        <v>291</v>
      </c>
      <c r="D55" s="12" t="s">
        <v>292</v>
      </c>
      <c r="E55" s="12" t="s">
        <v>293</v>
      </c>
      <c r="F55" s="12" t="s">
        <v>294</v>
      </c>
      <c r="G55" s="12" t="s">
        <v>295</v>
      </c>
      <c r="H55" s="13" t="s">
        <v>129</v>
      </c>
      <c r="I55" s="12"/>
    </row>
    <row r="56" customFormat="false" ht="69.75" hidden="false" customHeight="true" outlineLevel="0" collapsed="false">
      <c r="A56" s="10" t="s">
        <v>296</v>
      </c>
      <c r="B56" s="11"/>
      <c r="C56" s="12" t="s">
        <v>297</v>
      </c>
      <c r="D56" s="12" t="s">
        <v>298</v>
      </c>
      <c r="E56" s="12" t="s">
        <v>31</v>
      </c>
      <c r="F56" s="12" t="s">
        <v>299</v>
      </c>
      <c r="G56" s="12" t="s">
        <v>300</v>
      </c>
      <c r="H56" s="13" t="s">
        <v>19</v>
      </c>
      <c r="I56" s="12" t="s">
        <v>301</v>
      </c>
    </row>
    <row r="57" customFormat="false" ht="30.75" hidden="false" customHeight="true" outlineLevel="0" collapsed="false">
      <c r="A57" s="10" t="s">
        <v>302</v>
      </c>
      <c r="B57" s="11"/>
      <c r="C57" s="12" t="s">
        <v>303</v>
      </c>
      <c r="D57" s="12" t="s">
        <v>304</v>
      </c>
      <c r="E57" s="12" t="s">
        <v>31</v>
      </c>
      <c r="F57" s="12" t="s">
        <v>305</v>
      </c>
      <c r="G57" s="12" t="s">
        <v>289</v>
      </c>
      <c r="H57" s="13" t="s">
        <v>78</v>
      </c>
      <c r="I57" s="12" t="s">
        <v>306</v>
      </c>
    </row>
    <row r="58" customFormat="false" ht="30.75" hidden="false" customHeight="true" outlineLevel="0" collapsed="false">
      <c r="A58" s="10" t="s">
        <v>307</v>
      </c>
      <c r="B58" s="11"/>
      <c r="C58" s="12" t="s">
        <v>308</v>
      </c>
      <c r="D58" s="12" t="s">
        <v>309</v>
      </c>
      <c r="E58" s="12" t="s">
        <v>310</v>
      </c>
      <c r="F58" s="12" t="s">
        <v>311</v>
      </c>
      <c r="G58" s="12" t="s">
        <v>289</v>
      </c>
      <c r="H58" s="13" t="s">
        <v>78</v>
      </c>
      <c r="I58" s="12" t="s">
        <v>312</v>
      </c>
    </row>
    <row r="59" customFormat="false" ht="30.75" hidden="false" customHeight="true" outlineLevel="0" collapsed="false">
      <c r="A59" s="14" t="s">
        <v>313</v>
      </c>
      <c r="B59" s="11"/>
      <c r="C59" s="15" t="s">
        <v>314</v>
      </c>
      <c r="D59" s="15"/>
      <c r="E59" s="15"/>
      <c r="F59" s="15" t="s">
        <v>315</v>
      </c>
      <c r="G59" s="15" t="s">
        <v>316</v>
      </c>
      <c r="H59" s="16" t="s">
        <v>111</v>
      </c>
      <c r="I59" s="15"/>
    </row>
    <row r="60" customFormat="false" ht="30.75" hidden="false" customHeight="true" outlineLevel="0" collapsed="false">
      <c r="A60" s="10" t="s">
        <v>317</v>
      </c>
      <c r="B60" s="11" t="s">
        <v>318</v>
      </c>
      <c r="C60" s="12" t="s">
        <v>319</v>
      </c>
      <c r="D60" s="12" t="s">
        <v>320</v>
      </c>
      <c r="E60" s="12" t="s">
        <v>319</v>
      </c>
      <c r="F60" s="12" t="s">
        <v>321</v>
      </c>
      <c r="G60" s="12" t="s">
        <v>322</v>
      </c>
      <c r="H60" s="13" t="s">
        <v>19</v>
      </c>
      <c r="I60" s="12"/>
    </row>
    <row r="61" customFormat="false" ht="30.75" hidden="false" customHeight="true" outlineLevel="0" collapsed="false">
      <c r="A61" s="10" t="s">
        <v>323</v>
      </c>
      <c r="B61" s="11"/>
      <c r="C61" s="12" t="s">
        <v>324</v>
      </c>
      <c r="D61" s="12" t="s">
        <v>320</v>
      </c>
      <c r="E61" s="12" t="s">
        <v>324</v>
      </c>
      <c r="F61" s="12" t="s">
        <v>321</v>
      </c>
      <c r="G61" s="12" t="s">
        <v>325</v>
      </c>
      <c r="H61" s="13" t="s">
        <v>19</v>
      </c>
      <c r="I61" s="12"/>
    </row>
    <row r="62" customFormat="false" ht="30.75" hidden="false" customHeight="true" outlineLevel="0" collapsed="false">
      <c r="A62" s="10" t="s">
        <v>326</v>
      </c>
      <c r="B62" s="11"/>
      <c r="C62" s="12" t="s">
        <v>327</v>
      </c>
      <c r="D62" s="12" t="s">
        <v>320</v>
      </c>
      <c r="E62" s="12" t="s">
        <v>327</v>
      </c>
      <c r="F62" s="12" t="s">
        <v>321</v>
      </c>
      <c r="G62" s="12" t="s">
        <v>328</v>
      </c>
      <c r="H62" s="13" t="s">
        <v>19</v>
      </c>
      <c r="I62" s="12"/>
    </row>
    <row r="63" customFormat="false" ht="18" hidden="false" customHeight="true" outlineLevel="0" collapsed="false">
      <c r="A63" s="10" t="s">
        <v>329</v>
      </c>
      <c r="B63" s="11"/>
      <c r="C63" s="12" t="s">
        <v>330</v>
      </c>
      <c r="D63" s="12" t="s">
        <v>320</v>
      </c>
      <c r="E63" s="12" t="s">
        <v>331</v>
      </c>
      <c r="F63" s="12" t="s">
        <v>332</v>
      </c>
      <c r="G63" s="12" t="s">
        <v>333</v>
      </c>
      <c r="H63" s="13" t="s">
        <v>129</v>
      </c>
      <c r="I63" s="12"/>
    </row>
    <row r="64" customFormat="false" ht="18" hidden="false" customHeight="true" outlineLevel="0" collapsed="false">
      <c r="A64" s="10" t="s">
        <v>334</v>
      </c>
      <c r="B64" s="11"/>
      <c r="C64" s="12" t="s">
        <v>335</v>
      </c>
      <c r="D64" s="12" t="s">
        <v>336</v>
      </c>
      <c r="E64" s="12" t="s">
        <v>310</v>
      </c>
      <c r="F64" s="12" t="s">
        <v>337</v>
      </c>
      <c r="G64" s="12" t="s">
        <v>333</v>
      </c>
      <c r="H64" s="13" t="s">
        <v>129</v>
      </c>
      <c r="I64" s="12"/>
    </row>
    <row r="65" customFormat="false" ht="30.75" hidden="false" customHeight="true" outlineLevel="0" collapsed="false">
      <c r="A65" s="14" t="s">
        <v>338</v>
      </c>
      <c r="B65" s="11"/>
      <c r="C65" s="15" t="s">
        <v>339</v>
      </c>
      <c r="D65" s="15" t="s">
        <v>340</v>
      </c>
      <c r="E65" s="15" t="s">
        <v>341</v>
      </c>
      <c r="F65" s="15" t="s">
        <v>342</v>
      </c>
      <c r="G65" s="15" t="s">
        <v>343</v>
      </c>
      <c r="H65" s="16" t="s">
        <v>78</v>
      </c>
      <c r="I65" s="15"/>
    </row>
    <row r="66" customFormat="false" ht="43.5" hidden="false" customHeight="true" outlineLevel="0" collapsed="false">
      <c r="A66" s="10" t="s">
        <v>344</v>
      </c>
      <c r="B66" s="11" t="s">
        <v>345</v>
      </c>
      <c r="C66" s="12" t="s">
        <v>346</v>
      </c>
      <c r="D66" s="12" t="s">
        <v>347</v>
      </c>
      <c r="E66" s="12" t="s">
        <v>348</v>
      </c>
      <c r="F66" s="12" t="s">
        <v>349</v>
      </c>
      <c r="G66" s="12" t="s">
        <v>350</v>
      </c>
      <c r="H66" s="13" t="s">
        <v>19</v>
      </c>
      <c r="I66" s="12"/>
    </row>
    <row r="67" customFormat="false" ht="18" hidden="false" customHeight="true" outlineLevel="0" collapsed="false">
      <c r="A67" s="10" t="s">
        <v>351</v>
      </c>
      <c r="B67" s="11"/>
      <c r="C67" s="12" t="s">
        <v>352</v>
      </c>
      <c r="D67" s="12" t="s">
        <v>353</v>
      </c>
      <c r="E67" s="12" t="s">
        <v>354</v>
      </c>
      <c r="F67" s="12" t="s">
        <v>355</v>
      </c>
      <c r="G67" s="12" t="s">
        <v>356</v>
      </c>
      <c r="H67" s="13" t="s">
        <v>129</v>
      </c>
      <c r="I67" s="12" t="s">
        <v>357</v>
      </c>
    </row>
    <row r="68" customFormat="false" ht="18" hidden="false" customHeight="true" outlineLevel="0" collapsed="false">
      <c r="A68" s="10" t="s">
        <v>358</v>
      </c>
      <c r="B68" s="11"/>
      <c r="C68" s="12" t="s">
        <v>359</v>
      </c>
      <c r="D68" s="12" t="s">
        <v>353</v>
      </c>
      <c r="E68" s="12" t="s">
        <v>360</v>
      </c>
      <c r="F68" s="12" t="s">
        <v>361</v>
      </c>
      <c r="G68" s="12" t="s">
        <v>356</v>
      </c>
      <c r="H68" s="13" t="s">
        <v>129</v>
      </c>
      <c r="I68" s="12"/>
    </row>
    <row r="69" customFormat="false" ht="18" hidden="false" customHeight="true" outlineLevel="0" collapsed="false">
      <c r="A69" s="10" t="s">
        <v>362</v>
      </c>
      <c r="B69" s="11"/>
      <c r="C69" s="12" t="s">
        <v>363</v>
      </c>
      <c r="D69" s="12" t="s">
        <v>353</v>
      </c>
      <c r="E69" s="12"/>
      <c r="F69" s="12" t="s">
        <v>364</v>
      </c>
      <c r="G69" s="12" t="s">
        <v>356</v>
      </c>
      <c r="H69" s="13" t="s">
        <v>129</v>
      </c>
      <c r="I69" s="12"/>
    </row>
    <row r="70" customFormat="false" ht="30.75" hidden="false" customHeight="true" outlineLevel="0" collapsed="false">
      <c r="A70" s="14" t="s">
        <v>365</v>
      </c>
      <c r="B70" s="11"/>
      <c r="C70" s="15" t="s">
        <v>366</v>
      </c>
      <c r="D70" s="15" t="s">
        <v>353</v>
      </c>
      <c r="E70" s="15" t="s">
        <v>367</v>
      </c>
      <c r="F70" s="15" t="s">
        <v>368</v>
      </c>
      <c r="G70" s="15" t="s">
        <v>369</v>
      </c>
      <c r="H70" s="16" t="s">
        <v>19</v>
      </c>
      <c r="I70" s="15"/>
    </row>
    <row r="71" customFormat="false" ht="30.75" hidden="false" customHeight="true" outlineLevel="0" collapsed="false">
      <c r="A71" s="10" t="s">
        <v>370</v>
      </c>
      <c r="B71" s="11" t="s">
        <v>371</v>
      </c>
      <c r="C71" s="12" t="s">
        <v>372</v>
      </c>
      <c r="D71" s="12" t="s">
        <v>373</v>
      </c>
      <c r="E71" s="12" t="s">
        <v>121</v>
      </c>
      <c r="F71" s="12" t="s">
        <v>374</v>
      </c>
      <c r="G71" s="12" t="s">
        <v>375</v>
      </c>
      <c r="H71" s="13" t="s">
        <v>19</v>
      </c>
      <c r="I71" s="12" t="s">
        <v>376</v>
      </c>
    </row>
    <row r="72" customFormat="false" ht="18" hidden="false" customHeight="true" outlineLevel="0" collapsed="false">
      <c r="A72" s="10" t="s">
        <v>377</v>
      </c>
      <c r="B72" s="11"/>
      <c r="C72" s="12" t="s">
        <v>378</v>
      </c>
      <c r="D72" s="12" t="s">
        <v>379</v>
      </c>
      <c r="E72" s="12" t="s">
        <v>380</v>
      </c>
      <c r="F72" s="12" t="s">
        <v>381</v>
      </c>
      <c r="G72" s="12" t="s">
        <v>382</v>
      </c>
      <c r="H72" s="13" t="s">
        <v>129</v>
      </c>
      <c r="I72" s="12"/>
    </row>
    <row r="73" customFormat="false" ht="30.75" hidden="false" customHeight="true" outlineLevel="0" collapsed="false">
      <c r="A73" s="14" t="s">
        <v>383</v>
      </c>
      <c r="B73" s="11"/>
      <c r="C73" s="15" t="s">
        <v>384</v>
      </c>
      <c r="D73" s="15" t="s">
        <v>385</v>
      </c>
      <c r="E73" s="15" t="s">
        <v>121</v>
      </c>
      <c r="F73" s="15" t="s">
        <v>374</v>
      </c>
      <c r="G73" s="15" t="s">
        <v>386</v>
      </c>
      <c r="H73" s="16" t="s">
        <v>129</v>
      </c>
      <c r="I73" s="15"/>
    </row>
    <row r="74" customFormat="false" ht="30.75" hidden="false" customHeight="true" outlineLevel="0" collapsed="false">
      <c r="A74" s="10" t="s">
        <v>387</v>
      </c>
      <c r="B74" s="11" t="s">
        <v>388</v>
      </c>
      <c r="C74" s="12" t="s">
        <v>389</v>
      </c>
      <c r="D74" s="12"/>
      <c r="E74" s="12"/>
      <c r="F74" s="12" t="s">
        <v>390</v>
      </c>
      <c r="G74" s="12" t="s">
        <v>391</v>
      </c>
      <c r="H74" s="13" t="s">
        <v>19</v>
      </c>
      <c r="I74" s="12"/>
    </row>
    <row r="75" customFormat="false" ht="30.75" hidden="false" customHeight="true" outlineLevel="0" collapsed="false">
      <c r="A75" s="10" t="s">
        <v>392</v>
      </c>
      <c r="B75" s="11"/>
      <c r="C75" s="12" t="s">
        <v>393</v>
      </c>
      <c r="D75" s="12"/>
      <c r="E75" s="12"/>
      <c r="F75" s="12" t="s">
        <v>394</v>
      </c>
      <c r="G75" s="12" t="s">
        <v>395</v>
      </c>
      <c r="H75" s="13" t="s">
        <v>19</v>
      </c>
      <c r="I75" s="12"/>
    </row>
    <row r="76" customFormat="false" ht="30.75" hidden="false" customHeight="true" outlineLevel="0" collapsed="false">
      <c r="A76" s="10" t="s">
        <v>396</v>
      </c>
      <c r="B76" s="11"/>
      <c r="C76" s="12" t="s">
        <v>397</v>
      </c>
      <c r="D76" s="12"/>
      <c r="E76" s="12"/>
      <c r="F76" s="12" t="s">
        <v>398</v>
      </c>
      <c r="G76" s="12" t="s">
        <v>399</v>
      </c>
      <c r="H76" s="13" t="s">
        <v>111</v>
      </c>
      <c r="I76" s="12"/>
    </row>
    <row r="77" customFormat="false" ht="30.75" hidden="false" customHeight="true" outlineLevel="0" collapsed="false">
      <c r="A77" s="10" t="s">
        <v>400</v>
      </c>
      <c r="B77" s="11"/>
      <c r="C77" s="12" t="s">
        <v>401</v>
      </c>
      <c r="D77" s="12"/>
      <c r="E77" s="12"/>
      <c r="F77" s="12" t="s">
        <v>402</v>
      </c>
      <c r="G77" s="12"/>
      <c r="H77" s="13" t="s">
        <v>111</v>
      </c>
      <c r="I77" s="12"/>
    </row>
    <row r="78" customFormat="false" ht="30.75" hidden="false" customHeight="true" outlineLevel="0" collapsed="false">
      <c r="A78" s="14" t="s">
        <v>403</v>
      </c>
      <c r="B78" s="11"/>
      <c r="C78" s="15" t="s">
        <v>404</v>
      </c>
      <c r="D78" s="15"/>
      <c r="E78" s="15"/>
      <c r="F78" s="15" t="s">
        <v>405</v>
      </c>
      <c r="G78" s="15" t="s">
        <v>406</v>
      </c>
      <c r="H78" s="16" t="s">
        <v>111</v>
      </c>
      <c r="I78" s="15"/>
    </row>
  </sheetData>
  <autoFilter ref="A4:I78"/>
  <mergeCells count="14">
    <mergeCell ref="A1:I1"/>
    <mergeCell ref="A2:I2"/>
    <mergeCell ref="A3:B3"/>
    <mergeCell ref="B5:B10"/>
    <mergeCell ref="B11:B22"/>
    <mergeCell ref="B23:B32"/>
    <mergeCell ref="B33:B40"/>
    <mergeCell ref="B41:B49"/>
    <mergeCell ref="B50:B53"/>
    <mergeCell ref="B54:B59"/>
    <mergeCell ref="B60:B65"/>
    <mergeCell ref="B66:B70"/>
    <mergeCell ref="B71:B73"/>
    <mergeCell ref="B74:B78"/>
  </mergeCells>
  <conditionalFormatting sqref="H5:H78">
    <cfRule type="cellIs" priority="2" operator="equal" aboveAverage="0" equalAverage="0" bottom="0" percent="0" rank="0" text="" dxfId="9">
      <formula>"Đã chốt"</formula>
    </cfRule>
    <cfRule type="cellIs" priority="3" operator="equal" aboveAverage="0" equalAverage="0" bottom="0" percent="0" rank="0" text="" dxfId="10">
      <formula>"Theo mặc định"</formula>
    </cfRule>
    <cfRule type="cellIs" priority="4" operator="equal" aboveAverage="0" equalAverage="0" bottom="0" percent="0" rank="0" text="" dxfId="11">
      <formula>"Suy ra"</formula>
    </cfRule>
    <cfRule type="cellIs" priority="5" operator="equal" aboveAverage="0" equalAverage="0" bottom="0" percent="0" rank="0" text="" dxfId="12">
      <formula>"Còn mở"</formula>
    </cfRule>
  </conditionalFormatting>
  <dataValidations count="1">
    <dataValidation allowBlank="true" error="Chọn một trạng thái trong danh sách" errorStyle="stop" errorTitle="Trạng thái" operator="between" showDropDown="false" showErrorMessage="false" showInputMessage="false" sqref="H5:H78" type="list">
      <formula1>"Đã chốt,Theo mặc định,Suy ra,Còn mở"</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62"/>
    <col collapsed="false" customWidth="true" hidden="false" outlineLevel="0" max="4" min="4" style="0" width="30"/>
    <col collapsed="false" customWidth="true" hidden="false" outlineLevel="0" max="5" min="5" style="0" width="34"/>
  </cols>
  <sheetData>
    <row r="1" customFormat="false" ht="24" hidden="false" customHeight="true" outlineLevel="0" collapsed="false">
      <c r="A1" s="17" t="s">
        <v>407</v>
      </c>
      <c r="B1" s="17"/>
      <c r="C1" s="17"/>
      <c r="D1" s="17"/>
      <c r="E1" s="17"/>
    </row>
    <row r="2" customFormat="false" ht="30" hidden="false" customHeight="true" outlineLevel="0" collapsed="false">
      <c r="A2" s="2" t="s">
        <v>408</v>
      </c>
      <c r="B2" s="2"/>
      <c r="C2" s="2"/>
      <c r="D2" s="2"/>
      <c r="E2" s="2"/>
    </row>
    <row r="3" customFormat="false" ht="30" hidden="false" customHeight="true" outlineLevel="0" collapsed="false">
      <c r="A3" s="9" t="s">
        <v>3</v>
      </c>
      <c r="B3" s="9" t="s">
        <v>409</v>
      </c>
      <c r="C3" s="9" t="s">
        <v>410</v>
      </c>
      <c r="D3" s="9" t="s">
        <v>411</v>
      </c>
      <c r="E3" s="9" t="s">
        <v>412</v>
      </c>
    </row>
    <row r="4" customFormat="false" ht="30.75" hidden="false" customHeight="true" outlineLevel="0" collapsed="false">
      <c r="A4" s="13" t="s">
        <v>413</v>
      </c>
      <c r="B4" s="12" t="s">
        <v>414</v>
      </c>
      <c r="C4" s="12" t="s">
        <v>415</v>
      </c>
      <c r="D4" s="12" t="s">
        <v>416</v>
      </c>
      <c r="E4" s="12" t="s">
        <v>417</v>
      </c>
    </row>
    <row r="5" customFormat="false" ht="18" hidden="false" customHeight="true" outlineLevel="0" collapsed="false">
      <c r="A5" s="13" t="s">
        <v>418</v>
      </c>
      <c r="B5" s="12" t="s">
        <v>419</v>
      </c>
      <c r="C5" s="12" t="s">
        <v>420</v>
      </c>
      <c r="D5" s="12" t="s">
        <v>421</v>
      </c>
      <c r="E5" s="12" t="s">
        <v>422</v>
      </c>
    </row>
    <row r="6" customFormat="false" ht="30.75" hidden="false" customHeight="true" outlineLevel="0" collapsed="false">
      <c r="A6" s="13" t="s">
        <v>423</v>
      </c>
      <c r="B6" s="12" t="s">
        <v>424</v>
      </c>
      <c r="C6" s="12" t="s">
        <v>425</v>
      </c>
      <c r="D6" s="12" t="s">
        <v>421</v>
      </c>
      <c r="E6" s="12" t="s">
        <v>426</v>
      </c>
    </row>
    <row r="7" customFormat="false" ht="18" hidden="false" customHeight="true" outlineLevel="0" collapsed="false">
      <c r="A7" s="13" t="s">
        <v>427</v>
      </c>
      <c r="B7" s="12" t="s">
        <v>428</v>
      </c>
      <c r="C7" s="12" t="s">
        <v>429</v>
      </c>
      <c r="D7" s="12" t="s">
        <v>421</v>
      </c>
      <c r="E7" s="12" t="s">
        <v>426</v>
      </c>
    </row>
    <row r="8" customFormat="false" ht="57" hidden="false" customHeight="true" outlineLevel="0" collapsed="false">
      <c r="A8" s="13" t="s">
        <v>430</v>
      </c>
      <c r="B8" s="12" t="s">
        <v>431</v>
      </c>
      <c r="C8" s="12" t="s">
        <v>432</v>
      </c>
      <c r="D8" s="12" t="s">
        <v>433</v>
      </c>
      <c r="E8" s="12" t="s">
        <v>434</v>
      </c>
    </row>
    <row r="9" customFormat="false" ht="18" hidden="false" customHeight="true" outlineLevel="0" collapsed="false">
      <c r="A9" s="13" t="s">
        <v>435</v>
      </c>
      <c r="B9" s="12" t="s">
        <v>436</v>
      </c>
      <c r="C9" s="12" t="s">
        <v>437</v>
      </c>
      <c r="D9" s="12" t="s">
        <v>433</v>
      </c>
      <c r="E9" s="12" t="s">
        <v>438</v>
      </c>
    </row>
    <row r="10" customFormat="false" ht="18" hidden="false" customHeight="true" outlineLevel="0" collapsed="false">
      <c r="A10" s="13" t="s">
        <v>386</v>
      </c>
      <c r="B10" s="12" t="s">
        <v>439</v>
      </c>
      <c r="C10" s="12" t="s">
        <v>440</v>
      </c>
      <c r="D10" s="12" t="s">
        <v>441</v>
      </c>
      <c r="E10" s="12" t="s">
        <v>442</v>
      </c>
    </row>
    <row r="11" customFormat="false" ht="43.5" hidden="false" customHeight="true" outlineLevel="0" collapsed="false">
      <c r="A11" s="13" t="s">
        <v>443</v>
      </c>
      <c r="B11" s="12" t="s">
        <v>297</v>
      </c>
      <c r="C11" s="12" t="s">
        <v>444</v>
      </c>
      <c r="D11" s="12" t="s">
        <v>416</v>
      </c>
      <c r="E11" s="12" t="s">
        <v>445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0"/>
    <col collapsed="false" customWidth="true" hidden="false" outlineLevel="0" max="3" min="3" style="0" width="30"/>
    <col collapsed="false" customWidth="true" hidden="false" outlineLevel="0" max="4" min="4" style="0" width="26"/>
  </cols>
  <sheetData>
    <row r="1" customFormat="false" ht="24" hidden="false" customHeight="true" outlineLevel="0" collapsed="false">
      <c r="A1" s="17" t="s">
        <v>446</v>
      </c>
      <c r="B1" s="17"/>
      <c r="C1" s="17"/>
      <c r="D1" s="17"/>
    </row>
    <row r="2" customFormat="false" ht="30" hidden="false" customHeight="true" outlineLevel="0" collapsed="false">
      <c r="A2" s="2" t="s">
        <v>447</v>
      </c>
      <c r="B2" s="2"/>
      <c r="C2" s="2"/>
      <c r="D2" s="2"/>
    </row>
    <row r="3" customFormat="false" ht="30" hidden="false" customHeight="true" outlineLevel="0" collapsed="false">
      <c r="A3" s="9" t="s">
        <v>3</v>
      </c>
      <c r="B3" s="9" t="s">
        <v>448</v>
      </c>
      <c r="C3" s="9" t="s">
        <v>10</v>
      </c>
      <c r="D3" s="9" t="s">
        <v>412</v>
      </c>
    </row>
    <row r="4" customFormat="false" ht="30.75" hidden="false" customHeight="true" outlineLevel="0" collapsed="false">
      <c r="A4" s="13" t="s">
        <v>449</v>
      </c>
      <c r="B4" s="12" t="s">
        <v>450</v>
      </c>
      <c r="C4" s="12" t="s">
        <v>451</v>
      </c>
      <c r="D4" s="12" t="s">
        <v>452</v>
      </c>
    </row>
    <row r="5" customFormat="false" ht="30.75" hidden="false" customHeight="true" outlineLevel="0" collapsed="false">
      <c r="A5" s="13" t="s">
        <v>142</v>
      </c>
      <c r="B5" s="12" t="s">
        <v>453</v>
      </c>
      <c r="C5" s="12" t="s">
        <v>19</v>
      </c>
      <c r="D5" s="12" t="s">
        <v>426</v>
      </c>
    </row>
    <row r="6" customFormat="false" ht="30.75" hidden="false" customHeight="true" outlineLevel="0" collapsed="false">
      <c r="A6" s="13" t="s">
        <v>62</v>
      </c>
      <c r="B6" s="12" t="s">
        <v>454</v>
      </c>
      <c r="C6" s="12" t="s">
        <v>455</v>
      </c>
      <c r="D6" s="12" t="s">
        <v>456</v>
      </c>
    </row>
    <row r="7" customFormat="false" ht="30.75" hidden="false" customHeight="true" outlineLevel="0" collapsed="false">
      <c r="A7" s="13" t="s">
        <v>160</v>
      </c>
      <c r="B7" s="12" t="s">
        <v>457</v>
      </c>
      <c r="C7" s="12" t="s">
        <v>458</v>
      </c>
      <c r="D7" s="12" t="s">
        <v>426</v>
      </c>
    </row>
    <row r="8" customFormat="false" ht="18" hidden="false" customHeight="true" outlineLevel="0" collapsed="false">
      <c r="A8" s="13" t="s">
        <v>197</v>
      </c>
      <c r="B8" s="12" t="s">
        <v>459</v>
      </c>
      <c r="C8" s="12" t="s">
        <v>460</v>
      </c>
      <c r="D8" s="12" t="s">
        <v>461</v>
      </c>
    </row>
    <row r="9" customFormat="false" ht="57" hidden="false" customHeight="true" outlineLevel="0" collapsed="false">
      <c r="A9" s="13" t="s">
        <v>251</v>
      </c>
      <c r="B9" s="12" t="s">
        <v>462</v>
      </c>
      <c r="C9" s="12" t="s">
        <v>19</v>
      </c>
      <c r="D9" s="12" t="s">
        <v>463</v>
      </c>
    </row>
    <row r="10" customFormat="false" ht="57" hidden="false" customHeight="true" outlineLevel="0" collapsed="false">
      <c r="A10" s="13" t="s">
        <v>204</v>
      </c>
      <c r="B10" s="12" t="s">
        <v>464</v>
      </c>
      <c r="C10" s="12" t="s">
        <v>19</v>
      </c>
      <c r="D10" s="12" t="s">
        <v>465</v>
      </c>
    </row>
    <row r="11" customFormat="false" ht="30.75" hidden="false" customHeight="true" outlineLevel="0" collapsed="false">
      <c r="A11" s="13" t="s">
        <v>289</v>
      </c>
      <c r="B11" s="12" t="s">
        <v>466</v>
      </c>
      <c r="C11" s="12" t="s">
        <v>467</v>
      </c>
      <c r="D11" s="12" t="s">
        <v>468</v>
      </c>
    </row>
    <row r="12" customFormat="false" ht="30.75" hidden="false" customHeight="true" outlineLevel="0" collapsed="false">
      <c r="A12" s="13" t="s">
        <v>469</v>
      </c>
      <c r="B12" s="12" t="s">
        <v>470</v>
      </c>
      <c r="C12" s="12" t="s">
        <v>19</v>
      </c>
      <c r="D12" s="12" t="s">
        <v>471</v>
      </c>
    </row>
    <row r="13" customFormat="false" ht="30.75" hidden="false" customHeight="true" outlineLevel="0" collapsed="false">
      <c r="A13" s="13" t="s">
        <v>472</v>
      </c>
      <c r="B13" s="12" t="s">
        <v>473</v>
      </c>
      <c r="C13" s="12" t="s">
        <v>19</v>
      </c>
      <c r="D13" s="12" t="s">
        <v>474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64"/>
    <col collapsed="false" customWidth="true" hidden="false" outlineLevel="0" max="4" min="4" style="0" width="42"/>
    <col collapsed="false" customWidth="true" hidden="false" outlineLevel="0" max="5" min="5" style="0" width="18"/>
  </cols>
  <sheetData>
    <row r="1" customFormat="false" ht="24" hidden="false" customHeight="true" outlineLevel="0" collapsed="false">
      <c r="A1" s="17" t="s">
        <v>475</v>
      </c>
      <c r="B1" s="17"/>
      <c r="C1" s="17"/>
      <c r="D1" s="17"/>
      <c r="E1" s="17"/>
    </row>
    <row r="2" customFormat="false" ht="30" hidden="false" customHeight="true" outlineLevel="0" collapsed="false">
      <c r="A2" s="2" t="s">
        <v>476</v>
      </c>
      <c r="B2" s="2"/>
      <c r="C2" s="2"/>
      <c r="D2" s="2"/>
      <c r="E2" s="2"/>
    </row>
    <row r="3" customFormat="false" ht="30" hidden="false" customHeight="true" outlineLevel="0" collapsed="false">
      <c r="A3" s="9" t="s">
        <v>477</v>
      </c>
      <c r="B3" s="9" t="s">
        <v>478</v>
      </c>
      <c r="C3" s="9" t="s">
        <v>479</v>
      </c>
      <c r="D3" s="9" t="s">
        <v>480</v>
      </c>
      <c r="E3" s="9" t="s">
        <v>481</v>
      </c>
    </row>
    <row r="4" customFormat="false" ht="43.5" hidden="false" customHeight="true" outlineLevel="0" collapsed="false">
      <c r="A4" s="13" t="n">
        <v>1</v>
      </c>
      <c r="B4" s="13" t="s">
        <v>316</v>
      </c>
      <c r="C4" s="12" t="s">
        <v>482</v>
      </c>
      <c r="D4" s="12" t="s">
        <v>483</v>
      </c>
      <c r="E4" s="12" t="s">
        <v>484</v>
      </c>
    </row>
    <row r="5" customFormat="false" ht="30.75" hidden="false" customHeight="true" outlineLevel="0" collapsed="false">
      <c r="A5" s="13" t="n">
        <v>2</v>
      </c>
      <c r="B5" s="13" t="s">
        <v>485</v>
      </c>
      <c r="C5" s="12" t="s">
        <v>486</v>
      </c>
      <c r="D5" s="12" t="s">
        <v>487</v>
      </c>
      <c r="E5" s="12" t="s">
        <v>124</v>
      </c>
    </row>
    <row r="6" customFormat="false" ht="30.75" hidden="false" customHeight="true" outlineLevel="0" collapsed="false">
      <c r="A6" s="13" t="n">
        <v>3</v>
      </c>
      <c r="B6" s="13" t="s">
        <v>152</v>
      </c>
      <c r="C6" s="12" t="s">
        <v>488</v>
      </c>
      <c r="D6" s="12" t="s">
        <v>489</v>
      </c>
      <c r="E6" s="12" t="s">
        <v>490</v>
      </c>
    </row>
    <row r="7" customFormat="false" ht="18" hidden="false" customHeight="true" outlineLevel="0" collapsed="false">
      <c r="A7" s="13" t="n">
        <v>4</v>
      </c>
      <c r="B7" s="13" t="s">
        <v>491</v>
      </c>
      <c r="C7" s="12" t="s">
        <v>492</v>
      </c>
      <c r="D7" s="12" t="s">
        <v>493</v>
      </c>
      <c r="E7" s="12" t="s">
        <v>494</v>
      </c>
    </row>
    <row r="8" customFormat="false" ht="30.75" hidden="false" customHeight="true" outlineLevel="0" collapsed="false">
      <c r="A8" s="13" t="n">
        <v>5</v>
      </c>
      <c r="B8" s="13" t="s">
        <v>491</v>
      </c>
      <c r="C8" s="12" t="s">
        <v>495</v>
      </c>
      <c r="D8" s="12" t="s">
        <v>496</v>
      </c>
      <c r="E8" s="12" t="s">
        <v>130</v>
      </c>
    </row>
    <row r="9" customFormat="false" ht="18" hidden="false" customHeight="true" outlineLevel="0" collapsed="false">
      <c r="A9" s="13" t="n">
        <v>6</v>
      </c>
      <c r="B9" s="13" t="s">
        <v>491</v>
      </c>
      <c r="C9" s="12" t="s">
        <v>497</v>
      </c>
      <c r="D9" s="12" t="s">
        <v>498</v>
      </c>
      <c r="E9" s="12" t="s">
        <v>499</v>
      </c>
    </row>
    <row r="10" customFormat="false" ht="30.75" hidden="false" customHeight="true" outlineLevel="0" collapsed="false">
      <c r="A10" s="13" t="n">
        <v>7</v>
      </c>
      <c r="B10" s="13" t="s">
        <v>491</v>
      </c>
      <c r="C10" s="12" t="s">
        <v>500</v>
      </c>
      <c r="D10" s="12" t="s">
        <v>493</v>
      </c>
      <c r="E10" s="12" t="s">
        <v>44</v>
      </c>
    </row>
    <row r="11" customFormat="false" ht="30.75" hidden="false" customHeight="true" outlineLevel="0" collapsed="false">
      <c r="A11" s="13" t="n">
        <v>8</v>
      </c>
      <c r="B11" s="13" t="s">
        <v>491</v>
      </c>
      <c r="C11" s="12" t="s">
        <v>501</v>
      </c>
      <c r="D11" s="12" t="s">
        <v>502</v>
      </c>
      <c r="E11" s="12" t="s">
        <v>503</v>
      </c>
    </row>
    <row r="12" customFormat="false" ht="30.75" hidden="false" customHeight="true" outlineLevel="0" collapsed="false">
      <c r="A12" s="13" t="n">
        <v>9</v>
      </c>
      <c r="B12" s="13" t="s">
        <v>491</v>
      </c>
      <c r="C12" s="12" t="s">
        <v>504</v>
      </c>
      <c r="D12" s="12" t="s">
        <v>505</v>
      </c>
      <c r="E12" s="12" t="s">
        <v>506</v>
      </c>
    </row>
    <row r="13" customFormat="false" ht="30.75" hidden="false" customHeight="true" outlineLevel="0" collapsed="false">
      <c r="A13" s="13" t="n">
        <v>10</v>
      </c>
      <c r="B13" s="13" t="s">
        <v>491</v>
      </c>
      <c r="C13" s="12" t="s">
        <v>507</v>
      </c>
      <c r="D13" s="12" t="s">
        <v>508</v>
      </c>
      <c r="E13" s="12" t="s">
        <v>509</v>
      </c>
    </row>
    <row r="14" customFormat="false" ht="30.75" hidden="false" customHeight="true" outlineLevel="0" collapsed="false">
      <c r="A14" s="13" t="n">
        <v>11</v>
      </c>
      <c r="B14" s="13" t="s">
        <v>491</v>
      </c>
      <c r="C14" s="12" t="s">
        <v>510</v>
      </c>
      <c r="D14" s="12" t="s">
        <v>511</v>
      </c>
      <c r="E14" s="12" t="s">
        <v>253</v>
      </c>
    </row>
    <row r="15" customFormat="false" ht="30.75" hidden="false" customHeight="true" outlineLevel="0" collapsed="false">
      <c r="A15" s="13" t="n">
        <v>12</v>
      </c>
      <c r="B15" s="13" t="s">
        <v>491</v>
      </c>
      <c r="C15" s="12" t="s">
        <v>512</v>
      </c>
      <c r="D15" s="12" t="s">
        <v>513</v>
      </c>
      <c r="E15" s="12" t="s">
        <v>514</v>
      </c>
    </row>
    <row r="16" customFormat="false" ht="18" hidden="false" customHeight="true" outlineLevel="0" collapsed="false">
      <c r="A16" s="13" t="n">
        <v>13</v>
      </c>
      <c r="B16" s="13" t="s">
        <v>491</v>
      </c>
      <c r="C16" s="12" t="s">
        <v>515</v>
      </c>
      <c r="D16" s="12" t="s">
        <v>117</v>
      </c>
      <c r="E16" s="12" t="s">
        <v>113</v>
      </c>
    </row>
    <row r="17" customFormat="false" ht="30.75" hidden="false" customHeight="true" outlineLevel="0" collapsed="false">
      <c r="A17" s="13" t="n">
        <v>14</v>
      </c>
      <c r="B17" s="13" t="s">
        <v>491</v>
      </c>
      <c r="C17" s="12" t="s">
        <v>516</v>
      </c>
      <c r="D17" s="12" t="s">
        <v>517</v>
      </c>
      <c r="E17" s="12" t="s">
        <v>21</v>
      </c>
    </row>
    <row r="18" customFormat="false" ht="30.75" hidden="false" customHeight="true" outlineLevel="0" collapsed="false">
      <c r="A18" s="13" t="n">
        <v>15</v>
      </c>
      <c r="B18" s="13" t="s">
        <v>491</v>
      </c>
      <c r="C18" s="12" t="s">
        <v>518</v>
      </c>
      <c r="D18" s="12" t="s">
        <v>519</v>
      </c>
      <c r="E18" s="12" t="s">
        <v>520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2026-10-02T09:46:21Z</dcterms:created>
  <dc:creator>openpyxl</dc:creator>
  <dc:description/>
  <dc:language>en-US</dc:language>
  <cp:lastModifiedBy/>
  <dcterms:modified xsi:type="dcterms:W3CDTF">2026-10-02T09:46:21Z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