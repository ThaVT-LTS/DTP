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30" tabRatio="500" firstSheet="1" activeTab="0" autoFilterDateGrouping="1"/>
  </bookViews>
  <sheets>
    <sheet xmlns:r="http://schemas.openxmlformats.org/officeDocument/2006/relationships" name="Scope Summary" sheetId="1" state="visible" r:id="rId1"/>
    <sheet xmlns:r="http://schemas.openxmlformats.org/officeDocument/2006/relationships" name="UC List (P1)" sheetId="2" state="visible" r:id="rId2"/>
    <sheet xmlns:r="http://schemas.openxmlformats.org/officeDocument/2006/relationships" name="UC List (P2)" sheetId="3" state="visible" r:id="rId3"/>
    <sheet xmlns:r="http://schemas.openxmlformats.org/officeDocument/2006/relationships" name="Future Release" sheetId="4" state="visible" r:id="rId4"/>
    <sheet xmlns:r="http://schemas.openxmlformats.org/officeDocument/2006/relationships" name="OOS - Not MVP" sheetId="5" state="visible" r:id="rId5"/>
    <sheet xmlns:r="http://schemas.openxmlformats.org/officeDocument/2006/relationships" name="Pending Clarification" sheetId="6" state="visible" r:id="rId6"/>
  </sheets>
  <definedNames>
    <definedName name="_xlnm._FilterDatabase" localSheetId="1" hidden="1">'UC List (P1)'!$A$1:$J$1</definedName>
    <definedName name="_xlnm._FilterDatabase" localSheetId="2" hidden="1">'UC List (P2)'!$A$1:$J$1</definedName>
  </definedNames>
  <calcPr calcId="191028" fullCalcOnLoad="1"/>
</workbook>
</file>

<file path=xl/styles.xml><?xml version="1.0" encoding="utf-8"?>
<styleSheet xmlns="http://schemas.openxmlformats.org/spreadsheetml/2006/main">
  <numFmts count="0"/>
  <fonts count="4">
    <font>
      <name val="Calibri"/>
      <charset val="1"/>
      <color theme="1"/>
      <sz val="12"/>
    </font>
    <font>
      <name val="Calibri"/>
      <family val="2"/>
      <b val="1"/>
      <color theme="1"/>
      <sz val="12"/>
    </font>
    <font>
      <name val="Calibri"/>
      <family val="2"/>
      <color theme="1"/>
      <sz val="12"/>
    </font>
    <font>
      <name val="Calibri"/>
      <charset val="134"/>
      <color rgb="FF000000"/>
      <sz val="12"/>
    </font>
  </fonts>
  <fills count="6">
    <fill>
      <patternFill/>
    </fill>
    <fill>
      <patternFill patternType="gray125"/>
    </fill>
    <fill>
      <patternFill patternType="solid">
        <fgColor theme="6" tint="0.7998596148564104"/>
        <bgColor rgb="FFEBF3FB"/>
      </patternFill>
    </fill>
    <fill>
      <patternFill patternType="solid">
        <fgColor theme="0"/>
        <bgColor indexed="64"/>
      </patternFill>
    </fill>
    <fill>
      <patternFill patternType="solid">
        <fgColor rgb="FFFFFF00"/>
        <bgColor indexed="64"/>
      </patternFill>
    </fill>
    <fill>
      <patternFill patternType="solid">
        <fgColor theme="3" tint="0.399975585192419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0" applyAlignment="1" pivotButton="0" quotePrefix="0" xfId="0">
      <alignment vertical="top" wrapText="1"/>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0" applyAlignment="1" pivotButton="0" quotePrefix="0" xfId="0">
      <alignment vertical="center"/>
    </xf>
    <xf numFmtId="0" fontId="0" fillId="0" borderId="1" applyAlignment="1" pivotButton="0" quotePrefix="0" xfId="0">
      <alignment horizontal="left" vertical="center"/>
    </xf>
    <xf numFmtId="0" fontId="0" fillId="3" borderId="1" applyAlignment="1" pivotButton="0" quotePrefix="0" xfId="0">
      <alignment horizontal="left" vertical="center"/>
    </xf>
    <xf numFmtId="0" fontId="0" fillId="0" borderId="0" applyAlignment="1" pivotButton="0" quotePrefix="0" xfId="0">
      <alignment horizontal="left"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4" borderId="1" applyAlignment="1" pivotButton="0" quotePrefix="0" xfId="0">
      <alignment horizontal="left" vertical="center"/>
    </xf>
    <xf numFmtId="0" fontId="1" fillId="2" borderId="1" applyAlignment="1" pivotButton="0" quotePrefix="0" xfId="0">
      <alignment horizontal="left" vertical="center" wrapText="1"/>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2" fillId="3" borderId="1" applyAlignment="1" pivotButton="0" quotePrefix="0" xfId="0">
      <alignment horizontal="left" vertical="center" wrapText="1"/>
    </xf>
    <xf numFmtId="0" fontId="1" fillId="5" borderId="1" applyAlignment="1" pivotButton="0" quotePrefix="0" xfId="0">
      <alignment vertical="center"/>
    </xf>
    <xf numFmtId="0" fontId="0" fillId="5" borderId="1" applyAlignment="1" pivotButton="0" quotePrefix="0" xfId="0">
      <alignment vertical="center" wrapText="1"/>
    </xf>
    <xf numFmtId="0" fontId="1" fillId="5" borderId="1" applyAlignment="1" pivotButton="0" quotePrefix="0" xfId="0">
      <alignment vertical="center" wrapText="1"/>
    </xf>
    <xf numFmtId="0" fontId="0" fillId="5" borderId="1" applyAlignment="1" pivotButton="0" quotePrefix="0" xfId="0">
      <alignment horizontal="left" vertical="center"/>
    </xf>
    <xf numFmtId="0" fontId="0" fillId="5" borderId="0" applyAlignment="1" pivotButton="0" quotePrefix="0" xfId="0">
      <alignment vertical="center"/>
    </xf>
    <xf numFmtId="0" fontId="1" fillId="5" borderId="1" applyAlignment="1" pivotButton="0" quotePrefix="0" xfId="0">
      <alignment horizontal="left" vertical="center"/>
    </xf>
    <xf numFmtId="0" fontId="1" fillId="5" borderId="0" applyAlignment="1" pivotButton="0" quotePrefix="0" xfId="0">
      <alignment vertical="center"/>
    </xf>
    <xf numFmtId="0" fontId="2" fillId="0" borderId="1" applyAlignment="1" pivotButton="0" quotePrefix="0" xfId="0">
      <alignment horizontal="left" vertical="center" wrapText="1"/>
    </xf>
    <xf numFmtId="0" fontId="0" fillId="5" borderId="0" applyAlignment="1" pivotButton="0" quotePrefix="0" xfId="0">
      <alignment horizontal="left" vertical="center"/>
    </xf>
    <xf numFmtId="0" fontId="0" fillId="4" borderId="0" applyAlignment="1" pivotButton="0" quotePrefix="0" xfId="0">
      <alignment horizontal="left" vertical="center"/>
    </xf>
    <xf numFmtId="0" fontId="1" fillId="0" borderId="0" applyAlignment="1" pivotButton="0" quotePrefix="0" xfId="0">
      <alignment horizontal="center" vertical="center" wrapText="1"/>
    </xf>
    <xf numFmtId="0" fontId="2" fillId="3" borderId="0" applyAlignment="1" pivotButton="0" quotePrefix="0" xfId="0">
      <alignment horizontal="left" vertical="center"/>
    </xf>
    <xf numFmtId="0" fontId="0" fillId="3" borderId="0" applyAlignment="1" pivotButton="0" quotePrefix="0" xfId="0">
      <alignment horizontal="left" vertical="center"/>
    </xf>
    <xf numFmtId="0" fontId="2" fillId="0" borderId="0" applyAlignment="1" pivotButton="0" quotePrefix="0" xfId="0">
      <alignment horizontal="left" vertical="center"/>
    </xf>
    <xf numFmtId="0" fontId="0" fillId="3" borderId="1" applyAlignment="1" pivotButton="0" quotePrefix="0" xfId="0">
      <alignment horizontal="left" vertical="center" wrapText="1"/>
    </xf>
    <xf numFmtId="0" fontId="3"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EBF3FB"/>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BF1DE"/>
      <rgbColor rgb="00C6EFC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tabSelected="1" workbookViewId="0">
      <selection activeCell="E14" sqref="E14"/>
    </sheetView>
  </sheetViews>
  <sheetFormatPr baseColWidth="8" defaultColWidth="8.625" defaultRowHeight="15.75"/>
  <cols>
    <col width="24" customWidth="1" min="1" max="1"/>
    <col width="10" customWidth="1" min="2" max="2"/>
    <col width="48" customWidth="1" min="3" max="3"/>
    <col width="30" customWidth="1" min="4" max="4"/>
    <col width="34" customWidth="1" min="5" max="5"/>
    <col width="38" customWidth="1" min="6" max="6"/>
  </cols>
  <sheetData>
    <row r="1" ht="15" customHeight="1">
      <c r="A1" s="12" t="inlineStr">
        <is>
          <t>Category</t>
        </is>
      </c>
      <c r="B1" s="12" t="inlineStr">
        <is>
          <t>Count</t>
        </is>
      </c>
      <c r="C1" s="12" t="inlineStr">
        <is>
          <t>Meaning</t>
        </is>
      </c>
      <c r="D1" s="12" t="inlineStr">
        <is>
          <t>MVP Treatment</t>
        </is>
      </c>
      <c r="E1" s="12" t="inlineStr">
        <is>
          <t>Primary Basis</t>
        </is>
      </c>
      <c r="F1" s="12" t="inlineStr">
        <is>
          <t>Client Action</t>
        </is>
      </c>
    </row>
    <row r="2" ht="15" customHeight="1">
      <c r="A2" s="41" t="inlineStr">
        <is>
          <t>Phase 1 UC List</t>
        </is>
      </c>
      <c r="B2" s="41" t="n">
        <v>98</v>
      </c>
      <c r="C2" s="41" t="inlineStr">
        <is>
          <t>Use cases currently scoped for the Phase 1 MVP implementation.</t>
        </is>
      </c>
      <c r="D2" s="41" t="inlineStr">
        <is>
          <t>Included in Phase 1 MVP</t>
        </is>
      </c>
      <c r="E2" s="41" t="inlineStr">
        <is>
          <t>UC List (P1), reflecting the latest client confirmations and accepted scope changes.</t>
        </is>
      </c>
      <c r="F2" s="41" t="inlineStr">
        <is>
          <t>Confirm / implement Phase 1 scope</t>
        </is>
      </c>
    </row>
    <row r="3" ht="48.75" customHeight="1">
      <c r="A3" s="41" t="inlineStr">
        <is>
          <t>Phase 2 UC List</t>
        </is>
      </c>
      <c r="B3" s="41" t="n">
        <v>61</v>
      </c>
      <c r="C3" s="41" t="inlineStr">
        <is>
          <t>Use cases deferred from Phase 1 or planned for a later release.</t>
        </is>
      </c>
      <c r="D3" s="41" t="inlineStr">
        <is>
          <t>Deferred to Phase 2</t>
        </is>
      </c>
      <c r="E3" s="41" t="inlineStr">
        <is>
          <t>UC List (P2), reflecting the latest phasing decisions and deferred capabilities.</t>
        </is>
      </c>
      <c r="F3" s="41" t="inlineStr">
        <is>
          <t>Retain for Phase 2 planning</t>
        </is>
      </c>
    </row>
    <row r="4" ht="28.5" customHeight="1">
      <c r="A4" s="41" t="inlineStr">
        <is>
          <t>OOS / Not MVP</t>
        </is>
      </c>
      <c r="B4" s="41" t="n">
        <v>5</v>
      </c>
      <c r="C4" s="41" t="inlineStr">
        <is>
          <t>Use cases explicitly removed from the MVP scope.</t>
        </is>
      </c>
      <c r="D4" s="41" t="inlineStr">
        <is>
          <t>Excluded from MVP</t>
        </is>
      </c>
      <c r="E4" s="41" t="inlineStr">
        <is>
          <t>OOS - Not MVP sheet / confirmed scope exclusions.</t>
        </is>
      </c>
      <c r="F4" s="41" t="inlineStr">
        <is>
          <t>Confirm exclusion</t>
        </is>
      </c>
    </row>
    <row r="5" ht="48.75" customHeight="1">
      <c r="A5" s="41" t="inlineStr">
        <is>
          <t>Pending Clarification</t>
        </is>
      </c>
      <c r="B5" s="41" t="n">
        <v>0</v>
      </c>
      <c r="C5" s="41" t="inlineStr">
        <is>
          <t>Use cases currently held pending a business clarification before final phasing.</t>
        </is>
      </c>
      <c r="D5" s="41" t="inlineStr">
        <is>
          <t>Pending</t>
        </is>
      </c>
      <c r="E5" s="41" t="inlineStr">
        <is>
          <t>Pending Clarification sheet.</t>
        </is>
      </c>
      <c r="F5" s="41" t="inlineStr">
        <is>
          <t>Resolve open clarification</t>
        </is>
      </c>
    </row>
    <row r="6" ht="15.75" customHeight="1">
      <c r="A6" s="12" t="n"/>
      <c r="B6" s="12" t="n"/>
      <c r="C6" s="12" t="n"/>
      <c r="D6" s="12" t="n"/>
      <c r="E6" s="12" t="n"/>
      <c r="F6" s="12" t="n"/>
    </row>
    <row r="7" ht="15.75" customHeight="1">
      <c r="A7" s="12" t="n"/>
      <c r="B7" s="12" t="n"/>
      <c r="C7" s="12" t="n"/>
      <c r="D7" s="12" t="n"/>
      <c r="E7" s="12" t="n"/>
      <c r="F7" s="12"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147"/>
  <sheetViews>
    <sheetView zoomScale="70" zoomScaleNormal="70" workbookViewId="0">
      <pane ySplit="1" topLeftCell="A113" activePane="bottomLeft" state="frozen"/>
      <selection pane="bottomLeft" activeCell="E123" sqref="E123"/>
    </sheetView>
  </sheetViews>
  <sheetFormatPr baseColWidth="8" defaultColWidth="18" defaultRowHeight="15.75"/>
  <cols>
    <col width="13.375" customWidth="1" style="6" min="1" max="1"/>
    <col width="28.75" customWidth="1" style="6" min="2" max="2"/>
    <col width="25.125" customWidth="1" style="6" min="3" max="3"/>
    <col width="18.375" customWidth="1" style="6" min="4" max="5"/>
    <col width="13" customWidth="1" min="5" max="5"/>
    <col width="47.875" customWidth="1" style="7" min="6" max="6"/>
    <col width="47.875" customWidth="1" style="7" min="7" max="7"/>
    <col width="40.125" customWidth="1" style="18" min="8" max="8"/>
    <col width="13" customWidth="1" style="18" min="9" max="9"/>
    <col width="47.25" customWidth="1" style="18" min="10" max="10"/>
    <col width="34.75" customWidth="1" style="6" min="11" max="16384"/>
  </cols>
  <sheetData>
    <row r="1" ht="32.25" customFormat="1" customHeight="1" s="4">
      <c r="A1" s="8" t="inlineStr">
        <is>
          <t>UC ID</t>
        </is>
      </c>
      <c r="B1" s="8" t="inlineStr">
        <is>
          <t>Use Case Name</t>
        </is>
      </c>
      <c r="C1" s="8" t="inlineStr">
        <is>
          <t>Actor</t>
        </is>
      </c>
      <c r="D1" s="8" t="inlineStr">
        <is>
          <t>Module/Feature</t>
        </is>
      </c>
      <c r="E1" s="8" t="inlineStr">
        <is>
          <t>Portal</t>
        </is>
      </c>
      <c r="F1" s="9" t="inlineStr">
        <is>
          <t>Description</t>
        </is>
      </c>
      <c r="G1" s="9" t="inlineStr">
        <is>
          <t>Description (Tiếng Việt)</t>
        </is>
      </c>
      <c r="H1" s="9" t="inlineStr">
        <is>
          <t>WBS Reference</t>
        </is>
      </c>
      <c r="I1" s="9" t="inlineStr">
        <is>
          <t>LTS suggestion</t>
        </is>
      </c>
      <c r="J1" s="22" t="inlineStr">
        <is>
          <t>SGS Comments</t>
        </is>
      </c>
      <c r="K1" s="36" t="inlineStr">
        <is>
          <t>ESt (Hour)</t>
        </is>
      </c>
    </row>
    <row r="2" ht="32.25" customFormat="1" customHeight="1" s="4">
      <c r="A2" s="8" t="n"/>
      <c r="B2" s="8" t="n"/>
      <c r="C2" s="8" t="n"/>
      <c r="D2" s="8" t="n"/>
      <c r="E2" s="8" t="n"/>
      <c r="F2" s="9" t="n"/>
      <c r="G2" s="9" t="n"/>
      <c r="H2" s="9" t="n"/>
      <c r="I2" s="9" t="n"/>
      <c r="J2" s="22" t="n"/>
      <c r="K2" s="35">
        <f>SUM($K3,$K7,$K13,$K16,$K19,$K23,#REF!,#REF!,$K33,#REF!,$K41,$K48,#REF!,$K51,#REF!,#REF!,$K69,$K73,$K84,$K99,$K102,#REF!,$K105,$K107,$K110,)</f>
        <v/>
      </c>
    </row>
    <row r="3" customFormat="1" s="30">
      <c r="A3" s="26" t="inlineStr">
        <is>
          <t>1. Authentication</t>
        </is>
      </c>
      <c r="B3" s="26" t="n"/>
      <c r="C3" s="26" t="n"/>
      <c r="D3" s="26" t="n"/>
      <c r="E3" s="27" t="n"/>
      <c r="F3" s="28" t="n"/>
      <c r="G3" s="28" t="n"/>
      <c r="H3" s="28" t="n"/>
      <c r="I3" s="29" t="n"/>
      <c r="J3" s="29" t="n"/>
      <c r="K3" s="34">
        <f>SUM(K4:K6)</f>
        <v/>
      </c>
    </row>
    <row r="4" ht="32.25" customHeight="1">
      <c r="A4" s="11" t="inlineStr">
        <is>
          <t>UC-AUTH-001</t>
        </is>
      </c>
      <c r="B4" s="11" t="inlineStr">
        <is>
          <t>Log In to Platform</t>
        </is>
      </c>
      <c r="C4" s="11" t="inlineStr">
        <is>
          <t>All authenticated roles</t>
        </is>
      </c>
      <c r="D4" s="11" t="inlineStr">
        <is>
          <t>Authentication</t>
        </is>
      </c>
      <c r="E4" s="10" t="inlineStr">
        <is>
          <t>Customer Portal &amp; SGS Portal</t>
        </is>
      </c>
      <c r="F4" s="10" t="inlineStr">
        <is>
          <t>Authenticate with credentials and enter DTP with the role, tenant and affiliate context resolved for the session.</t>
        </is>
      </c>
      <c r="G4" s="10" t="inlineStr">
        <is>
          <t>Xác thực bằng thông tin đăng nhập và vào DTP với vai trò, tenant và affiliate được xác định cho phiên làm việc.</t>
        </is>
      </c>
      <c r="H4" s="10" t="inlineStr">
        <is>
          <t>CP-01 User login &amp; logout (P1)</t>
        </is>
      </c>
      <c r="I4" s="16" t="n"/>
      <c r="J4" s="16" t="n"/>
      <c r="K4" s="18" t="n">
        <v>14</v>
      </c>
    </row>
    <row r="5" ht="32.25" customHeight="1">
      <c r="A5" s="11" t="inlineStr">
        <is>
          <t>UC-AUTH-002</t>
        </is>
      </c>
      <c r="B5" s="11" t="inlineStr">
        <is>
          <t>Log Out of Platform</t>
        </is>
      </c>
      <c r="C5" s="11" t="inlineStr">
        <is>
          <t>All authenticated roles</t>
        </is>
      </c>
      <c r="D5" s="11" t="inlineStr">
        <is>
          <t>Authentication</t>
        </is>
      </c>
      <c r="E5" s="10" t="inlineStr">
        <is>
          <t>Customer Portal &amp; SGS Portal</t>
        </is>
      </c>
      <c r="F5" s="10" t="inlineStr">
        <is>
          <t>Terminate the active session and invalidate the session token.</t>
        </is>
      </c>
      <c r="G5" s="10" t="inlineStr">
        <is>
          <t>Kết thúc phiên đang hoạt động và vô hiệu hoá session token.</t>
        </is>
      </c>
      <c r="H5" s="10" t="inlineStr">
        <is>
          <t>CP-01 User login &amp; logout (P1)</t>
        </is>
      </c>
      <c r="I5" s="16" t="n"/>
      <c r="J5" s="16" t="n"/>
      <c r="K5" s="18" t="n">
        <v>4</v>
      </c>
    </row>
    <row r="6" ht="48.75" customHeight="1">
      <c r="A6" s="11" t="inlineStr">
        <is>
          <t>UC-AUTH-005</t>
        </is>
      </c>
      <c r="B6" s="11" t="inlineStr">
        <is>
          <t>Activate Account from Invitation</t>
        </is>
      </c>
      <c r="C6" s="11" t="inlineStr">
        <is>
          <t>Customer Admin, Customer User, SGS User, SGS Consultant</t>
        </is>
      </c>
      <c r="D6" s="11" t="inlineStr">
        <is>
          <t>Authentication</t>
        </is>
      </c>
      <c r="E6" s="10" t="inlineStr">
        <is>
          <t>Customer Portal &amp; SGS Portal</t>
        </is>
      </c>
      <c r="F6" s="10" t="inlineStr">
        <is>
          <t>Accept a user invitation, set the initial password and complete first-time account activation.</t>
        </is>
      </c>
      <c r="G6" s="10" t="inlineStr">
        <is>
          <t>Chấp nhận lời mời người dùng, đặt mật khẩu ban đầu và hoàn tất kích hoạt tài khoản lần đầu.</t>
        </is>
      </c>
      <c r="H6" s="10" t="inlineStr">
        <is>
          <t>CP-05 Create and manage customer users (P1); OPS-04 SGS customer onboarding (P1); Q&amp;A #7; Q&amp;A #59a</t>
        </is>
      </c>
      <c r="I6" s="16" t="n"/>
      <c r="J6" s="16" t="n"/>
      <c r="K6" s="18" t="n">
        <v>12</v>
      </c>
    </row>
    <row r="7" customFormat="1" s="30">
      <c r="A7" s="26" t="inlineStr">
        <is>
          <t>2. User &amp; Profile Management</t>
        </is>
      </c>
      <c r="B7" s="26" t="n"/>
      <c r="C7" s="26" t="n"/>
      <c r="D7" s="26" t="n"/>
      <c r="E7" s="27" t="n"/>
      <c r="F7" s="28" t="n"/>
      <c r="G7" s="28" t="n"/>
      <c r="H7" s="28" t="n"/>
      <c r="I7" s="29" t="n"/>
      <c r="J7" s="29" t="n"/>
      <c r="K7" s="34">
        <f>SUM(K8:K12)</f>
        <v/>
      </c>
    </row>
    <row r="8" ht="48.75" customHeight="1">
      <c r="A8" s="11" t="inlineStr">
        <is>
          <t>UC-USR-001</t>
        </is>
      </c>
      <c r="B8" s="11" t="inlineStr">
        <is>
          <t>View User List</t>
        </is>
      </c>
      <c r="C8" s="11" t="inlineStr">
        <is>
          <t>Customer Admin, SGS Admin</t>
        </is>
      </c>
      <c r="D8" s="11" t="inlineStr">
        <is>
          <t>User Management</t>
        </is>
      </c>
      <c r="E8" s="10" t="inlineStr">
        <is>
          <t>Customer Portal &amp; SGS Portal</t>
        </is>
      </c>
      <c r="F8" s="10" t="inlineStr">
        <is>
          <t>View the users within the permitted boundary (own tenant for Customer Admin; affiliate customers and SGS users for SGS Admin) with status and role.</t>
        </is>
      </c>
      <c r="G8" s="10" t="inlineStr">
        <is>
          <t>Xem danh sách người dùng trong ranh giới được phép (tenant của mình đối với Customer Admin; khách hàng thuộc affiliate và người dùng SGS đối với SGS Admin), kèm trạng thái và vai trò.</t>
        </is>
      </c>
      <c r="H8" s="10" t="inlineStr">
        <is>
          <t>CP-05 Create and manage customer users (P1); OPS-05 Customer and user administration (P1)</t>
        </is>
      </c>
      <c r="I8" s="16" t="n"/>
      <c r="J8" s="16" t="n"/>
      <c r="K8" s="18" t="n">
        <v>8</v>
      </c>
    </row>
    <row r="9" ht="32.25" customHeight="1">
      <c r="A9" s="11" t="inlineStr">
        <is>
          <t>UC-USR-002</t>
        </is>
      </c>
      <c r="B9" s="11" t="inlineStr">
        <is>
          <t>View User Details</t>
        </is>
      </c>
      <c r="C9" s="11" t="inlineStr">
        <is>
          <t>Customer Admin, SGS Admin</t>
        </is>
      </c>
      <c r="D9" s="11" t="inlineStr">
        <is>
          <t>User Management</t>
        </is>
      </c>
      <c r="E9" s="10" t="inlineStr">
        <is>
          <t>Customer Portal &amp; SGS Portal</t>
        </is>
      </c>
      <c r="F9" s="10" t="inlineStr">
        <is>
          <t>View a user's profile, account status, assigned role and assigned scopes.</t>
        </is>
      </c>
      <c r="G9" s="10" t="inlineStr">
        <is>
          <t>Xem hồ sơ, trạng thái tài khoản, vai trò được gán và các scope được gán của một người dùng.</t>
        </is>
      </c>
      <c r="H9" s="10" t="inlineStr">
        <is>
          <t>CP-05 Create and manage customer users (P1); OPS-05 Customer and user administration (P1)</t>
        </is>
      </c>
      <c r="I9" s="17" t="n"/>
      <c r="J9" s="16" t="n"/>
      <c r="K9" s="18" t="n">
        <v>8</v>
      </c>
    </row>
    <row r="10" ht="48.75" customHeight="1">
      <c r="A10" s="11" t="inlineStr">
        <is>
          <t>UC-USR-003</t>
        </is>
      </c>
      <c r="B10" s="11" t="inlineStr">
        <is>
          <t>Create User and Send Invitation</t>
        </is>
      </c>
      <c r="C10" s="11" t="inlineStr">
        <is>
          <t>Customer Admin, SGS Admin</t>
        </is>
      </c>
      <c r="D10" s="11" t="inlineStr">
        <is>
          <t>User Management</t>
        </is>
      </c>
      <c r="E10" s="10" t="inlineStr">
        <is>
          <t>Customer Portal &amp; SGS Portal</t>
        </is>
      </c>
      <c r="F10" s="10" t="inlineStr">
        <is>
          <t>Create a user account, assign the initial role and issue an invitation. Includes resending or revoking a pending invitation.</t>
        </is>
      </c>
      <c r="G10" s="10" t="inlineStr">
        <is>
          <t>Tạo tài khoản người dùng, gán vai trò ban đầu và gửi lời mời. Bao gồm gửi lại hoặc thu hồi lời mời đang chờ.</t>
        </is>
      </c>
      <c r="H10" s="10" t="inlineStr">
        <is>
          <t>CP-05 Create and manage customer users (P1); OPS-05 Customer and user administration (P1)</t>
        </is>
      </c>
      <c r="I10" s="16" t="n"/>
      <c r="J10" s="17" t="n"/>
      <c r="K10" s="38" t="n">
        <v>10</v>
      </c>
    </row>
    <row r="11" ht="64.5" customHeight="1">
      <c r="A11" s="11" t="inlineStr">
        <is>
          <t>UC-USR-005</t>
        </is>
      </c>
      <c r="B11" s="11" t="inlineStr">
        <is>
          <t>Assign Role to User</t>
        </is>
      </c>
      <c r="C11" s="11" t="inlineStr">
        <is>
          <t>Customer Admin, SGS Admin</t>
        </is>
      </c>
      <c r="D11" s="11" t="inlineStr">
        <is>
          <t>User Management</t>
        </is>
      </c>
      <c r="E11" s="10" t="inlineStr">
        <is>
          <t>Customer Portal &amp; SGS Portal</t>
        </is>
      </c>
      <c r="F11" s="10" t="inlineStr">
        <is>
          <t>Assign or change the predefined platform role held by a user. Customer Admin manages customer-side roles; SGS Admin manages SGS-side roles, including the SGS Consultant role.</t>
        </is>
      </c>
      <c r="G11" s="10" t="inlineStr">
        <is>
          <t>Gán hoặc thay đổi vai trò định sẵn của nền tảng cho một người dùng. Customer Admin quản lý các vai trò phía khách hàng; SGS Admin quản lý các vai trò phía SGS, gồm cả vai trò SGS Consultant.</t>
        </is>
      </c>
      <c r="H11" s="10" t="inlineStr">
        <is>
          <t>CP-05 Create and manage customer users (P1); OPS-05 Customer and user administration (P1); Q&amp;A #59a</t>
        </is>
      </c>
      <c r="I11" s="16" t="n"/>
      <c r="J11" s="16" t="n"/>
      <c r="K11" s="18" t="n">
        <v>8</v>
      </c>
    </row>
    <row r="12" ht="32.25" customHeight="1">
      <c r="A12" s="11" t="inlineStr">
        <is>
          <t>UC-USR-006</t>
        </is>
      </c>
      <c r="B12" s="11" t="inlineStr">
        <is>
          <t>Assign Scope Access to Customer User</t>
        </is>
      </c>
      <c r="C12" s="11" t="inlineStr">
        <is>
          <t>Customer Admin</t>
        </is>
      </c>
      <c r="D12" s="11" t="inlineStr">
        <is>
          <t>User Management</t>
        </is>
      </c>
      <c r="E12" s="10" t="inlineStr">
        <is>
          <t>Customer Portal</t>
        </is>
      </c>
      <c r="F12" s="10" t="inlineStr">
        <is>
          <t>Grant a Customer User access to specific product, system or organizational scopes.</t>
        </is>
      </c>
      <c r="G12" s="10" t="inlineStr">
        <is>
          <t>Cấp cho một Customer User quyền truy cập vào các scope cụ thể thuộc loại product, system hoặc organization.</t>
        </is>
      </c>
      <c r="H12" s="10" t="inlineStr">
        <is>
          <t>CP-05 Create and manage customer users (P1)</t>
        </is>
      </c>
      <c r="I12" s="16" t="n"/>
      <c r="J12" s="16" t="n"/>
      <c r="K12" s="18" t="n">
        <v>6</v>
      </c>
    </row>
    <row r="13" customFormat="1" s="30">
      <c r="A13" s="26" t="inlineStr">
        <is>
          <t>3. Role &amp; Permission Administration</t>
        </is>
      </c>
      <c r="B13" s="26" t="n"/>
      <c r="C13" s="26" t="n"/>
      <c r="D13" s="26" t="n"/>
      <c r="E13" s="27" t="n"/>
      <c r="F13" s="28" t="n"/>
      <c r="G13" s="28" t="n"/>
      <c r="H13" s="28" t="n"/>
      <c r="I13" s="29" t="n"/>
      <c r="J13" s="29" t="n"/>
      <c r="K13" s="34">
        <f>SUM(K14:K15)</f>
        <v/>
      </c>
    </row>
    <row r="14" ht="81" customHeight="1">
      <c r="A14" s="11" t="inlineStr">
        <is>
          <t>UC-ROL-001</t>
        </is>
      </c>
      <c r="B14" s="11" t="inlineStr">
        <is>
          <t>Enforce Role, Tenant and Affiliate Permissions</t>
        </is>
      </c>
      <c r="C14" s="11" t="inlineStr">
        <is>
          <t>System</t>
        </is>
      </c>
      <c r="D14" s="11" t="inlineStr">
        <is>
          <t>Role &amp; Permission</t>
        </is>
      </c>
      <c r="E14" s="10" t="inlineStr">
        <is>
          <t>System / Backend (No Portal)</t>
        </is>
      </c>
      <c r="F14" s="10" t="inlineStr">
        <is>
          <t>Enforce the predefined role and permission matrix on APIs and UI so customer users can access only their organization/scope data and SGS users, including SGS Consultants, can access only customers and functions permitted by their role and assignment boundary.</t>
        </is>
      </c>
      <c r="G14" s="10" t="inlineStr">
        <is>
          <t>Thực thi ma trận vai trò và quyền định sẵn trên API và UI, để người dùng phía khách hàng chỉ truy cập được dữ liệu của tổ chức/scope của mình, còn người dùng SGS (gồm cả SGS Consultant) chỉ truy cập được các khách hàng và chức năng mà vai trò và ranh giới phân công của họ cho phép.</t>
        </is>
      </c>
      <c r="H14" s="10" t="inlineStr">
        <is>
          <t>CP-03 User roles &amp; permissions management (P1); Q&amp;A #59a</t>
        </is>
      </c>
      <c r="I14" s="16" t="n"/>
      <c r="J14" s="17" t="n"/>
      <c r="K14" s="38" t="n">
        <v>36</v>
      </c>
    </row>
    <row r="15" ht="48.75" customHeight="1">
      <c r="A15" s="11" t="inlineStr">
        <is>
          <t>UC-ROL-002</t>
        </is>
      </c>
      <c r="B15" s="11" t="inlineStr">
        <is>
          <t>View Role Permission Matrix</t>
        </is>
      </c>
      <c r="C15" s="11" t="inlineStr">
        <is>
          <t>Customer Admin, SGS Admin</t>
        </is>
      </c>
      <c r="D15" s="11" t="inlineStr">
        <is>
          <t>Role &amp; Permission</t>
        </is>
      </c>
      <c r="E15" s="10" t="inlineStr">
        <is>
          <t>Customer Portal &amp; SGS Portal</t>
        </is>
      </c>
      <c r="F15" s="10" t="inlineStr">
        <is>
          <t>View the read/write/approve/share/admin permissions attached to a role, so administrators can choose the correct role when assigning users.</t>
        </is>
      </c>
      <c r="G15" s="10" t="inlineStr">
        <is>
          <t>Xem các quyền read/write/approve/share/admin gắn với một vai trò, để quản trị viên chọn đúng vai trò khi gán cho người dùng.</t>
        </is>
      </c>
      <c r="H15" s="10" t="inlineStr">
        <is>
          <t>PRESALE WBS GAP — CP-03 (P1) 'Define permission matrix per PRD' is a design artefact, not a viewable matrix</t>
        </is>
      </c>
      <c r="I15" s="16" t="n"/>
      <c r="J15" s="16" t="n"/>
      <c r="K15" s="18" t="n">
        <v>7</v>
      </c>
    </row>
    <row r="16" customFormat="1" s="30">
      <c r="A16" s="26" t="inlineStr">
        <is>
          <t>5. Notification</t>
        </is>
      </c>
      <c r="B16" s="26" t="n"/>
      <c r="C16" s="26" t="n"/>
      <c r="D16" s="26" t="n"/>
      <c r="E16" s="27" t="n"/>
      <c r="F16" s="28" t="n"/>
      <c r="G16" s="28" t="n"/>
      <c r="H16" s="28" t="n"/>
      <c r="I16" s="29" t="n"/>
      <c r="J16" s="29" t="n"/>
      <c r="K16" s="34">
        <f>SUM(K17:K18)</f>
        <v/>
      </c>
    </row>
    <row r="17" ht="81" customHeight="1">
      <c r="A17" s="11" t="inlineStr">
        <is>
          <t>UC-NTF-001</t>
        </is>
      </c>
      <c r="B17" s="11" t="inlineStr">
        <is>
          <t>Generate In-App Notification</t>
        </is>
      </c>
      <c r="C17" s="11" t="inlineStr">
        <is>
          <t>System</t>
        </is>
      </c>
      <c r="D17" s="11" t="inlineStr">
        <is>
          <t>Notification</t>
        </is>
      </c>
      <c r="E17" s="10" t="inlineStr">
        <is>
          <t>System / Backend (No Portal)</t>
        </is>
      </c>
      <c r="F17" s="10" t="inlineStr">
        <is>
          <t>Generate role-, tenant- and scope-aware in-app notifications for relevant MVP events such as review feedback, service-request status changes and certification milestones.</t>
        </is>
      </c>
      <c r="G17" s="10" t="inlineStr">
        <is>
          <t>Sinh thông báo trong ứng dụng (in-app) theo đúng vai trò, tenant và scope cho các sự kiện MVP liên quan, như phản hồi review, thay đổi trạng thái service request và các mốc chứng nhận.</t>
        </is>
      </c>
      <c r="H17" s="10" t="inlineStr">
        <is>
          <t>CP-44 In-app notifications (P1); CP-28 Review notifications (P1); CP-35 Service request status flow &amp; notification (P1); CP-42 Cert renewal/surveillance notifications (P1). Email notifications remain P2 under CP-45.</t>
        </is>
      </c>
      <c r="I17" s="16" t="n"/>
      <c r="J17" s="16" t="n"/>
      <c r="K17" s="18" t="n">
        <v>8</v>
      </c>
    </row>
    <row r="18" ht="32.25" customHeight="1">
      <c r="A18" s="11" t="inlineStr">
        <is>
          <t>UC-NTF-002</t>
        </is>
      </c>
      <c r="B18" s="11" t="inlineStr">
        <is>
          <t>View Notification Inbox and History</t>
        </is>
      </c>
      <c r="C18" s="11" t="inlineStr">
        <is>
          <t>All authenticated roles</t>
        </is>
      </c>
      <c r="D18" s="11" t="inlineStr">
        <is>
          <t>Notification</t>
        </is>
      </c>
      <c r="E18" s="10" t="inlineStr">
        <is>
          <t>Customer Portal &amp; SGS Portal</t>
        </is>
      </c>
      <c r="F18" s="10" t="inlineStr">
        <is>
          <t>View current and historical notifications addressed to the user.</t>
        </is>
      </c>
      <c r="G18" s="10" t="inlineStr">
        <is>
          <t>Xem các thông báo hiện tại và lịch sử thông báo gửi tới người dùng.</t>
        </is>
      </c>
      <c r="H18" s="10" t="inlineStr">
        <is>
          <t>CP-44</t>
        </is>
      </c>
      <c r="I18" s="16" t="n"/>
      <c r="J18" s="16" t="n"/>
      <c r="K18" s="18" t="n">
        <v>6</v>
      </c>
    </row>
    <row r="19" customFormat="1" s="30">
      <c r="A19" s="26" t="inlineStr">
        <is>
          <t>6. Audit Trail</t>
        </is>
      </c>
      <c r="B19" s="26" t="n"/>
      <c r="C19" s="26" t="n"/>
      <c r="D19" s="26" t="n"/>
      <c r="E19" s="27" t="n"/>
      <c r="F19" s="28" t="n"/>
      <c r="G19" s="28" t="n"/>
      <c r="H19" s="28" t="n"/>
      <c r="I19" s="29" t="n"/>
      <c r="J19" s="29" t="n"/>
      <c r="K19" s="34">
        <f>SUM(K20:K22)</f>
        <v/>
      </c>
    </row>
    <row r="20" ht="48.75" customHeight="1">
      <c r="A20" s="11" t="inlineStr">
        <is>
          <t>UC-AUD-001</t>
        </is>
      </c>
      <c r="B20" s="11" t="inlineStr">
        <is>
          <t>Record Audit Trail Entry</t>
        </is>
      </c>
      <c r="C20" s="11" t="inlineStr">
        <is>
          <t>System</t>
        </is>
      </c>
      <c r="D20" s="11" t="inlineStr">
        <is>
          <t>Audit Trail</t>
        </is>
      </c>
      <c r="E20" s="10" t="inlineStr">
        <is>
          <t>System / Backend (No Portal)</t>
        </is>
      </c>
      <c r="F20" s="10" t="inlineStr">
        <is>
          <t>Record append-only audit events for sensitive platform, review and service-request actions with actor, timestamp, action and affected object/context.</t>
        </is>
      </c>
      <c r="G20" s="10" t="inlineStr">
        <is>
          <t>Ghi các sự kiện audit theo kiểu chỉ ghi thêm (append-only) cho các thao tác nhạy cảm trên nền tảng, review và service request, gồm người thực hiện, thời điểm, hành động và đối tượng/ngữ cảnh bị tác động.</t>
        </is>
      </c>
      <c r="H20" s="10" t="inlineStr">
        <is>
          <t>CP-47 Audit log (platform) (P1); OPS-17 Review audit log (P1); OPS-19 Service request audit log (P1)</t>
        </is>
      </c>
      <c r="I20" s="16" t="n"/>
      <c r="J20" s="16" t="n"/>
      <c r="K20" s="18" t="n">
        <v>20</v>
      </c>
    </row>
    <row r="21" ht="48.75" customHeight="1">
      <c r="A21" s="11" t="inlineStr">
        <is>
          <t>UC-AUD-002</t>
        </is>
      </c>
      <c r="B21" s="11" t="inlineStr">
        <is>
          <t>Search and View Audit Trail</t>
        </is>
      </c>
      <c r="C21" s="11" t="inlineStr">
        <is>
          <t>SGS Admin</t>
        </is>
      </c>
      <c r="D21" s="11" t="inlineStr">
        <is>
          <t>Audit Trail</t>
        </is>
      </c>
      <c r="E21" s="10" t="inlineStr">
        <is>
          <t>SGS Portal</t>
        </is>
      </c>
      <c r="F21" s="10" t="inlineStr">
        <is>
          <t>Search platform audit events by actor, object, action, date range and tenant for support, compliance and investigation.</t>
        </is>
      </c>
      <c r="G21" s="10" t="inlineStr">
        <is>
          <t>Tìm kiếm sự kiện audit của nền tảng theo người thực hiện, đối tượng, hành động, khoảng ngày và tenant, phục vụ hỗ trợ, tuân thủ và điều tra.</t>
        </is>
      </c>
      <c r="H21" s="10" t="inlineStr">
        <is>
          <t>CP-47 Audit log (platform) (P1)</t>
        </is>
      </c>
      <c r="I21" s="16" t="n"/>
      <c r="J21" s="24" t="inlineStr">
        <is>
          <t>Phase 2?</t>
        </is>
      </c>
      <c r="K21" s="39" t="n"/>
    </row>
    <row r="22" ht="48.75" customHeight="1">
      <c r="A22" s="11" t="inlineStr">
        <is>
          <t>UC-AUD-004</t>
        </is>
      </c>
      <c r="B22" s="11" t="inlineStr">
        <is>
          <t>View Own Organization Activity Log</t>
        </is>
      </c>
      <c r="C22" s="11" t="inlineStr">
        <is>
          <t>Customer Admin</t>
        </is>
      </c>
      <c r="D22" s="11" t="inlineStr">
        <is>
          <t>Audit Trail</t>
        </is>
      </c>
      <c r="E22" s="10" t="inlineStr">
        <is>
          <t>Customer Portal</t>
        </is>
      </c>
      <c r="F22" s="10" t="inlineStr">
        <is>
          <t>Review activity performed on the organization's own evidence, certifications and users.</t>
        </is>
      </c>
      <c r="G22" s="10" t="inlineStr">
        <is>
          <t>Xem lại các hoạt động đã thực hiện trên bằng chứng, chứng nhận và người dùng của chính tổ chức mình.</t>
        </is>
      </c>
      <c r="H22" s="10" t="inlineStr">
        <is>
          <t>PRESALE WBS GAP — CP-47 (P1) is scoped to SGS Admin; no customer-facing activity log priced</t>
        </is>
      </c>
      <c r="I22" s="16" t="n"/>
      <c r="J22" s="16" t="n"/>
      <c r="K22" s="18" t="n">
        <v>12</v>
      </c>
    </row>
    <row r="23" customFormat="1" s="30">
      <c r="A23" s="26" t="inlineStr">
        <is>
          <t>7. Framework Content Management</t>
        </is>
      </c>
      <c r="B23" s="26" t="n"/>
      <c r="C23" s="26" t="n"/>
      <c r="D23" s="26" t="n"/>
      <c r="E23" s="27" t="n"/>
      <c r="F23" s="28" t="n"/>
      <c r="G23" s="28" t="n"/>
      <c r="H23" s="28" t="n"/>
      <c r="I23" s="29" t="n"/>
      <c r="J23" s="29" t="n"/>
      <c r="K23" s="34">
        <f>SUM(K24:K32)</f>
        <v/>
      </c>
    </row>
    <row r="24" ht="32.25" customHeight="1">
      <c r="A24" s="11" t="inlineStr">
        <is>
          <t>UC-FWK-001</t>
        </is>
      </c>
      <c r="B24" s="11" t="inlineStr">
        <is>
          <t>View Framework List</t>
        </is>
      </c>
      <c r="C24" s="11" t="inlineStr">
        <is>
          <t>SGS Admin</t>
        </is>
      </c>
      <c r="D24" s="11" t="inlineStr">
        <is>
          <t>Framework Content</t>
        </is>
      </c>
      <c r="E24" s="10" t="inlineStr">
        <is>
          <t>SGS Portal</t>
        </is>
      </c>
      <c r="F24" s="10" t="inlineStr">
        <is>
          <t>View the frameworks maintained on the platform and open their current framework content.</t>
        </is>
      </c>
      <c r="G24" s="10" t="inlineStr">
        <is>
          <t>Xem các framework được duy trì trên nền tảng và mở nội dung framework hiện hành.</t>
        </is>
      </c>
      <c r="H24" s="10" t="inlineStr">
        <is>
          <t>A5 Framework dynamic management (P1); OPS-07 Framework and cert configuration (P1)</t>
        </is>
      </c>
      <c r="I24" s="16" t="n"/>
      <c r="J24" s="16" t="n"/>
      <c r="K24" s="18" t="n">
        <v>6</v>
      </c>
    </row>
    <row r="25" ht="81" customHeight="1">
      <c r="A25" s="11" t="inlineStr">
        <is>
          <t>UC-FWK-002</t>
        </is>
      </c>
      <c r="B25" s="11" t="inlineStr">
        <is>
          <t>View Framework Details</t>
        </is>
      </c>
      <c r="C25" s="11" t="inlineStr">
        <is>
          <t>SGS Admin</t>
        </is>
      </c>
      <c r="D25" s="11" t="inlineStr">
        <is>
          <t>Framework Content</t>
        </is>
      </c>
      <c r="E25" s="10" t="inlineStr">
        <is>
          <t>SGS Portal</t>
        </is>
      </c>
      <c r="F25" s="10" t="inlineStr">
        <is>
          <t>View a framework's metadata, requirement/control structure and expected evidence types. Frameworks are managed independently in MVP; no ISO 27001/42001 cross-framework requirement/control equivalence mapping is included.</t>
        </is>
      </c>
      <c r="G25" s="10" t="inlineStr">
        <is>
          <t>Xem metadata, cấu trúc requirement/control và các loại bằng chứng mong đợi của một framework. Trong MVP các framework được quản lý độc lập; không có ánh xạ tương đương requirement/control giữa các framework ISO 27001/42001.</t>
        </is>
      </c>
      <c r="H25" s="10" t="inlineStr">
        <is>
          <t>A5 Framework dynamic management (P1); OPS-07 Framework and cert configuration (P1); Q&amp;A #18 cross-framework mapping OOS for MVP</t>
        </is>
      </c>
      <c r="I25" s="16" t="n"/>
      <c r="J25" s="16" t="n"/>
      <c r="K25" s="18" t="n">
        <v>8</v>
      </c>
    </row>
    <row r="26" ht="32.25" customFormat="1" customHeight="1" s="15">
      <c r="A26" s="13" t="inlineStr">
        <is>
          <t>UC-FWK-003</t>
        </is>
      </c>
      <c r="B26" s="13" t="inlineStr">
        <is>
          <t>Create Framework</t>
        </is>
      </c>
      <c r="C26" s="13" t="inlineStr">
        <is>
          <t>SGS Admin</t>
        </is>
      </c>
      <c r="D26" s="13" t="inlineStr">
        <is>
          <t>Framework Content</t>
        </is>
      </c>
      <c r="E26" s="14" t="inlineStr">
        <is>
          <t>SGS Portal</t>
        </is>
      </c>
      <c r="F26" s="14" t="inlineStr">
        <is>
          <t>Register a new framework with its metadata and structural definition.</t>
        </is>
      </c>
      <c r="G26" s="14" t="inlineStr">
        <is>
          <t>Đăng ký một framework mới cùng metadata và định nghĩa cấu trúc của nó.</t>
        </is>
      </c>
      <c r="H26" s="14" t="inlineStr">
        <is>
          <t>A5 Framework dynamic management (P1); OPS-07 Framework and cert configuration (P1)</t>
        </is>
      </c>
      <c r="I26" s="40" t="inlineStr">
        <is>
          <t>move back to P1</t>
        </is>
      </c>
      <c r="J26" s="25" t="inlineStr">
        <is>
          <t>ISO27001, ISO42001 and 
CMS should be initially supported</t>
        </is>
      </c>
      <c r="K26" s="37" t="n"/>
    </row>
    <row r="27" ht="32.25" customHeight="1">
      <c r="A27" s="11" t="inlineStr">
        <is>
          <t>UC-FWK-004</t>
        </is>
      </c>
      <c r="B27" s="11" t="inlineStr">
        <is>
          <t>Edit Framework Metadata</t>
        </is>
      </c>
      <c r="C27" s="11" t="inlineStr">
        <is>
          <t>SGS Admin</t>
        </is>
      </c>
      <c r="D27" s="11" t="inlineStr">
        <is>
          <t>Framework Content</t>
        </is>
      </c>
      <c r="E27" s="10" t="inlineStr">
        <is>
          <t>SGS Portal</t>
        </is>
      </c>
      <c r="F27" s="10" t="inlineStr">
        <is>
          <t>Modify framework-level metadata and structure supported by the framework data model.</t>
        </is>
      </c>
      <c r="G27" s="10" t="inlineStr">
        <is>
          <t>Sửa metadata cấp framework và cấu trúc mà mô hình dữ liệu framework hỗ trợ.</t>
        </is>
      </c>
      <c r="H27" s="10" t="inlineStr">
        <is>
          <t>A5 Framework dynamic management (P1); OPS-07 Framework and cert configuration (P1)</t>
        </is>
      </c>
      <c r="I27" s="16" t="n"/>
      <c r="J27" s="16" t="n"/>
      <c r="K27" s="18" t="n">
        <v>8</v>
      </c>
    </row>
    <row r="28" ht="32.25" customHeight="1">
      <c r="A28" s="11" t="inlineStr">
        <is>
          <t>UC-FWK-005</t>
        </is>
      </c>
      <c r="B28" s="11" t="inlineStr">
        <is>
          <t>Create Requirement or Control</t>
        </is>
      </c>
      <c r="C28" s="11" t="inlineStr">
        <is>
          <t>SGS Admin</t>
        </is>
      </c>
      <c r="D28" s="11" t="inlineStr">
        <is>
          <t>Framework Content</t>
        </is>
      </c>
      <c r="E28" s="10" t="inlineStr">
        <is>
          <t>SGS Portal</t>
        </is>
      </c>
      <c r="F28" s="10" t="inlineStr">
        <is>
          <t>Add a requirement or control to a framework, positioned within its clause hierarchy.</t>
        </is>
      </c>
      <c r="G28" s="10" t="inlineStr">
        <is>
          <t>Thêm một requirement hoặc control vào framework, đặt đúng vị trí trong cây phân cấp điều khoản (clause).</t>
        </is>
      </c>
      <c r="H28" s="10" t="inlineStr">
        <is>
          <t>A5 Framework dynamic management (P1); OPS-07 Framework and cert configuration (P1)</t>
        </is>
      </c>
      <c r="I28" s="16" t="n"/>
      <c r="J28" s="17" t="n"/>
      <c r="K28" s="38" t="n">
        <v>12</v>
      </c>
    </row>
    <row r="29" ht="48.75" customHeight="1">
      <c r="A29" s="11" t="inlineStr">
        <is>
          <t>UC-FWK-007</t>
        </is>
      </c>
      <c r="B29" s="11" t="inlineStr">
        <is>
          <t>Retire Requirement or Control</t>
        </is>
      </c>
      <c r="C29" s="11" t="inlineStr">
        <is>
          <t>SGS Admin</t>
        </is>
      </c>
      <c r="D29" s="11" t="inlineStr">
        <is>
          <t>Framework Content</t>
        </is>
      </c>
      <c r="E29" s="10" t="inlineStr">
        <is>
          <t>SGS Portal</t>
        </is>
      </c>
      <c r="F29" s="10" t="inlineStr">
        <is>
          <t>Withdraw a requirement or control from future use while preserving existing customer evidence mappings.</t>
        </is>
      </c>
      <c r="G29" s="10" t="inlineStr">
        <is>
          <t>Rút một requirement hoặc control khỏi việc sử dụng về sau, đồng thời giữ nguyên các ánh xạ bằng chứng hiện có của khách hàng.</t>
        </is>
      </c>
      <c r="H29" s="10" t="inlineStr">
        <is>
          <t>PRESALE WBS GAP — Retirement preserving existing evidence mappings not priced; nearest A5 CRUD (P1), A8 migration (P2)</t>
        </is>
      </c>
      <c r="I29" s="16" t="n"/>
      <c r="J29" s="16" t="n"/>
      <c r="K29" s="18" t="n">
        <v>8</v>
      </c>
    </row>
    <row r="30" ht="32.25" customHeight="1">
      <c r="A30" s="11" t="inlineStr">
        <is>
          <t>UC-FWK-008</t>
        </is>
      </c>
      <c r="B30" s="11" t="inlineStr">
        <is>
          <t>Define Expected Evidence Types for a Control</t>
        </is>
      </c>
      <c r="C30" s="11" t="inlineStr">
        <is>
          <t>SGS Admin</t>
        </is>
      </c>
      <c r="D30" s="11" t="inlineStr">
        <is>
          <t>Framework Content</t>
        </is>
      </c>
      <c r="E30" s="10" t="inlineStr">
        <is>
          <t>SGS Portal</t>
        </is>
      </c>
      <c r="F30" s="10" t="inlineStr">
        <is>
          <t>Define the evidence types expected for a control and flag each as mandatory or optional.</t>
        </is>
      </c>
      <c r="G30" s="10" t="inlineStr">
        <is>
          <t>Định nghĩa các loại bằng chứng mong đợi cho một control và đánh dấu từng loại là bắt buộc hay tuỳ chọn.</t>
        </is>
      </c>
      <c r="H30" s="10" t="inlineStr">
        <is>
          <t>A5 Framework dynamic management (P1)</t>
        </is>
      </c>
      <c r="I30" s="16" t="n"/>
      <c r="J30" s="33" t="inlineStr">
        <is>
          <t>What are the types of evidences? Files? 
This could be shifted to P2</t>
        </is>
      </c>
      <c r="K30" s="39" t="n">
        <v>8</v>
      </c>
    </row>
    <row r="31" ht="64.5" customHeight="1">
      <c r="A31" s="11" t="inlineStr">
        <is>
          <t>UC-FWK-009</t>
        </is>
      </c>
      <c r="B31" s="11" t="inlineStr">
        <is>
          <t>Import Framework Content</t>
        </is>
      </c>
      <c r="C31" s="11" t="inlineStr">
        <is>
          <t>SGS Admin</t>
        </is>
      </c>
      <c r="D31" s="11" t="inlineStr">
        <is>
          <t>Framework Content</t>
        </is>
      </c>
      <c r="E31" s="10" t="inlineStr">
        <is>
          <t>SGS Portal</t>
        </is>
      </c>
      <c r="F31" s="10" t="inlineStr">
        <is>
          <t>Import or update SGS-supplied framework content from XLSX, including ISO 27001/42001 requirements/controls and expected evidence types, with each framework maintained independently.</t>
        </is>
      </c>
      <c r="G31" s="10" t="inlineStr">
        <is>
          <t>Import hoặc cập nhật nội dung framework do SGS cung cấp từ file XLSX, gồm requirement/control của ISO 27001/42001 và các loại bằng chứng mong đợi; mỗi framework được duy trì độc lập.</t>
        </is>
      </c>
      <c r="H31" s="10" t="inlineStr">
        <is>
          <t>OPS-07 Framework and cert configuration (P1); Q&amp;A #16/#18 — XLSX input; ISO 27001/42001 cross-framework requirement/control mapping is OUT OF MVP</t>
        </is>
      </c>
      <c r="I31" s="16" t="n"/>
      <c r="J31" s="16" t="n"/>
      <c r="K31" s="18" t="n">
        <v>18</v>
      </c>
    </row>
    <row r="32" ht="48.75" customFormat="1" customHeight="1" s="15">
      <c r="A32" s="13" t="inlineStr">
        <is>
          <t>UC-FWK-013</t>
        </is>
      </c>
      <c r="B32" s="13" t="inlineStr">
        <is>
          <t>Activate Framework</t>
        </is>
      </c>
      <c r="C32" s="13" t="inlineStr">
        <is>
          <t>SGS Admin</t>
        </is>
      </c>
      <c r="D32" s="13" t="inlineStr">
        <is>
          <t>Framework Content</t>
        </is>
      </c>
      <c r="E32" s="14" t="inlineStr">
        <is>
          <t>SGS Portal</t>
        </is>
      </c>
      <c r="F32" s="14" t="inlineStr">
        <is>
          <t>Make a framework version available for discovery, journeys and evidence workspaces.</t>
        </is>
      </c>
      <c r="G32" s="14" t="inlineStr">
        <is>
          <t>Đưa một phiên bản framework vào trạng thái sẵn dùng cho discovery, journey và evidence workspace.</t>
        </is>
      </c>
      <c r="H32" s="14" t="inlineStr">
        <is>
          <t>PRESALE WBS GAP — Framework availability activation not priced; CP-12 (P1) is customer-side activation on a scope</t>
        </is>
      </c>
      <c r="I32" s="40" t="inlineStr">
        <is>
          <t>move back to P1</t>
        </is>
      </c>
      <c r="J32" s="25" t="inlineStr">
        <is>
          <t>The framework needs to be available in P1,
 otherwise evidence management is useless! Or did I understand it wrong?</t>
        </is>
      </c>
      <c r="K32" s="37" t="n"/>
    </row>
    <row r="33" customFormat="1" s="30">
      <c r="A33" s="26" t="inlineStr">
        <is>
          <t>11. Customer Account Administration</t>
        </is>
      </c>
      <c r="B33" s="26" t="n"/>
      <c r="C33" s="26" t="n"/>
      <c r="D33" s="26" t="n"/>
      <c r="E33" s="27" t="n"/>
      <c r="F33" s="28" t="n"/>
      <c r="G33" s="28" t="n"/>
      <c r="H33" s="28" t="n"/>
      <c r="I33" s="29" t="n"/>
      <c r="J33" s="29" t="n"/>
      <c r="K33" s="34">
        <f>SUM(K34:K40)</f>
        <v/>
      </c>
    </row>
    <row r="34" ht="48.75" customHeight="1">
      <c r="A34" s="11" t="inlineStr">
        <is>
          <t>UC-ACC-001</t>
        </is>
      </c>
      <c r="B34" s="11" t="inlineStr">
        <is>
          <t>View Customer Account List</t>
        </is>
      </c>
      <c r="C34" s="11" t="inlineStr">
        <is>
          <t>SGS Admin, SGS User, SGS Consultant</t>
        </is>
      </c>
      <c r="D34" s="11" t="inlineStr">
        <is>
          <t>Customer Account</t>
        </is>
      </c>
      <c r="E34" s="10" t="inlineStr">
        <is>
          <t>SGS Portal</t>
        </is>
      </c>
      <c r="F34" s="10" t="inlineStr">
        <is>
          <t>View customer accounts within the user's permitted SGS affiliate/assignment boundary. SGS Consultants see only customers assigned to them.</t>
        </is>
      </c>
      <c r="G34" s="10" t="inlineStr">
        <is>
          <t>Xem các tài khoản khách hàng trong ranh giới affiliate/phân công SGS được phép của người dùng. SGS Consultant chỉ thấy các khách hàng được giao cho mình.</t>
        </is>
      </c>
      <c r="H34" s="10" t="inlineStr">
        <is>
          <t>OPS-05 Customer and user administration (P1); Q&amp;A #59f</t>
        </is>
      </c>
      <c r="I34" s="16" t="n"/>
      <c r="J34" s="16" t="n"/>
      <c r="K34" s="18" t="n">
        <v>6</v>
      </c>
    </row>
    <row r="35" ht="48.75" customHeight="1">
      <c r="A35" s="11" t="inlineStr">
        <is>
          <t>UC-ACC-002</t>
        </is>
      </c>
      <c r="B35" s="11" t="inlineStr">
        <is>
          <t>View Customer Account Details</t>
        </is>
      </c>
      <c r="C35" s="11" t="inlineStr">
        <is>
          <t>SGS Admin, SGS User, SGS Consultant</t>
        </is>
      </c>
      <c r="D35" s="11" t="inlineStr">
        <is>
          <t>Customer Account</t>
        </is>
      </c>
      <c r="E35" s="10" t="inlineStr">
        <is>
          <t>SGS Portal</t>
        </is>
      </c>
      <c r="F35" s="10" t="inlineStr">
        <is>
          <t>View a customer account's core profile, affiliate linkage, users and scopes within the permitted boundary. SGS Consultants are limited to their assigned customer.</t>
        </is>
      </c>
      <c r="G35" s="10" t="inlineStr">
        <is>
          <t>Xem hồ sơ chính, liên kết affiliate, người dùng và các scope của một tài khoản khách hàng trong ranh giới được phép. SGS Consultant chỉ xem được khách hàng được giao.</t>
        </is>
      </c>
      <c r="H35" s="10" t="inlineStr">
        <is>
          <t>OPS-05 Customer and user administration (P1); Q&amp;A #59f</t>
        </is>
      </c>
      <c r="I35" s="16" t="n"/>
      <c r="J35" s="16" t="n"/>
      <c r="K35" s="18" t="n">
        <v>5</v>
      </c>
    </row>
    <row r="36" ht="32.25" customHeight="1">
      <c r="A36" s="11" t="inlineStr">
        <is>
          <t>UC-ACC-003</t>
        </is>
      </c>
      <c r="B36" s="11" t="inlineStr">
        <is>
          <t>Create Customer Account and Tenant</t>
        </is>
      </c>
      <c r="C36" s="11" t="inlineStr">
        <is>
          <t>SGS Admin</t>
        </is>
      </c>
      <c r="D36" s="11" t="inlineStr">
        <is>
          <t>Customer Account</t>
        </is>
      </c>
      <c r="E36" s="10" t="inlineStr">
        <is>
          <t>SGS Portal</t>
        </is>
      </c>
      <c r="F36" s="10" t="inlineStr">
        <is>
          <t>Create a customer account and its tenant as part of SGS customer onboarding.</t>
        </is>
      </c>
      <c r="G36" s="10" t="inlineStr">
        <is>
          <t>Tạo tài khoản khách hàng và tenant của nó trong quá trình SGS onboard khách hàng.</t>
        </is>
      </c>
      <c r="H36" s="10" t="inlineStr">
        <is>
          <t>OPS-04 SGS customer onboarding (P1)</t>
        </is>
      </c>
      <c r="I36" s="16" t="n"/>
      <c r="J36" s="16" t="n"/>
      <c r="K36" s="18" t="n">
        <v>10</v>
      </c>
    </row>
    <row r="37" ht="16.5" customHeight="1">
      <c r="A37" s="11" t="inlineStr">
        <is>
          <t>UC-ACC-004</t>
        </is>
      </c>
      <c r="B37" s="11" t="inlineStr">
        <is>
          <t>Edit Customer Account</t>
        </is>
      </c>
      <c r="C37" s="11" t="inlineStr">
        <is>
          <t>SGS Admin</t>
        </is>
      </c>
      <c r="D37" s="11" t="inlineStr">
        <is>
          <t>Customer Account</t>
        </is>
      </c>
      <c r="E37" s="10" t="inlineStr">
        <is>
          <t>SGS Portal</t>
        </is>
      </c>
      <c r="F37" s="10" t="inlineStr">
        <is>
          <t>Update SGS-maintained account attributes.</t>
        </is>
      </c>
      <c r="G37" s="10" t="inlineStr">
        <is>
          <t>Cập nhật các thuộc tính tài khoản do SGS quản lý.</t>
        </is>
      </c>
      <c r="H37" s="10" t="inlineStr">
        <is>
          <t>OPS-05 Customer and user administration (P1)</t>
        </is>
      </c>
      <c r="I37" s="16" t="n"/>
      <c r="J37" s="16" t="n"/>
      <c r="K37" s="18" t="n">
        <v>5</v>
      </c>
    </row>
    <row r="38" ht="48.75" customHeight="1">
      <c r="A38" s="11" t="inlineStr">
        <is>
          <t>UC-ACC-005</t>
        </is>
      </c>
      <c r="B38" s="11" t="inlineStr">
        <is>
          <t>Link Customer Account to SGS Affiliate</t>
        </is>
      </c>
      <c r="C38" s="11" t="inlineStr">
        <is>
          <t>SGS Admin</t>
        </is>
      </c>
      <c r="D38" s="11" t="inlineStr">
        <is>
          <t>Customer Account</t>
        </is>
      </c>
      <c r="E38" s="10" t="inlineStr">
        <is>
          <t>SGS Portal</t>
        </is>
      </c>
      <c r="F38" s="10" t="inlineStr">
        <is>
          <t>Assign the customer account to the owning SGS affiliate legal entity, which bounds all SGS-side visibility of that customer.</t>
        </is>
      </c>
      <c r="G38" s="10" t="inlineStr">
        <is>
          <t>Gán tài khoản khách hàng cho pháp nhân SGS affiliate sở hữu; việc này xác định ranh giới cho toàn bộ khả năng nhìn thấy khách hàng đó từ phía SGS.</t>
        </is>
      </c>
      <c r="H38" s="10" t="inlineStr">
        <is>
          <t>CP-03 User roles &amp; permissions management (P1); OPS-05 Customer and user administration (P1)</t>
        </is>
      </c>
      <c r="I38" s="16" t="n"/>
      <c r="J38" s="16" t="n"/>
      <c r="K38" s="18" t="n">
        <v>4</v>
      </c>
    </row>
    <row r="39" ht="81" customHeight="1">
      <c r="A39" s="11" t="inlineStr">
        <is>
          <t>UC-ACC-006</t>
        </is>
      </c>
      <c r="B39" s="11" t="inlineStr">
        <is>
          <t>Assign SGS Personnel to Customer Account</t>
        </is>
      </c>
      <c r="C39" s="11" t="inlineStr">
        <is>
          <t>SGS Admin</t>
        </is>
      </c>
      <c r="D39" s="11" t="inlineStr">
        <is>
          <t>Customer Account</t>
        </is>
      </c>
      <c r="E39" s="10" t="inlineStr">
        <is>
          <t>SGS Portal</t>
        </is>
      </c>
      <c r="F39" s="10" t="inlineStr">
        <is>
          <t>Assign SGS personnel/owners to a customer account within the permitted affiliate boundary. For the SGS Consultant role, allow at most one active Consultant to be assigned to a customer. Automated conflict-of-interest checking is not part of MVP.</t>
        </is>
      </c>
      <c r="G39" s="10" t="inlineStr">
        <is>
          <t>Phân công nhân sự/người phụ trách SGS cho một tài khoản khách hàng trong ranh giới affiliate được phép. Với vai trò SGS Consultant, mỗi khách hàng chỉ được có tối đa một Consultant đang hoạt động. Kiểm tra xung đột lợi ích tự động không thuộc MVP.</t>
        </is>
      </c>
      <c r="H39" s="10" t="inlineStr">
        <is>
          <t>OPS-04 SGS customer onboarding (P1); Q&amp;A #56 — automated COI controls removed from MVP; Q&amp;A #59f — one Consultant per customer, assigned by SGS</t>
        </is>
      </c>
      <c r="I39" s="16" t="n"/>
      <c r="J39" s="17" t="n"/>
      <c r="K39" s="38" t="n">
        <v>6</v>
      </c>
    </row>
    <row r="40" ht="32.25" customHeight="1">
      <c r="A40" s="11" t="inlineStr">
        <is>
          <t>UC-ACC-007</t>
        </is>
      </c>
      <c r="B40" s="11" t="inlineStr">
        <is>
          <t>Invite Initial Customer Admin</t>
        </is>
      </c>
      <c r="C40" s="11" t="inlineStr">
        <is>
          <t>SGS Admin</t>
        </is>
      </c>
      <c r="D40" s="11" t="inlineStr">
        <is>
          <t>Customer Account</t>
        </is>
      </c>
      <c r="E40" s="10" t="inlineStr">
        <is>
          <t>SGS Portal</t>
        </is>
      </c>
      <c r="F40" s="10" t="inlineStr">
        <is>
          <t>Create and invite the first Customer Admin for a newly onboarded tenant.</t>
        </is>
      </c>
      <c r="G40" s="10" t="inlineStr">
        <is>
          <t>Tạo và mời Customer Admin đầu tiên cho một tenant vừa được onboard.</t>
        </is>
      </c>
      <c r="H40" s="10" t="inlineStr">
        <is>
          <t>OPS-04 SGS customer onboarding (P1); Q&amp;A #7</t>
        </is>
      </c>
      <c r="I40" s="16" t="n"/>
      <c r="J40" s="16" t="n"/>
      <c r="K40" s="18" t="n">
        <v>4</v>
      </c>
    </row>
    <row r="41" customFormat="1" s="30">
      <c r="A41" s="26" t="inlineStr">
        <is>
          <t>13. Scope Management</t>
        </is>
      </c>
      <c r="B41" s="26" t="n"/>
      <c r="C41" s="26" t="n"/>
      <c r="D41" s="26" t="n"/>
      <c r="E41" s="27" t="n"/>
      <c r="F41" s="28" t="n"/>
      <c r="G41" s="28" t="n"/>
      <c r="H41" s="28" t="n"/>
      <c r="I41" s="29" t="n"/>
      <c r="J41" s="29" t="n"/>
      <c r="K41" s="34">
        <f>SUM(K42:K47)</f>
        <v/>
      </c>
    </row>
    <row r="42" ht="48.75" customFormat="1" customHeight="1" s="15">
      <c r="A42" s="13" t="inlineStr">
        <is>
          <t>UC-SCP-001</t>
        </is>
      </c>
      <c r="B42" s="13" t="inlineStr">
        <is>
          <t>View Scope List</t>
        </is>
      </c>
      <c r="C42" s="13" t="inlineStr">
        <is>
          <t>Customer Admin, Customer User (+ SGS User, SGS Trainer/Assessor, SGS Auditor/Certification, SGS Consultant — assigned, read-only)</t>
        </is>
      </c>
      <c r="D42" s="13" t="inlineStr">
        <is>
          <t>Scope Management</t>
        </is>
      </c>
      <c r="E42" s="14" t="inlineStr">
        <is>
          <t>Customer Portal &amp; SGS Portal</t>
        </is>
      </c>
      <c r="F42" s="14" t="inlineStr">
        <is>
          <t>View the product, system and organizational scopes registered by the organization within the permitted customer/assignment boundary.</t>
        </is>
      </c>
      <c r="G42" s="14" t="inlineStr">
        <is>
          <t>Xem các scope loại product, system và organization mà tổ chức đã đăng ký, trong ranh giới khách hàng/phân công được phép.</t>
        </is>
      </c>
      <c r="H42" s="14" t="inlineStr">
        <is>
          <t>CP-06 Manage product/system/org scopes (P1);</t>
        </is>
      </c>
      <c r="I42" s="17" t="n"/>
      <c r="J42" s="17" t="n"/>
      <c r="K42" s="38" t="n">
        <v>6</v>
      </c>
    </row>
    <row r="43" ht="48.75" customFormat="1" customHeight="1" s="15">
      <c r="A43" s="13" t="inlineStr">
        <is>
          <t>UC-SCP-002</t>
        </is>
      </c>
      <c r="B43" s="13" t="inlineStr">
        <is>
          <t>View Scope Details</t>
        </is>
      </c>
      <c r="C43" s="13" t="inlineStr">
        <is>
          <t>Customer Admin, Customer User (+ assigned SGS roles including SGS Consultant, read-only)</t>
        </is>
      </c>
      <c r="D43" s="13" t="inlineStr">
        <is>
          <t>Scope Management</t>
        </is>
      </c>
      <c r="E43" s="14" t="inlineStr">
        <is>
          <t>Customer Portal &amp; SGS Portal</t>
        </is>
      </c>
      <c r="F43" s="14" t="inlineStr">
        <is>
          <t>View a scope's definition, obligation level, linked frameworks, workspaces, certifications and related context within the permitted assignment boundary.</t>
        </is>
      </c>
      <c r="G43" s="14" t="inlineStr">
        <is>
          <t>Xem định nghĩa, mức nghĩa vụ (obligation level), các framework đã gắn, workspace, chứng nhận và ngữ cảnh liên quan của một scope, trong ranh giới phân công được phép.</t>
        </is>
      </c>
      <c r="H43" s="14" t="inlineStr">
        <is>
          <t xml:space="preserve">CP-06 Manage product/system/org scopes (P1); </t>
        </is>
      </c>
      <c r="I43" s="17" t="n"/>
      <c r="J43" s="17" t="n"/>
      <c r="K43" s="38" t="n">
        <v>5</v>
      </c>
    </row>
    <row r="44" ht="48.75" customFormat="1" customHeight="1" s="15">
      <c r="A44" s="13" t="inlineStr">
        <is>
          <t>UC-SCP-003</t>
        </is>
      </c>
      <c r="B44" s="13" t="inlineStr">
        <is>
          <t>Create Scope</t>
        </is>
      </c>
      <c r="C44" s="13" t="inlineStr">
        <is>
          <t>Customer Admin</t>
        </is>
      </c>
      <c r="D44" s="13" t="inlineStr">
        <is>
          <t>Scope Management</t>
        </is>
      </c>
      <c r="E44" s="14" t="inlineStr">
        <is>
          <t>Customer Portal</t>
        </is>
      </c>
      <c r="F44" s="14" t="inlineStr">
        <is>
          <t>Create an organization, product, or system scope. Organization and product are independent peer scopes; a system may belong to both an organization and a product.</t>
        </is>
      </c>
      <c r="G44" s="14" t="inlineStr">
        <is>
          <t>Tạo một scope loại organization, product hoặc system. Organization và product là các scope ngang hàng, độc lập; một system có thể thuộc cả một organization lẫn một product.</t>
        </is>
      </c>
      <c r="H44" s="14" t="inlineStr">
        <is>
          <t>CP-06 Manage product/system/org scopes (P1); Q&amp;A #8</t>
        </is>
      </c>
      <c r="I44" s="17" t="n"/>
      <c r="J44" s="17" t="n"/>
      <c r="K44" s="38" t="n">
        <v>7</v>
      </c>
    </row>
    <row r="45" ht="32.25" customFormat="1" customHeight="1" s="15">
      <c r="A45" s="13" t="inlineStr">
        <is>
          <t>UC-SCP-004</t>
        </is>
      </c>
      <c r="B45" s="13" t="inlineStr">
        <is>
          <t>Edit Scope</t>
        </is>
      </c>
      <c r="C45" s="13" t="inlineStr">
        <is>
          <t>Customer Admin</t>
        </is>
      </c>
      <c r="D45" s="13" t="inlineStr">
        <is>
          <t>Scope Management</t>
        </is>
      </c>
      <c r="E45" s="14" t="inlineStr">
        <is>
          <t>Customer Portal</t>
        </is>
      </c>
      <c r="F45" s="14" t="inlineStr">
        <is>
          <t>Update an existing organization, product or system scope.</t>
        </is>
      </c>
      <c r="G45" s="14" t="inlineStr">
        <is>
          <t>Cập nhật một scope organization, product hoặc system đã có.</t>
        </is>
      </c>
      <c r="H45" s="14" t="inlineStr">
        <is>
          <t>CP-06 Manage product/system/org scopes (P1); Q&amp;A #8</t>
        </is>
      </c>
      <c r="I45" s="17" t="n"/>
      <c r="J45" s="17" t="n"/>
      <c r="K45" s="38" t="n">
        <v>5</v>
      </c>
    </row>
    <row r="46" ht="48.75" customFormat="1" customHeight="1" s="15">
      <c r="A46" s="13" t="inlineStr">
        <is>
          <t>UC-SCP-006</t>
        </is>
      </c>
      <c r="B46" s="13" t="inlineStr">
        <is>
          <t>Link Framework to Scope</t>
        </is>
      </c>
      <c r="C46" s="13" t="inlineStr">
        <is>
          <t>Customer Admin</t>
        </is>
      </c>
      <c r="D46" s="13" t="inlineStr">
        <is>
          <t>Scope Management</t>
        </is>
      </c>
      <c r="E46" s="14" t="inlineStr">
        <is>
          <t>Customer Portal</t>
        </is>
      </c>
      <c r="F46" s="14" t="inlineStr">
        <is>
          <t>Attach one or more frameworks to a scope, establishing the obligations to be prepared for and triggering workspace creation.</t>
        </is>
      </c>
      <c r="G46" s="14" t="inlineStr">
        <is>
          <t>Gắn một hoặc nhiều framework vào một scope, qua đó xác lập các nghĩa vụ cần chuẩn bị và kích hoạt việc tạo workspace.</t>
        </is>
      </c>
      <c r="H46" s="14" t="inlineStr">
        <is>
          <t>CP-06 Manage product/system/org scopes (P1)</t>
        </is>
      </c>
      <c r="I46" s="17" t="n"/>
      <c r="J46" s="17" t="n"/>
      <c r="K46" s="38" t="n">
        <v>5</v>
      </c>
    </row>
    <row r="47" ht="32.25" customFormat="1" customHeight="1" s="15">
      <c r="A47" s="13" t="inlineStr">
        <is>
          <t>UC-SCP-007</t>
        </is>
      </c>
      <c r="B47" s="13" t="inlineStr">
        <is>
          <t>Unlink Framework from Scope</t>
        </is>
      </c>
      <c r="C47" s="13" t="inlineStr">
        <is>
          <t>Customer Admin</t>
        </is>
      </c>
      <c r="D47" s="13" t="inlineStr">
        <is>
          <t>Scope Management</t>
        </is>
      </c>
      <c r="E47" s="14" t="inlineStr">
        <is>
          <t>Customer Portal</t>
        </is>
      </c>
      <c r="F47" s="14" t="inlineStr">
        <is>
          <t>Withdraw a framework from a scope's active journey while retaining its evidence and review history.</t>
        </is>
      </c>
      <c r="G47" s="14" t="inlineStr">
        <is>
          <t>Gỡ một framework khỏi journey đang hoạt động của scope, đồng thời giữ lại bằng chứng và lịch sử review của nó.</t>
        </is>
      </c>
      <c r="H47" s="14" t="inlineStr">
        <is>
          <t>PRESALE WBS GAP — Unlinking a framework from a scope is not priced</t>
        </is>
      </c>
      <c r="I47" s="17" t="n"/>
      <c r="J47" s="17" t="n"/>
      <c r="K47" s="38" t="n">
        <v>8</v>
      </c>
    </row>
    <row r="48" customFormat="1" s="30">
      <c r="A48" s="26" t="inlineStr">
        <is>
          <t>14. Customer Cockpit</t>
        </is>
      </c>
      <c r="B48" s="26" t="n"/>
      <c r="C48" s="26" t="n"/>
      <c r="D48" s="26" t="n"/>
      <c r="E48" s="27" t="n"/>
      <c r="F48" s="28" t="n"/>
      <c r="G48" s="28" t="n"/>
      <c r="H48" s="28" t="n"/>
      <c r="I48" s="29" t="n"/>
      <c r="J48" s="29" t="n"/>
      <c r="K48" s="34">
        <f>SUM(K49:K50)</f>
        <v/>
      </c>
    </row>
    <row r="49" ht="64.5" customFormat="1" customHeight="1" s="15">
      <c r="A49" s="13" t="inlineStr">
        <is>
          <t>UC-CKP-001</t>
        </is>
      </c>
      <c r="B49" s="13" t="inlineStr">
        <is>
          <t>View Customer Cockpit</t>
        </is>
      </c>
      <c r="C49" s="13" t="inlineStr">
        <is>
          <t>Customer Admin, Customer User, Customer Viewer</t>
        </is>
      </c>
      <c r="D49" s="13" t="inlineStr">
        <is>
          <t>Customer Cockpit</t>
        </is>
      </c>
      <c r="E49" s="14" t="inlineStr">
        <is>
          <t>Customer Portal</t>
        </is>
      </c>
      <c r="F49" s="14" t="inlineStr">
        <is>
          <t>View the customer landing dashboard with Digital Trust status, pending actions and a recommended next step across the journey (discovery → training → advisory/readiness assessment → certification).</t>
        </is>
      </c>
      <c r="G49" s="14" t="inlineStr">
        <is>
          <t>Xem dashboard trang chủ của khách hàng với trạng thái Digital Trust, các việc đang chờ xử lý và bước tiếp theo được đề xuất xuyên suốt journey (discovery → training → advisory/readiness assessment → certification).</t>
        </is>
      </c>
      <c r="H49" s="14" t="inlineStr">
        <is>
          <t>CP-07 Customer landing dashboard (P1); Q&amp;A #10</t>
        </is>
      </c>
      <c r="I49" s="17" t="inlineStr">
        <is>
          <t>Phase 1</t>
        </is>
      </c>
      <c r="J49" s="23" t="inlineStr">
        <is>
          <t>Suggest to be included in P1</t>
        </is>
      </c>
      <c r="K49" s="37" t="n"/>
    </row>
    <row r="50" ht="32.25" customFormat="1" customHeight="1" s="15">
      <c r="A50" s="13" t="inlineStr">
        <is>
          <t>UC-CKP-002</t>
        </is>
      </c>
      <c r="B50" s="13" t="inlineStr">
        <is>
          <t>View Portfolio Matrix</t>
        </is>
      </c>
      <c r="C50" s="13" t="inlineStr">
        <is>
          <t>Customer Admin, Customer User, Customer Viewer</t>
        </is>
      </c>
      <c r="D50" s="13" t="inlineStr">
        <is>
          <t>Customer Cockpit</t>
        </is>
      </c>
      <c r="E50" s="14" t="inlineStr">
        <is>
          <t>Customer Portal</t>
        </is>
      </c>
      <c r="F50" s="14" t="inlineStr">
        <is>
          <t>View scopes against journey stages and frameworks in a matrix to compare progress across the portfolio.</t>
        </is>
      </c>
      <c r="G50" s="14" t="inlineStr">
        <is>
          <t>Xem các scope đối chiếu với các giai đoạn journey và framework dưới dạng ma trận, để so sánh tiến độ trên toàn danh mục.</t>
        </is>
      </c>
      <c r="H50" s="14" t="inlineStr">
        <is>
          <t>CP-08 Journey Matrix view (P1)</t>
        </is>
      </c>
      <c r="I50" s="17" t="inlineStr">
        <is>
          <t>Phase 1</t>
        </is>
      </c>
      <c r="J50" s="23" t="inlineStr">
        <is>
          <t>Suggest to be included in P1</t>
        </is>
      </c>
      <c r="K50" s="37" t="n"/>
    </row>
    <row r="51" customFormat="1" s="30">
      <c r="A51" s="26" t="inlineStr">
        <is>
          <t>17. Evidence Management</t>
        </is>
      </c>
      <c r="B51" s="26" t="n"/>
      <c r="C51" s="26" t="n"/>
      <c r="D51" s="26" t="n"/>
      <c r="E51" s="27" t="n"/>
      <c r="F51" s="28" t="n"/>
      <c r="G51" s="28" t="n"/>
      <c r="H51" s="28" t="n"/>
      <c r="I51" s="29" t="n"/>
      <c r="J51" s="29" t="n"/>
      <c r="K51" s="34">
        <f>SUM(K52:K68)</f>
        <v/>
      </c>
    </row>
    <row r="52" ht="64.5" customFormat="1" customHeight="1" s="15">
      <c r="A52" s="13" t="inlineStr">
        <is>
          <t>UC-EVD-001</t>
        </is>
      </c>
      <c r="B52" s="13" t="inlineStr">
        <is>
          <t>Create Evidence Workspace</t>
        </is>
      </c>
      <c r="C52" s="13" t="inlineStr">
        <is>
          <t>Customer Admin, Customer User</t>
        </is>
      </c>
      <c r="D52" s="13" t="inlineStr">
        <is>
          <t>Evidence Management</t>
        </is>
      </c>
      <c r="E52" s="14" t="inlineStr">
        <is>
          <t>Customer Portal</t>
        </is>
      </c>
      <c r="F52" s="14" t="inlineStr">
        <is>
          <t>Manually create an Evidence Workspace for a selected scope and framework for the current certification cycle. Only one workspace may exist for the same scope+framework within a certification cycle.</t>
        </is>
      </c>
      <c r="G52" s="14" t="inlineStr">
        <is>
          <t>Tạo thủ công một Evidence Workspace cho scope và framework đã chọn, cho chu kỳ chứng nhận hiện tại. Trong một chu kỳ chứng nhận chỉ được tồn tại một workspace cho cùng cặp scope + framework.</t>
        </is>
      </c>
      <c r="H52" s="14" t="inlineStr">
        <is>
          <t>CP-13 Evidence workspace creation (P1); Q&amp;A #19</t>
        </is>
      </c>
      <c r="I52" s="17" t="n"/>
      <c r="J52" s="17" t="n"/>
      <c r="K52" s="38" t="n">
        <v>8</v>
      </c>
    </row>
    <row r="53" ht="64.5" customFormat="1" customHeight="1" s="15">
      <c r="A53" s="13" t="inlineStr">
        <is>
          <t>UC-EVD-002</t>
        </is>
      </c>
      <c r="B53" s="13" t="inlineStr">
        <is>
          <t>Create Evidence Workspace on Framework Activation</t>
        </is>
      </c>
      <c r="C53" s="13" t="inlineStr">
        <is>
          <t>System</t>
        </is>
      </c>
      <c r="D53" s="13" t="inlineStr">
        <is>
          <t>Evidence Management</t>
        </is>
      </c>
      <c r="E53" s="14" t="inlineStr">
        <is>
          <t>System / Backend (No Portal)</t>
        </is>
      </c>
      <c r="F53" s="14" t="inlineStr">
        <is>
          <t>Automatically create the Evidence Workspace when a framework is activated on a scope, preventing duplicates for the same scope+framework in the current certification cycle. A new certification cycle creates a new workspace.</t>
        </is>
      </c>
      <c r="G53" s="14" t="inlineStr">
        <is>
          <t>Tự động tạo Evidence Workspace khi một framework được kích hoạt trên một scope, không tạo trùng cho cùng cặp scope + framework trong chu kỳ chứng nhận hiện tại. Chu kỳ chứng nhận mới sẽ tạo workspace mới.</t>
        </is>
      </c>
      <c r="H53" s="14" t="inlineStr">
        <is>
          <t>CP-13 Evidence workspace creation (P1); Q&amp;A #19</t>
        </is>
      </c>
      <c r="I53" s="17" t="n"/>
      <c r="J53" s="17" t="n"/>
      <c r="K53" s="38" t="n">
        <v>5</v>
      </c>
    </row>
    <row r="54" ht="48.75" customFormat="1" customHeight="1" s="15">
      <c r="A54" s="13" t="inlineStr">
        <is>
          <t>UC-EVD-003</t>
        </is>
      </c>
      <c r="B54" s="13" t="inlineStr">
        <is>
          <t>View Evidence Workspace List</t>
        </is>
      </c>
      <c r="C54" s="13" t="inlineStr">
        <is>
          <t>Customer Admin, Customer User</t>
        </is>
      </c>
      <c r="D54" s="13" t="inlineStr">
        <is>
          <t>Evidence Management</t>
        </is>
      </c>
      <c r="E54" s="14" t="inlineStr">
        <is>
          <t>Customer Portal</t>
        </is>
      </c>
      <c r="F54" s="14" t="inlineStr">
        <is>
          <t>View and open the organization's Evidence Workspaces with their scope, framework and certification-cycle context.</t>
        </is>
      </c>
      <c r="G54" s="14" t="inlineStr">
        <is>
          <t>Xem và mở các Evidence Workspace của tổ chức kèm ngữ cảnh scope, framework và chu kỳ chứng nhận.</t>
        </is>
      </c>
      <c r="H54" s="14" t="inlineStr">
        <is>
          <t>CP-13 Evidence workspace creation (P1); Q&amp;A #19</t>
        </is>
      </c>
      <c r="I54" s="17" t="n"/>
      <c r="J54" s="17" t="n"/>
      <c r="K54" s="38" t="n">
        <v>5</v>
      </c>
    </row>
    <row r="55" ht="48.75" customFormat="1" customHeight="1" s="15">
      <c r="A55" s="13" t="inlineStr">
        <is>
          <t>UC-EVD-004</t>
        </is>
      </c>
      <c r="B55" s="13" t="inlineStr">
        <is>
          <t>Browse Controls Catalogue</t>
        </is>
      </c>
      <c r="C55" s="13" t="inlineStr">
        <is>
          <t>Customer Admin, Customer User</t>
        </is>
      </c>
      <c r="D55" s="13" t="inlineStr">
        <is>
          <t>Evidence Management</t>
        </is>
      </c>
      <c r="E55" s="14" t="inlineStr">
        <is>
          <t>Customer Portal</t>
        </is>
      </c>
      <c r="F55" s="14" t="inlineStr">
        <is>
          <t>Browse the requirements and controls of the workspace's framework with their current evidence and declaration state.</t>
        </is>
      </c>
      <c r="G55" s="14" t="inlineStr">
        <is>
          <t>Duyệt các requirement và control thuộc framework của workspace, kèm trạng thái bằng chứng và khai báo hiện tại.</t>
        </is>
      </c>
      <c r="H55" s="14" t="inlineStr">
        <is>
          <t>CP-14 Controls catalogue browser (P1)</t>
        </is>
      </c>
      <c r="I55" s="17" t="n"/>
      <c r="J55" s="17" t="n"/>
      <c r="K55" s="38" t="n">
        <v>9</v>
      </c>
    </row>
    <row r="56" ht="32.25" customFormat="1" customHeight="1" s="15">
      <c r="A56" s="13" t="inlineStr">
        <is>
          <t>UC-EVD-005</t>
        </is>
      </c>
      <c r="B56" s="13" t="inlineStr">
        <is>
          <t>View Control Details</t>
        </is>
      </c>
      <c r="C56" s="13" t="inlineStr">
        <is>
          <t>Customer Admin, Customer User</t>
        </is>
      </c>
      <c r="D56" s="13" t="inlineStr">
        <is>
          <t>Evidence Management</t>
        </is>
      </c>
      <c r="E56" s="14" t="inlineStr">
        <is>
          <t>Customer Portal</t>
        </is>
      </c>
      <c r="F56" s="14" t="inlineStr">
        <is>
          <t>View a control's text, expected evidence types, mapped evidence, maturity declaration and gap flags.</t>
        </is>
      </c>
      <c r="G56" s="14" t="inlineStr">
        <is>
          <t>Xem nội dung của một control, các loại bằng chứng mong đợi, bằng chứng đã ánh xạ, khai báo maturity và các cờ gap.</t>
        </is>
      </c>
      <c r="H56" s="14" t="inlineStr">
        <is>
          <t>CP-14 Controls catalogue browser (P1)</t>
        </is>
      </c>
      <c r="I56" s="17" t="n"/>
      <c r="J56" s="17" t="n"/>
      <c r="K56" s="38" t="n">
        <v>6</v>
      </c>
    </row>
    <row r="57" ht="32.25" customFormat="1" customHeight="1" s="15">
      <c r="A57" s="13" t="inlineStr">
        <is>
          <t>UC-EVD-006</t>
        </is>
      </c>
      <c r="B57" s="13" t="inlineStr">
        <is>
          <t>View Evidence Library</t>
        </is>
      </c>
      <c r="C57" s="13" t="inlineStr">
        <is>
          <t>Customer Admin, Customer User</t>
        </is>
      </c>
      <c r="D57" s="13" t="inlineStr">
        <is>
          <t>Evidence Management</t>
        </is>
      </c>
      <c r="E57" s="14" t="inlineStr">
        <is>
          <t>Customer Portal</t>
        </is>
      </c>
      <c r="F57" s="14" t="inlineStr">
        <is>
          <t>View all evidence held by the organization with metadata, mapping summary and status.</t>
        </is>
      </c>
      <c r="G57" s="14" t="inlineStr">
        <is>
          <t>Xem toàn bộ bằng chứng tổ chức đang lưu, kèm metadata, tóm tắt ánh xạ và trạng thái.</t>
        </is>
      </c>
      <c r="H57" s="14" t="inlineStr">
        <is>
          <t>CP-15 Evidence library (P1)</t>
        </is>
      </c>
      <c r="I57" s="17" t="n"/>
      <c r="J57" s="17" t="n"/>
      <c r="K57" s="38" t="n">
        <v>8</v>
      </c>
    </row>
    <row r="58" ht="32.25" customFormat="1" customHeight="1" s="15">
      <c r="A58" s="13" t="inlineStr">
        <is>
          <t>UC-EVD-007</t>
        </is>
      </c>
      <c r="B58" s="13" t="inlineStr">
        <is>
          <t>View Evidence Details</t>
        </is>
      </c>
      <c r="C58" s="13" t="inlineStr">
        <is>
          <t>Customer Admin, Customer User</t>
        </is>
      </c>
      <c r="D58" s="13" t="inlineStr">
        <is>
          <t>Evidence Management</t>
        </is>
      </c>
      <c r="E58" s="14" t="inlineStr">
        <is>
          <t>Customer Portal</t>
        </is>
      </c>
      <c r="F58" s="14" t="inlineStr">
        <is>
          <t>View an evidence item's stored file, metadata, mapped controls, freshness and current evidence/review status.</t>
        </is>
      </c>
      <c r="G58" s="14" t="inlineStr">
        <is>
          <t>Xem file đã lưu, metadata, các control đã ánh xạ, độ mới (freshness) và trạng thái bằng chứng/review hiện tại của một bằng chứng.</t>
        </is>
      </c>
      <c r="H58" s="14" t="inlineStr">
        <is>
          <t>CP-15 Evidence library (P1)</t>
        </is>
      </c>
      <c r="I58" s="17" t="n"/>
      <c r="J58" s="17" t="n"/>
      <c r="K58" s="38" t="n">
        <v>6</v>
      </c>
    </row>
    <row r="59" ht="64.5" customFormat="1" customHeight="1" s="15">
      <c r="A59" s="13" t="inlineStr">
        <is>
          <t>UC-EVD-008</t>
        </is>
      </c>
      <c r="B59" s="13" t="inlineStr">
        <is>
          <t>Upload Evidence</t>
        </is>
      </c>
      <c r="C59" s="13" t="inlineStr">
        <is>
          <t>Customer Admin, Customer User</t>
        </is>
      </c>
      <c r="D59" s="13" t="inlineStr">
        <is>
          <t>Evidence Management</t>
        </is>
      </c>
      <c r="E59" s="14" t="inlineStr">
        <is>
          <t>Customer Portal</t>
        </is>
      </c>
      <c r="F59" s="14" t="inlineStr">
        <is>
          <t>Upload an evidence file against one or more controls and capture supported metadata such as title, owner, description, version, dates, expiry/review date and comments.</t>
        </is>
      </c>
      <c r="G59" s="14" t="inlineStr">
        <is>
          <t>Tải lên một file bằng chứng cho một hoặc nhiều control và ghi nhận các metadata được hỗ trợ như tiêu đề, người phụ trách, mô tả, phiên bản, các ngày, ngày hết hạn/ngày rà soát và ghi chú.</t>
        </is>
      </c>
      <c r="H59" s="14" t="inlineStr">
        <is>
          <t>CP-16 Upload evidence to control (P1); CP-49 Secure evidence document storage (P1); Q&amp;A #54</t>
        </is>
      </c>
      <c r="I59" s="17" t="n"/>
      <c r="J59" s="17" t="n"/>
      <c r="K59" s="38" t="n">
        <v>16</v>
      </c>
    </row>
    <row r="60" ht="32.25" customFormat="1" customHeight="1" s="15">
      <c r="A60" s="13" t="inlineStr">
        <is>
          <t>UC-EVD-010</t>
        </is>
      </c>
      <c r="B60" s="13" t="inlineStr">
        <is>
          <t>Edit Evidence Metadata</t>
        </is>
      </c>
      <c r="C60" s="13" t="inlineStr">
        <is>
          <t>Customer Admin, Customer User</t>
        </is>
      </c>
      <c r="D60" s="13" t="inlineStr">
        <is>
          <t>Evidence Management</t>
        </is>
      </c>
      <c r="E60" s="14" t="inlineStr">
        <is>
          <t>Customer Portal</t>
        </is>
      </c>
      <c r="F60" s="14" t="inlineStr">
        <is>
          <t>Update an evidence item's metadata, including the dates that drive freshness.</t>
        </is>
      </c>
      <c r="G60" s="14" t="inlineStr">
        <is>
          <t>Cập nhật metadata của một bằng chứng, gồm cả các ngày quyết định độ mới (freshness).</t>
        </is>
      </c>
      <c r="H60" s="14" t="inlineStr">
        <is>
          <t>CP-16 Upload evidence to control (P1); CP-15 Evidence library (P1)</t>
        </is>
      </c>
      <c r="I60" s="17" t="n"/>
      <c r="J60" s="17" t="n"/>
      <c r="K60" s="38" t="n">
        <v>5</v>
      </c>
    </row>
    <row r="61" ht="96.75" customFormat="1" customHeight="1" s="15">
      <c r="A61" s="13" t="inlineStr">
        <is>
          <t>UC-EVD-011</t>
        </is>
      </c>
      <c r="B61" s="13" t="inlineStr">
        <is>
          <t>Map Evidence to Requirements or Controls</t>
        </is>
      </c>
      <c r="C61" s="13" t="inlineStr">
        <is>
          <t>Customer Admin, Customer User</t>
        </is>
      </c>
      <c r="D61" s="13" t="inlineStr">
        <is>
          <t>Evidence Management</t>
        </is>
      </c>
      <c r="E61" s="14" t="inlineStr">
        <is>
          <t>Customer Portal</t>
        </is>
      </c>
      <c r="F61" s="14" t="inlineStr">
        <is>
          <t>Manually map an existing evidence item to one or more requirements/controls selected by the user, including across frameworks where permitted. Updating shared evidence metadata/expiry applies to all linked controls; no automatic cross-framework control-equivalence mapping is included.</t>
        </is>
      </c>
      <c r="G61" s="14" t="inlineStr">
        <is>
          <t>Ánh xạ thủ công một bằng chứng đã có với một hoặc nhiều requirement/control do người dùng chọn, kể cả giữa các framework nếu được phép. Cập nhật metadata/ngày hết hạn của bằng chứng dùng chung sẽ áp dụng cho mọi control đã liên kết; không có ánh xạ tương đương control tự động giữa các framework.</t>
        </is>
      </c>
      <c r="H61" s="14" t="inlineStr">
        <is>
          <t>CP-16 Upload evidence to control (P1); Q&amp;A #20; Q&amp;A #18 — automatic ISO 27001/42001 cross-framework mapping is OUT OF MVP</t>
        </is>
      </c>
      <c r="I61" s="17" t="n"/>
      <c r="J61" s="17" t="n"/>
      <c r="K61" s="38" t="n">
        <v>8</v>
      </c>
    </row>
    <row r="62" ht="32.25" customFormat="1" customHeight="1" s="15">
      <c r="A62" s="13" t="inlineStr">
        <is>
          <t>UC-EVD-012</t>
        </is>
      </c>
      <c r="B62" s="13" t="inlineStr">
        <is>
          <t>Remove Evidence Mapping</t>
        </is>
      </c>
      <c r="C62" s="13" t="inlineStr">
        <is>
          <t>Customer Admin, Customer User</t>
        </is>
      </c>
      <c r="D62" s="13" t="inlineStr">
        <is>
          <t>Evidence Management</t>
        </is>
      </c>
      <c r="E62" s="14" t="inlineStr">
        <is>
          <t>Customer Portal</t>
        </is>
      </c>
      <c r="F62" s="14" t="inlineStr">
        <is>
          <t>Remove a mapping between an evidence item and a control, with the completeness impact reflected.</t>
        </is>
      </c>
      <c r="G62" s="14" t="inlineStr">
        <is>
          <t>Gỡ ánh xạ giữa một bằng chứng và một control; ảnh hưởng tới độ đầy đủ (completeness) được phản ánh lại.</t>
        </is>
      </c>
      <c r="H62" s="14" t="inlineStr">
        <is>
          <t>CP-15 Evidence library (P1); CP-16 Upload evidence to control (P1)</t>
        </is>
      </c>
      <c r="I62" s="17" t="n"/>
      <c r="J62" s="17" t="n"/>
      <c r="K62" s="38" t="n">
        <v>4</v>
      </c>
    </row>
    <row r="63" ht="64.5" customFormat="1" customHeight="1" s="15">
      <c r="A63" s="13" t="inlineStr">
        <is>
          <t>UC-EVD-013</t>
        </is>
      </c>
      <c r="B63" s="13" t="inlineStr">
        <is>
          <t>Replace Evidence with New Version</t>
        </is>
      </c>
      <c r="C63" s="13" t="inlineStr">
        <is>
          <t>Customer Admin, Customer User</t>
        </is>
      </c>
      <c r="D63" s="13" t="inlineStr">
        <is>
          <t>Evidence Management</t>
        </is>
      </c>
      <c r="E63" s="14" t="inlineStr">
        <is>
          <t>Customer Portal</t>
        </is>
      </c>
      <c r="F63" s="14" t="inlineStr">
        <is>
          <t>Supersede an evidence item with an updated version, retaining the prior version and its review history.</t>
        </is>
      </c>
      <c r="G63" s="14" t="inlineStr">
        <is>
          <t>Thay một bằng chứng bằng phiên bản cập nhật, giữ lại phiên bản trước và lịch sử review của nó.</t>
        </is>
      </c>
      <c r="H63" s="14" t="inlineStr">
        <is>
          <t>PRESALE WBS GAP — Evidence version supersession is not priced; CP-16 (P1) has 'version' as a metadata field only, not a version chain</t>
        </is>
      </c>
      <c r="I63" s="17" t="n"/>
      <c r="J63" s="17" t="n"/>
      <c r="K63" s="38" t="n">
        <v>12</v>
      </c>
    </row>
    <row r="64" ht="64.5" customFormat="1" customHeight="1" s="15">
      <c r="A64" s="13" t="inlineStr">
        <is>
          <t>UC-EVD-014</t>
        </is>
      </c>
      <c r="B64" s="13" t="inlineStr">
        <is>
          <t>Update Evidence Workflow Status</t>
        </is>
      </c>
      <c r="C64" s="13" t="inlineStr">
        <is>
          <t>Customer Admin, Customer User</t>
        </is>
      </c>
      <c r="D64" s="13" t="inlineStr">
        <is>
          <t>Evidence Management</t>
        </is>
      </c>
      <c r="E64" s="14" t="inlineStr">
        <is>
          <t>Customer Portal</t>
        </is>
      </c>
      <c r="F64" s="14" t="inlineStr">
        <is>
          <t>Update evidence workflow status using the MVP status model defined in WBS (draft, submitted for review, reviewed, rejected, accepted or archived), subject to permitted transitions.</t>
        </is>
      </c>
      <c r="G64" s="14" t="inlineStr">
        <is>
          <t>Cập nhật trạng thái workflow của bằng chứng theo mô hình trạng thái MVP định nghĩa trong WBS (draft, submitted for review, reviewed, rejected, accepted hoặc archived), tuân theo các chuyển trạng thái được phép.</t>
        </is>
      </c>
      <c r="H64" s="14" t="inlineStr">
        <is>
          <t>CP-20 Evidence workflow statuses (P1)</t>
        </is>
      </c>
      <c r="I64" s="17" t="n"/>
      <c r="J64" s="17" t="n"/>
      <c r="K64" s="38" t="n">
        <v>8</v>
      </c>
    </row>
    <row r="65" ht="48.75" customFormat="1" customHeight="1" s="15">
      <c r="A65" s="13" t="inlineStr">
        <is>
          <t>UC-EVD-015</t>
        </is>
      </c>
      <c r="B65" s="13" t="inlineStr">
        <is>
          <t>Delete Evidence</t>
        </is>
      </c>
      <c r="C65" s="13" t="inlineStr">
        <is>
          <t>Customer Admin</t>
        </is>
      </c>
      <c r="D65" s="13" t="inlineStr">
        <is>
          <t>Evidence Management</t>
        </is>
      </c>
      <c r="E65" s="14" t="inlineStr">
        <is>
          <t>Customer Portal</t>
        </is>
      </c>
      <c r="F65" s="14" t="inlineStr">
        <is>
          <t>Permanently delete an evidence record and its stored file where retention policy permits, with the deletion recorded in the audit trail.</t>
        </is>
      </c>
      <c r="G65" s="14" t="inlineStr">
        <is>
          <t>Xoá vĩnh viễn một bản ghi bằng chứng và file đã lưu khi chính sách lưu giữ (retention policy) cho phép; việc xoá được ghi vào audit trail.</t>
        </is>
      </c>
      <c r="H65" s="14" t="inlineStr">
        <is>
          <t>CP-15 Evidence library (P1); CP-47 Audit log (P1)</t>
        </is>
      </c>
      <c r="I65" s="17" t="n"/>
      <c r="J65" s="17" t="n"/>
      <c r="K65" s="38" t="n">
        <v>5</v>
      </c>
    </row>
    <row r="66" ht="48.75" customFormat="1" customHeight="1" s="15">
      <c r="A66" s="13" t="inlineStr">
        <is>
          <t>UC-EVD-016</t>
        </is>
      </c>
      <c r="B66" s="13" t="inlineStr">
        <is>
          <t>Assign Requirement Owner</t>
        </is>
      </c>
      <c r="C66" s="13" t="inlineStr">
        <is>
          <t>Customer Admin</t>
        </is>
      </c>
      <c r="D66" s="13" t="inlineStr">
        <is>
          <t>Evidence Management</t>
        </is>
      </c>
      <c r="E66" s="14" t="inlineStr">
        <is>
          <t>Customer Portal</t>
        </is>
      </c>
      <c r="F66" s="14" t="inlineStr">
        <is>
          <t>Assign an internal owner to a requirement or control so preparation work and pending actions can be attributed.</t>
        </is>
      </c>
      <c r="G66" s="14" t="inlineStr">
        <is>
          <t>Gán một người phụ trách nội bộ cho một requirement hoặc control, để xác định được ai chịu trách nhiệm việc chuẩn bị và các việc đang chờ.</t>
        </is>
      </c>
      <c r="H66" s="14" t="inlineStr">
        <is>
          <t>Implicit — CP-17 'owner/comments' on the maturity declaration (P1) — requirement-level owner assignment not named</t>
        </is>
      </c>
      <c r="I66" s="17" t="n"/>
      <c r="J66" s="17" t="n"/>
      <c r="K66" s="38" t="n">
        <v>5</v>
      </c>
    </row>
    <row r="67" ht="48.75" customFormat="1" customHeight="1" s="15">
      <c r="A67" s="13" t="inlineStr">
        <is>
          <t>UC-EVD-019</t>
        </is>
      </c>
      <c r="B67" s="13" t="inlineStr">
        <is>
          <t>Archive Evidence Workspace</t>
        </is>
      </c>
      <c r="C67" s="13" t="inlineStr">
        <is>
          <t>Customer Admin</t>
        </is>
      </c>
      <c r="D67" s="13" t="inlineStr">
        <is>
          <t>Evidence Management</t>
        </is>
      </c>
      <c r="E67" s="14" t="inlineStr">
        <is>
          <t>Customer Portal</t>
        </is>
      </c>
      <c r="F67" s="14" t="inlineStr">
        <is>
          <t>Close a workspace that is no longer active while retaining its evidence, declarations and review history.</t>
        </is>
      </c>
      <c r="G67" s="14" t="inlineStr">
        <is>
          <t>Đóng một workspace không còn hoạt động, đồng thời giữ lại bằng chứng, các khai báo và lịch sử review của nó.</t>
        </is>
      </c>
      <c r="H67" s="14" t="inlineStr">
        <is>
          <t>PRESALE WBS GAP — Workspace closure not priced; CP-20 (P2) archives evidence and packages, not workspaces</t>
        </is>
      </c>
      <c r="I67" s="17" t="n"/>
      <c r="J67" s="17" t="n"/>
      <c r="K67" s="38" t="n">
        <v>5</v>
      </c>
    </row>
    <row r="68" ht="96.75" customFormat="1" customHeight="1" s="15">
      <c r="A68" s="13" t="inlineStr">
        <is>
          <t>UC-EVD-020</t>
        </is>
      </c>
      <c r="B68" s="13" t="inlineStr">
        <is>
          <t>Access Assigned Customer Evidence</t>
        </is>
      </c>
      <c r="C68" s="13" t="inlineStr">
        <is>
          <t>SGS Trainer/Assessor, SGS Auditor/Certification, SGS Consultant</t>
        </is>
      </c>
      <c r="D68" s="13" t="inlineStr">
        <is>
          <t>Evidence Management</t>
        </is>
      </c>
      <c r="E68" s="14" t="inlineStr">
        <is>
          <t>SGS Portal</t>
        </is>
      </c>
      <c r="F68" s="14" t="inlineStr">
        <is>
          <t>Access the assigned customer's evidence and related requirement/control context within the permitted service/customer assignment. SGS Consultant access supports Implementation Support and Gap Analysis; customer evidence remains maintained through the existing Evidence Management workflow.</t>
        </is>
      </c>
      <c r="G68" s="14" t="inlineStr">
        <is>
          <t>Truy cập bằng chứng của khách hàng được giao và ngữ cảnh requirement/control liên quan, trong phạm vi phân công dịch vụ/khách hàng được phép. Quyền truy cập của SGS Consultant phục vụ Implementation Support và Gap Analysis; bằng chứng của khách hàng vẫn được duy trì qua workflow Evidence Management hiện có.</t>
        </is>
      </c>
      <c r="H68" s="14" t="inlineStr">
        <is>
          <t>OPS-09 SGS scoped evidence access (P1); Q&amp;A #56 — automated COI controls removed from MVP</t>
        </is>
      </c>
      <c r="I68" s="17" t="n"/>
      <c r="J68" s="17" t="n"/>
      <c r="K68" s="38" t="n">
        <v>20</v>
      </c>
    </row>
    <row r="69" customFormat="1" s="30">
      <c r="A69" s="26" t="inlineStr">
        <is>
          <t>20. Training &amp; SGS Academy</t>
        </is>
      </c>
      <c r="B69" s="26" t="n"/>
      <c r="C69" s="26" t="n"/>
      <c r="D69" s="26" t="n"/>
      <c r="E69" s="27" t="n"/>
      <c r="F69" s="28" t="n"/>
      <c r="G69" s="28" t="n"/>
      <c r="H69" s="28" t="n"/>
      <c r="I69" s="29" t="n"/>
      <c r="J69" s="29" t="n"/>
      <c r="K69" s="34">
        <f>SUM(K70:K72)</f>
        <v/>
      </c>
    </row>
    <row r="70" ht="48.75" customFormat="1" customHeight="1" s="15">
      <c r="A70" s="13" t="inlineStr">
        <is>
          <t>UC-TRN-001</t>
        </is>
      </c>
      <c r="B70" s="13" t="inlineStr">
        <is>
          <t>Browse SGS Academy Course Catalogue</t>
        </is>
      </c>
      <c r="C70" s="13" t="inlineStr">
        <is>
          <t>Customer Admin, Customer User</t>
        </is>
      </c>
      <c r="D70" s="13" t="inlineStr">
        <is>
          <t>SGS Academy</t>
        </is>
      </c>
      <c r="E70" s="14" t="inlineStr">
        <is>
          <t>Customer Portal</t>
        </is>
      </c>
      <c r="F70" s="14" t="inlineStr">
        <is>
          <t>Browse the Academy catalogue retrieved from the Academy API, with a graceful message where the catalogue is unavailable.</t>
        </is>
      </c>
      <c r="G70" s="14" t="inlineStr">
        <is>
          <t>Duyệt danh mục khoá học Academy lấy từ Academy API; hiển thị thông báo phù hợp khi danh mục không khả dụng.</t>
        </is>
      </c>
      <c r="H70" s="14" t="inlineStr">
        <is>
          <t>CP-29 Course catalogue integration (P1)</t>
        </is>
      </c>
      <c r="I70" s="17" t="n"/>
      <c r="J70" s="17" t="n"/>
      <c r="K70" s="38" t="n">
        <v>20</v>
      </c>
    </row>
    <row r="71" ht="32.25" customFormat="1" customHeight="1" s="15">
      <c r="A71" s="13" t="inlineStr">
        <is>
          <t>UC-TRN-002</t>
        </is>
      </c>
      <c r="B71" s="13" t="inlineStr">
        <is>
          <t>View Course Details</t>
        </is>
      </c>
      <c r="C71" s="13" t="inlineStr">
        <is>
          <t>Customer Admin, Customer User</t>
        </is>
      </c>
      <c r="D71" s="13" t="inlineStr">
        <is>
          <t>SGS Academy</t>
        </is>
      </c>
      <c r="E71" s="14" t="inlineStr">
        <is>
          <t>Customer Portal</t>
        </is>
      </c>
      <c r="F71" s="14" t="inlineStr">
        <is>
          <t>View the course information returned by SGS Academy for a selected catalogue item.</t>
        </is>
      </c>
      <c r="G71" s="14" t="inlineStr">
        <is>
          <t>Xem thông tin khoá học do SGS Academy trả về cho một mục đã chọn trong danh mục.</t>
        </is>
      </c>
      <c r="H71" s="14" t="inlineStr">
        <is>
          <t>CP-29 Course catalogue integration (P1)</t>
        </is>
      </c>
      <c r="I71" s="17" t="n"/>
      <c r="J71" s="17" t="n"/>
      <c r="K71" s="38" t="n">
        <v>6</v>
      </c>
    </row>
    <row r="72" ht="48.75" customFormat="1" customHeight="1" s="15">
      <c r="A72" s="13" t="inlineStr">
        <is>
          <t xml:space="preserve">UC-TRN-009 </t>
        </is>
      </c>
      <c r="B72" s="13" t="inlineStr">
        <is>
          <t>Browse On-site Training Catalogue</t>
        </is>
      </c>
      <c r="C72" s="13" t="inlineStr">
        <is>
          <t>Customer Admin, Customer User</t>
        </is>
      </c>
      <c r="D72" s="13" t="inlineStr">
        <is>
          <t>Training &amp; SGS Academy</t>
        </is>
      </c>
      <c r="E72" s="14" t="inlineStr">
        <is>
          <t>Customer Portal</t>
        </is>
      </c>
      <c r="F72" s="14" t="inlineStr">
        <is>
          <t>View the catalogue of available on-site training services in DTP. DTP only displays/tracks on-site training for MVP and does not manage the actual training delivery.</t>
        </is>
      </c>
      <c r="G72" s="14" t="inlineStr">
        <is>
          <t>Xem danh mục các dịch vụ đào tạo on-site hiện có trong DTP. Trong MVP, DTP chỉ hiển thị/theo dõi đào tạo on-site và không quản lý việc tổ chức đào tạo thực tế.</t>
        </is>
      </c>
      <c r="H72" s="14" t="n"/>
      <c r="I72" s="17" t="n"/>
      <c r="J72" s="17" t="n"/>
      <c r="K72" s="38" t="n">
        <v>14</v>
      </c>
    </row>
    <row r="73" customFormat="1" s="30">
      <c r="A73" s="26" t="inlineStr">
        <is>
          <t>21. Service Request</t>
        </is>
      </c>
      <c r="B73" s="26" t="n"/>
      <c r="C73" s="26" t="n"/>
      <c r="D73" s="26" t="n"/>
      <c r="E73" s="27" t="n"/>
      <c r="F73" s="28" t="n"/>
      <c r="G73" s="28" t="n"/>
      <c r="H73" s="28" t="n"/>
      <c r="I73" s="29" t="n"/>
      <c r="J73" s="29" t="n"/>
      <c r="K73" s="34">
        <f>SUM(K74:K83)</f>
        <v/>
      </c>
    </row>
    <row r="74" ht="129" customFormat="1" customHeight="1" s="15">
      <c r="A74" s="13" t="inlineStr">
        <is>
          <t>UC-SRQ-001</t>
        </is>
      </c>
      <c r="B74" s="13" t="inlineStr">
        <is>
          <t>Submit Service Request</t>
        </is>
      </c>
      <c r="C74" s="13" t="inlineStr">
        <is>
          <t>Customer Admin, Customer User</t>
        </is>
      </c>
      <c r="D74" s="13" t="inlineStr">
        <is>
          <t>Service Request</t>
        </is>
      </c>
      <c r="E74" s="14" t="inlineStr">
        <is>
          <t>Customer Portal</t>
        </is>
      </c>
      <c r="F74" s="14" t="inlineStr">
        <is>
          <t>Submit a service request for an existing WBS-supported category, linked to the relevant scope/framework/certification. When launched from Evidence Management, pre-fill the scope, framework and evidence context. A Service Request may also be initiated from a Marketplace Consultant profile, in which case the customer-selected Consultant is carried into the Service Request.</t>
        </is>
      </c>
      <c r="G74" s="14" t="inlineStr">
        <is>
          <t>Gửi một service request thuộc danh mục hiện có được WBS hỗ trợ, liên kết với scope/framework/chứng nhận liên quan. Khi mở từ Evidence Management, tự điền sẵn ngữ cảnh scope, framework và bằng chứng. Service Request cũng có thể được khởi tạo từ hồ sơ Consultant trên Marketplace; khi đó Consultant do khách hàng chọn được mang theo vào Service Request.</t>
        </is>
      </c>
      <c r="H74" s="14" t="inlineStr">
        <is>
          <t>CP-34 Submit service request (P1); A4 Service request trigger from Evidence Management (P1); Q&amp;A #33 category detail still to confirm</t>
        </is>
      </c>
      <c r="I74" s="17" t="n"/>
      <c r="J74" s="17" t="n"/>
      <c r="K74" s="38" t="n">
        <v>18</v>
      </c>
    </row>
    <row r="75" ht="81" customFormat="1" customHeight="1" s="15">
      <c r="A75" s="13" t="inlineStr">
        <is>
          <t>UC-SRQ-002</t>
        </is>
      </c>
      <c r="B75" s="13" t="inlineStr">
        <is>
          <t>View Service Request List</t>
        </is>
      </c>
      <c r="C75" s="13" t="inlineStr">
        <is>
          <t>Customer Admin, Customer User, SGS User, SGS Trainer/Assessor, SGS Auditor/Certification, SGS Consultant</t>
        </is>
      </c>
      <c r="D75" s="13" t="inlineStr">
        <is>
          <t>Service Request</t>
        </is>
      </c>
      <c r="E75" s="14" t="inlineStr">
        <is>
          <t>Customer Portal &amp; SGS Portal</t>
        </is>
      </c>
      <c r="F75" s="14" t="inlineStr">
        <is>
          <t>View service requests within the permitted boundary: own organization for customers, assigned customers for SGS users, assigned activities for auditors, and consulting-related requests for the SGS Consultant's assigned customer.</t>
        </is>
      </c>
      <c r="G75" s="14" t="inlineStr">
        <is>
          <t>Xem các service request trong ranh giới được phép: tổ chức của mình đối với khách hàng, các khách hàng được giao đối với người dùng SGS, các hoạt động được giao đối với auditor, và các yêu cầu liên quan đến tư vấn của khách hàng được giao đối với SGS Consultant.</t>
        </is>
      </c>
      <c r="H75" s="14" t="inlineStr">
        <is>
          <t>CP-36 Service request listing (P1); OPS-18 Service request operations (P1)</t>
        </is>
      </c>
      <c r="I75" s="17" t="n"/>
      <c r="J75" s="17" t="n"/>
      <c r="K75" s="38" t="n">
        <v>8</v>
      </c>
    </row>
    <row r="76" ht="81" customFormat="1" customHeight="1" s="15">
      <c r="A76" s="13" t="inlineStr">
        <is>
          <t>UC-SRQ-003</t>
        </is>
      </c>
      <c r="B76" s="13" t="inlineStr">
        <is>
          <t>View Service Request Details</t>
        </is>
      </c>
      <c r="C76" s="13" t="inlineStr">
        <is>
          <t>Customer Admin, Customer User, SGS User, SGS Trainer/Assessor, SGS Auditor/Certification, SGS Consultant</t>
        </is>
      </c>
      <c r="D76" s="13" t="inlineStr">
        <is>
          <t>Service Request</t>
        </is>
      </c>
      <c r="E76" s="14" t="inlineStr">
        <is>
          <t>Customer Portal &amp; SGS Portal</t>
        </is>
      </c>
      <c r="F76" s="14" t="inlineStr">
        <is>
          <t>View a request's full content, linked scope and evidence, status history and customer-visible correspondence within the permitted boundary. SGS Consultants are limited to consulting-related requests for their assigned customer.</t>
        </is>
      </c>
      <c r="G76" s="14" t="inlineStr">
        <is>
          <t>Xem toàn bộ nội dung của một yêu cầu, scope và bằng chứng liên kết, lịch sử trạng thái và các trao đổi mà khách hàng nhìn thấy được, trong ranh giới được phép. SGS Consultant chỉ xem được các yêu cầu liên quan đến tư vấn của khách hàng được giao.</t>
        </is>
      </c>
      <c r="H76" s="14" t="inlineStr">
        <is>
          <t>CP-35 Service request status flow &amp; notification (P1); Q&amp;A #59f/#59g</t>
        </is>
      </c>
      <c r="I76" s="17" t="n"/>
      <c r="J76" s="17" t="n"/>
      <c r="K76" s="38" t="n">
        <v>8</v>
      </c>
    </row>
    <row r="77" ht="48.75" customFormat="1" customHeight="1" s="15">
      <c r="A77" s="13" t="inlineStr">
        <is>
          <t>UC-SRQ-004</t>
        </is>
      </c>
      <c r="B77" s="13" t="inlineStr">
        <is>
          <t>Cancel Service Request</t>
        </is>
      </c>
      <c r="C77" s="13" t="inlineStr">
        <is>
          <t>Customer Admin, Customer User</t>
        </is>
      </c>
      <c r="D77" s="13" t="inlineStr">
        <is>
          <t>Service Request</t>
        </is>
      </c>
      <c r="E77" s="14" t="inlineStr">
        <is>
          <t>Customer Portal</t>
        </is>
      </c>
      <c r="F77" s="14" t="inlineStr">
        <is>
          <t>Withdraw a submitted request that is no longer required, before SGS delivery begins.</t>
        </is>
      </c>
      <c r="G77" s="14" t="inlineStr">
        <is>
          <t>Rút lại một yêu cầu đã gửi mà không còn cần nữa, trước khi SGS bắt đầu thực hiện dịch vụ.</t>
        </is>
      </c>
      <c r="H77" s="14" t="inlineStr">
        <is>
          <t>PRESALE WBS GAP — Customer cancellation/withdrawal is not priced and is absent from the CP-35 status set (P1)</t>
        </is>
      </c>
      <c r="I77" s="17" t="n"/>
      <c r="J77" s="17" t="n"/>
      <c r="K77" s="38" t="n">
        <v>4</v>
      </c>
    </row>
    <row r="78" ht="32.25" customFormat="1" customHeight="1" s="15">
      <c r="A78" s="13" t="inlineStr">
        <is>
          <t>UC-SRQ-005</t>
        </is>
      </c>
      <c r="B78" s="13" t="inlineStr">
        <is>
          <t>Triage Service Request</t>
        </is>
      </c>
      <c r="C78" s="13" t="inlineStr">
        <is>
          <t>SGS User</t>
        </is>
      </c>
      <c r="D78" s="13" t="inlineStr">
        <is>
          <t>Service Request</t>
        </is>
      </c>
      <c r="E78" s="14" t="inlineStr">
        <is>
          <t>SGS Portal</t>
        </is>
      </c>
      <c r="F78" s="14" t="inlineStr">
        <is>
          <t>Assess a submitted request and accept or reject it with a reason.</t>
        </is>
      </c>
      <c r="G78" s="14" t="inlineStr">
        <is>
          <t>Đánh giá một yêu cầu đã gửi và chấp nhận (accept) hoặc từ chối (reject) kèm lý do.</t>
        </is>
      </c>
      <c r="H78" s="14" t="inlineStr">
        <is>
          <t>OPS-18 Service request operations (P1); CP-35 Service request status flow &amp; notification (P1)</t>
        </is>
      </c>
      <c r="I78" s="17" t="n"/>
      <c r="J78" s="17" t="n"/>
      <c r="K78" s="38" t="n">
        <v>8</v>
      </c>
    </row>
    <row r="79" ht="80.25" customFormat="1" customHeight="1" s="15">
      <c r="A79" s="13" t="inlineStr">
        <is>
          <t>UC-SRQ-006</t>
        </is>
      </c>
      <c r="B79" s="13" t="inlineStr">
        <is>
          <t>Assign Service Request</t>
        </is>
      </c>
      <c r="C79" s="13" t="inlineStr">
        <is>
          <t>SGS Admin, SGS User</t>
        </is>
      </c>
      <c r="D79" s="13" t="inlineStr">
        <is>
          <t>Service Request</t>
        </is>
      </c>
      <c r="E79" s="14" t="inlineStr">
        <is>
          <t>SGS Portal</t>
        </is>
      </c>
      <c r="F79" s="14" t="inlineStr">
        <is>
          <t>Assign or confirm the responsible SGS personnel for a Service Request based on the service type. For consulting requests, SGS may assign/confirm a Consultant, taking into account a customer-selected Consultant where applicable. For audit-related requests, SGS may assign the appropriate Auditor/Certification personnel.</t>
        </is>
      </c>
      <c r="G79" s="14" t="inlineStr">
        <is>
          <t>Phân công hoặc xác nhận nhân sự SGS chịu trách nhiệm cho một Service Request dựa trên loại dịch vụ. Với yêu cầu tư vấn, SGS có thể phân công/xác nhận một Consultant, có tính đến Consultant do khách hàng chọn nếu có. Với yêu cầu liên quan đến audit, SGS có thể phân công nhân sự Auditor/Certification phù hợp.</t>
        </is>
      </c>
      <c r="H79" s="14" t="inlineStr">
        <is>
          <t>OPS-18 Service request operations (P1); Q&amp;A #34 manual assignment; Q&amp;A #56 automated COI enforcement removed from MVP; Q&amp;A #59f Consultant assignment by SGS</t>
        </is>
      </c>
      <c r="I79" s="17" t="n"/>
      <c r="J79" s="17" t="n"/>
      <c r="K79" s="38" t="n">
        <v>10</v>
      </c>
    </row>
    <row r="80" ht="32.25" customFormat="1" customHeight="1" s="15">
      <c r="A80" s="13" t="inlineStr">
        <is>
          <t>UC-SRQ-007</t>
        </is>
      </c>
      <c r="B80" s="13" t="inlineStr">
        <is>
          <t>Update Service Request Status</t>
        </is>
      </c>
      <c r="C80" s="13" t="inlineStr">
        <is>
          <t>SGS User, SGS Trainer/Assessor, SGS Auditor/Certification</t>
        </is>
      </c>
      <c r="D80" s="13" t="inlineStr">
        <is>
          <t>Service Request</t>
        </is>
      </c>
      <c r="E80" s="14" t="inlineStr">
        <is>
          <t>SGS Portal</t>
        </is>
      </c>
      <c r="F80" s="14" t="inlineStr">
        <is>
          <t>Advance a request through its lifecycle to in progress or closed, triggering customer notification.</t>
        </is>
      </c>
      <c r="G80" s="14" t="inlineStr">
        <is>
          <t>Chuyển một yêu cầu qua vòng đời của nó sang in progress hoặc closed, kích hoạt thông báo cho khách hàng.</t>
        </is>
      </c>
      <c r="H80" s="14" t="inlineStr">
        <is>
          <t>OPS-18 Service request operations (P1); CP-35 Service request status flow &amp; notification (P1)</t>
        </is>
      </c>
      <c r="I80" s="17" t="n"/>
      <c r="J80" s="17" t="n"/>
      <c r="K80" s="38" t="n">
        <v>8</v>
      </c>
    </row>
    <row r="81" ht="32.25" customFormat="1" customHeight="1" s="15">
      <c r="A81" s="13" t="inlineStr">
        <is>
          <t>UC-SRQ-008</t>
        </is>
      </c>
      <c r="B81" s="13" t="inlineStr">
        <is>
          <t>Add Internal Comment to Service Request</t>
        </is>
      </c>
      <c r="C81" s="13" t="inlineStr">
        <is>
          <t>SGS User, SGS Trainer/Assessor, SGS Auditor/Certification</t>
        </is>
      </c>
      <c r="D81" s="13" t="inlineStr">
        <is>
          <t>Service Request</t>
        </is>
      </c>
      <c r="E81" s="14" t="inlineStr">
        <is>
          <t>SGS Portal</t>
        </is>
      </c>
      <c r="F81" s="14" t="inlineStr">
        <is>
          <t>Record internal SGS notes that are not visible to the customer.</t>
        </is>
      </c>
      <c r="G81" s="14" t="inlineStr">
        <is>
          <t>Ghi các ghi chú nội bộ của SGS mà khách hàng không nhìn thấy.</t>
        </is>
      </c>
      <c r="H81" s="14" t="inlineStr">
        <is>
          <t>OPS-18 Service request operations (P1)</t>
        </is>
      </c>
      <c r="I81" s="17" t="n"/>
      <c r="J81" s="17" t="n"/>
      <c r="K81" s="38" t="n">
        <v>5</v>
      </c>
    </row>
    <row r="82" ht="32.25" customFormat="1" customHeight="1" s="15">
      <c r="A82" s="13" t="inlineStr">
        <is>
          <t>UC-SRQ-009</t>
        </is>
      </c>
      <c r="B82" s="13" t="inlineStr">
        <is>
          <t>Request Information from Customer</t>
        </is>
      </c>
      <c r="C82" s="13" t="inlineStr">
        <is>
          <t>SGS User, SGS Trainer/Assessor</t>
        </is>
      </c>
      <c r="D82" s="13" t="inlineStr">
        <is>
          <t>Service Request</t>
        </is>
      </c>
      <c r="E82" s="14" t="inlineStr">
        <is>
          <t>SGS Portal</t>
        </is>
      </c>
      <c r="F82" s="14" t="inlineStr">
        <is>
          <t>Ask the customer for further information on a request and set it to information requested.</t>
        </is>
      </c>
      <c r="G82" s="14" t="inlineStr">
        <is>
          <t>Yêu cầu khách hàng bổ sung thông tin cho một yêu cầu và chuyển yêu cầu sang trạng thái information requested.</t>
        </is>
      </c>
      <c r="H82" s="14" t="inlineStr">
        <is>
          <t>CP-35 Service request status flow &amp; notification (P1); OPS-18 Service request operations (P1)</t>
        </is>
      </c>
      <c r="I82" s="17" t="n"/>
      <c r="J82" s="17" t="n"/>
      <c r="K82" s="38" t="n">
        <v>6</v>
      </c>
    </row>
    <row r="83" ht="48.75" customFormat="1" customHeight="1" s="15">
      <c r="A83" s="13" t="inlineStr">
        <is>
          <t>UC-SRQ-010</t>
        </is>
      </c>
      <c r="B83" s="13" t="inlineStr">
        <is>
          <t>Respond to Information Request</t>
        </is>
      </c>
      <c r="C83" s="13" t="inlineStr">
        <is>
          <t>Customer Admin, Customer User</t>
        </is>
      </c>
      <c r="D83" s="13" t="inlineStr">
        <is>
          <t>Service Request</t>
        </is>
      </c>
      <c r="E83" s="14" t="inlineStr">
        <is>
          <t>Customer Portal</t>
        </is>
      </c>
      <c r="F83" s="14" t="inlineStr">
        <is>
          <t>Provide the requested information so the request can proceed.</t>
        </is>
      </c>
      <c r="G83" s="14" t="inlineStr">
        <is>
          <t>Cung cấp thông tin được yêu cầu để yêu cầu có thể tiếp tục xử lý.</t>
        </is>
      </c>
      <c r="H83" s="14" t="inlineStr">
        <is>
          <t>PRESALE WBS GAP — No customer reply channel on a service request is priced; CP-25 (P1) is the review response, a different object</t>
        </is>
      </c>
      <c r="I83" s="17" t="n"/>
      <c r="J83" s="17" t="n"/>
      <c r="K83" s="38" t="n">
        <v>6</v>
      </c>
    </row>
    <row r="84" customFormat="1" s="30">
      <c r="A84" s="26" t="inlineStr">
        <is>
          <t>22. Review Workflow</t>
        </is>
      </c>
      <c r="B84" s="26" t="n"/>
      <c r="C84" s="26" t="n"/>
      <c r="D84" s="26" t="n"/>
      <c r="E84" s="27" t="n"/>
      <c r="F84" s="28" t="n"/>
      <c r="G84" s="28" t="n"/>
      <c r="H84" s="28" t="n"/>
      <c r="I84" s="29" t="n"/>
      <c r="J84" s="29" t="n"/>
      <c r="K84" s="34">
        <f>SUM(K85:K98)</f>
        <v/>
      </c>
    </row>
    <row r="85" ht="81" customFormat="1" customHeight="1" s="15">
      <c r="A85" s="13" t="inlineStr">
        <is>
          <t>UC-REV-001</t>
        </is>
      </c>
      <c r="B85" s="13" t="inlineStr">
        <is>
          <t>Create Review</t>
        </is>
      </c>
      <c r="C85" s="13" t="inlineStr">
        <is>
          <t>SGS User, SGS Trainer/Assessor, SGS Auditor/Certification</t>
        </is>
      </c>
      <c r="D85" s="13" t="inlineStr">
        <is>
          <t>Review Workflow</t>
        </is>
      </c>
      <c r="E85" s="14" t="inlineStr">
        <is>
          <t>SGS Portal</t>
        </is>
      </c>
      <c r="F85" s="14" t="inlineStr">
        <is>
          <t>Create a review for the relevant customer, scope, framework, service request and evidence context. MVP supports exactly two review types — Readiness Assessment Review and Audit Review — and both are initiated by SGS; customers do not initiate reviews.</t>
        </is>
      </c>
      <c r="G85" s="14" t="inlineStr">
        <is>
          <t>Tạo một review cho ngữ cảnh khách hàng, scope, framework, service request và bằng chứng liên quan. MVP hỗ trợ đúng hai loại review là Readiness Assessment Review và Audit Review, cả hai đều do SGS khởi tạo; khách hàng không khởi tạo review.</t>
        </is>
      </c>
      <c r="H85" s="14" t="inlineStr">
        <is>
          <t>OPS-12 Create review (P1); A2 review-context separation (P1); Q&amp;A #24/#25</t>
        </is>
      </c>
      <c r="I85" s="17" t="n"/>
      <c r="J85" s="17" t="n"/>
      <c r="K85" s="38" t="n">
        <v>12</v>
      </c>
    </row>
    <row r="86" ht="48.75" customFormat="1" customHeight="1" s="15">
      <c r="A86" s="13" t="inlineStr">
        <is>
          <t>UC-REV-002</t>
        </is>
      </c>
      <c r="B86" s="13" t="inlineStr">
        <is>
          <t>Assign Reviewer to Review</t>
        </is>
      </c>
      <c r="C86" s="13" t="inlineStr">
        <is>
          <t>SGS Admin, SGS User</t>
        </is>
      </c>
      <c r="D86" s="13" t="inlineStr">
        <is>
          <t>Review Workflow</t>
        </is>
      </c>
      <c r="E86" s="14" t="inlineStr">
        <is>
          <t>SGS Portal</t>
        </is>
      </c>
      <c r="F86" s="14" t="inlineStr">
        <is>
          <t>Assign the SGS person who will conduct the review.</t>
        </is>
      </c>
      <c r="G86" s="14" t="inlineStr">
        <is>
          <t>Phân công người của SGS sẽ thực hiện review.</t>
        </is>
      </c>
      <c r="H86" s="14" t="inlineStr">
        <is>
          <t>PRESALE WBS GAP — Reviewer assignment is not priced; OPS-12 (P1) has no assignment bullet, CP-27 (P2) only displays assignment</t>
        </is>
      </c>
      <c r="I86" s="17" t="n"/>
      <c r="J86" s="17" t="n"/>
      <c r="K86" s="38" t="n">
        <v>5</v>
      </c>
    </row>
    <row r="87" ht="32.25" customFormat="1" customHeight="1" s="15">
      <c r="A87" s="13" t="inlineStr">
        <is>
          <t>UC-REV-003</t>
        </is>
      </c>
      <c r="B87" s="13" t="inlineStr">
        <is>
          <t>View Review Queue</t>
        </is>
      </c>
      <c r="C87" s="13" t="inlineStr">
        <is>
          <t>SGS User, SGS Trainer/Assessor, SGS Auditor/Certification</t>
        </is>
      </c>
      <c r="D87" s="13" t="inlineStr">
        <is>
          <t>Review Workflow</t>
        </is>
      </c>
      <c r="E87" s="14" t="inlineStr">
        <is>
          <t>SGS Portal</t>
        </is>
      </c>
      <c r="F87" s="14" t="inlineStr">
        <is>
          <t>View assigned reviews with open items, items pending customer action and closed items.</t>
        </is>
      </c>
      <c r="G87" s="14" t="inlineStr">
        <is>
          <t>Xem các review được giao, gồm mục đang mở, mục đang chờ khách hàng xử lý và mục đã đóng.</t>
        </is>
      </c>
      <c r="H87" s="14" t="inlineStr">
        <is>
          <t>CP-27 Review list &amp; queues (P1)</t>
        </is>
      </c>
      <c r="I87" s="17" t="n"/>
      <c r="J87" s="17" t="n"/>
      <c r="K87" s="38" t="n">
        <v>8</v>
      </c>
    </row>
    <row r="88" ht="64.5" customFormat="1" customHeight="1" s="15">
      <c r="A88" s="13" t="inlineStr">
        <is>
          <t>UC-REV-004</t>
        </is>
      </c>
      <c r="B88" s="13" t="inlineStr">
        <is>
          <t>View Review Details</t>
        </is>
      </c>
      <c r="C88" s="13" t="inlineStr">
        <is>
          <t>SGS User, SGS Trainer/Assessor, SGS Auditor/Certification, Customer Admin, Customer User</t>
        </is>
      </c>
      <c r="D88" s="13" t="inlineStr">
        <is>
          <t>Review Workflow</t>
        </is>
      </c>
      <c r="E88" s="14" t="inlineStr">
        <is>
          <t>Customer Portal &amp; SGS Portal</t>
        </is>
      </c>
      <c r="F88" s="14" t="inlineStr">
        <is>
          <t>View review context, scope/framework, relevant evidence, comments, requests, requirement/control-level review statuses and the derived overall Review status, filtered to what each role is permitted to see.</t>
        </is>
      </c>
      <c r="G88" s="14" t="inlineStr">
        <is>
          <t>Xem ngữ cảnh review, scope/framework, bằng chứng liên quan, bình luận, các yêu cầu, trạng thái review ở mức requirement/control và trạng thái tổng của Review được suy ra, lọc theo những gì từng vai trò được phép thấy.</t>
        </is>
      </c>
      <c r="H88" s="14" t="inlineStr">
        <is>
          <t>OPS-13 SGS review evidence and controls (P1); CP-25 Customer review response (P1); Q&amp;A #26 meeting confirmation</t>
        </is>
      </c>
      <c r="I88" s="17" t="n"/>
      <c r="J88" s="17" t="n"/>
      <c r="K88" s="38" t="n">
        <v>12</v>
      </c>
    </row>
    <row r="89" ht="64.5" customFormat="1" customHeight="1" s="15">
      <c r="A89" s="13" t="inlineStr">
        <is>
          <t>UC-REV-005</t>
        </is>
      </c>
      <c r="B89" s="13" t="inlineStr">
        <is>
          <t>Update Requirement / Control Review Status</t>
        </is>
      </c>
      <c r="C89" s="13" t="inlineStr">
        <is>
          <t>SGS Trainer/Assessor, SGS Auditor/Certification</t>
        </is>
      </c>
      <c r="D89" s="13" t="inlineStr">
        <is>
          <t>Review Workflow</t>
        </is>
      </c>
      <c r="E89" s="14" t="inlineStr">
        <is>
          <t>SGS Portal</t>
        </is>
      </c>
      <c r="F89" s="14" t="inlineStr">
        <is>
          <t>Manually update the review status of each applicable Requirement/Criteria or Control within a Review. Different review items within the same Review may have different statuses at the same time.</t>
        </is>
      </c>
      <c r="G89" s="14" t="inlineStr">
        <is>
          <t>Cập nhật thủ công trạng thái review của từng Requirement/Criteria hoặc Control áp dụng trong một Review. Các mục khác nhau trong cùng một Review có thể mang các trạng thái khác nhau tại cùng một thời điểm.</t>
        </is>
      </c>
      <c r="H89" s="14" t="inlineStr">
        <is>
          <t>CP-26 Review status per control (P1); Q&amp;A #26 — client confirmed item-level status is manually updated by SGS</t>
        </is>
      </c>
      <c r="I89" s="17" t="n"/>
      <c r="J89" s="17" t="n"/>
      <c r="K89" s="38" t="n">
        <v>10</v>
      </c>
    </row>
    <row r="90" ht="32.25" customFormat="1" customHeight="1" s="15">
      <c r="A90" s="13" t="inlineStr">
        <is>
          <t>UC-REV-006</t>
        </is>
      </c>
      <c r="B90" s="13" t="inlineStr">
        <is>
          <t>Add Review Comment</t>
        </is>
      </c>
      <c r="C90" s="13" t="inlineStr">
        <is>
          <t>SGS Trainer/Assessor, SGS Auditor/Certification</t>
        </is>
      </c>
      <c r="D90" s="13" t="inlineStr">
        <is>
          <t>Review Workflow</t>
        </is>
      </c>
      <c r="E90" s="14" t="inlineStr">
        <is>
          <t>SGS Portal</t>
        </is>
      </c>
      <c r="F90" s="14" t="inlineStr">
        <is>
          <t>Comment at evidence level or requirement level within the review thread.</t>
        </is>
      </c>
      <c r="G90" s="14" t="inlineStr">
        <is>
          <t>Bình luận ở mức bằng chứng hoặc mức requirement trong luồng trao đổi của review.</t>
        </is>
      </c>
      <c r="H90" s="14" t="inlineStr">
        <is>
          <t>OPS-13 SGS review evidence and controls (P1)</t>
        </is>
      </c>
      <c r="I90" s="17" t="n"/>
      <c r="J90" s="17" t="n"/>
      <c r="K90" s="38" t="n">
        <v>6</v>
      </c>
    </row>
    <row r="91" ht="32.25" customFormat="1" customHeight="1" s="15">
      <c r="A91" s="13" t="inlineStr">
        <is>
          <t>UC-REV-007</t>
        </is>
      </c>
      <c r="B91" s="13" t="inlineStr">
        <is>
          <t>Request Clarification or Additional Evidence</t>
        </is>
      </c>
      <c r="C91" s="13" t="inlineStr">
        <is>
          <t>SGS Trainer/Assessor, SGS Auditor/Certification</t>
        </is>
      </c>
      <c r="D91" s="13" t="inlineStr">
        <is>
          <t>Review Workflow</t>
        </is>
      </c>
      <c r="E91" s="14" t="inlineStr">
        <is>
          <t>SGS Portal</t>
        </is>
      </c>
      <c r="F91" s="14" t="inlineStr">
        <is>
          <t>Raise a request to the customer for clarification or further evidence and set the item to await a response.</t>
        </is>
      </c>
      <c r="G91" s="14" t="inlineStr">
        <is>
          <t>Gửi yêu cầu tới khách hàng để làm rõ hoặc bổ sung bằng chứng, và đặt mục đó sang trạng thái chờ phản hồi.</t>
        </is>
      </c>
      <c r="H91" s="14" t="inlineStr">
        <is>
          <t>OPS-13 SGS review evidence and controls (P1); CP-26 Review status per control (P1)</t>
        </is>
      </c>
      <c r="I91" s="17" t="n"/>
      <c r="J91" s="17" t="n"/>
      <c r="K91" s="38" t="n">
        <v>8</v>
      </c>
    </row>
    <row r="92" ht="48.75" customFormat="1" customHeight="1" s="15">
      <c r="A92" s="13" t="inlineStr">
        <is>
          <t>UC-REV-008</t>
        </is>
      </c>
      <c r="B92" s="13" t="inlineStr">
        <is>
          <t>Raise Finding</t>
        </is>
      </c>
      <c r="C92" s="13" t="inlineStr">
        <is>
          <t>SGS Trainer/Assessor, SGS Auditor/Certification</t>
        </is>
      </c>
      <c r="D92" s="13" t="inlineStr">
        <is>
          <t>Review Workflow</t>
        </is>
      </c>
      <c r="E92" s="14" t="inlineStr">
        <is>
          <t>SGS Portal</t>
        </is>
      </c>
      <c r="F92" s="14" t="inlineStr">
        <is>
          <t>Record a finding against a requirement, with its classification and the response required.</t>
        </is>
      </c>
      <c r="G92" s="14" t="inlineStr">
        <is>
          <t>Ghi nhận một finding đối với một requirement, kèm phân loại và phản hồi được yêu cầu.</t>
        </is>
      </c>
      <c r="H92" s="14" t="inlineStr">
        <is>
          <t>PRESALE WBS GAP — No finding object is priced; CP-25 (P1) prices the customer's response to findings that nothing creates</t>
        </is>
      </c>
      <c r="I92" s="17" t="n"/>
      <c r="J92" s="17" t="n"/>
      <c r="K92" s="38" t="n">
        <v>16</v>
      </c>
    </row>
    <row r="93" ht="48.75" customFormat="1" customHeight="1" s="15">
      <c r="A93" s="13" t="inlineStr">
        <is>
          <t>UC-REV-011</t>
        </is>
      </c>
      <c r="B93" s="13" t="inlineStr">
        <is>
          <t>View Review Feedback</t>
        </is>
      </c>
      <c r="C93" s="13" t="inlineStr">
        <is>
          <t>Customer Admin, Customer User</t>
        </is>
      </c>
      <c r="D93" s="13" t="inlineStr">
        <is>
          <t>Review Workflow</t>
        </is>
      </c>
      <c r="E93" s="14" t="inlineStr">
        <is>
          <t>Customer Portal</t>
        </is>
      </c>
      <c r="F93" s="14" t="inlineStr">
        <is>
          <t>View SGS comments, clarification requests and findings for the user's assigned scope, labelled with the review context.</t>
        </is>
      </c>
      <c r="G93" s="14" t="inlineStr">
        <is>
          <t>Xem các bình luận, yêu cầu làm rõ và finding của SGS cho scope được gán của người dùng, có gắn nhãn ngữ cảnh review.</t>
        </is>
      </c>
      <c r="H93" s="14" t="inlineStr">
        <is>
          <t>CP-25 Customer review response (P1)</t>
        </is>
      </c>
      <c r="I93" s="17" t="n"/>
      <c r="J93" s="17" t="n"/>
      <c r="K93" s="38" t="n">
        <v>6</v>
      </c>
    </row>
    <row r="94" ht="32.25" customFormat="1" customHeight="1" s="15">
      <c r="A94" s="13" t="inlineStr">
        <is>
          <t>UC-REV-012</t>
        </is>
      </c>
      <c r="B94" s="13" t="inlineStr">
        <is>
          <t>Respond to Review Request</t>
        </is>
      </c>
      <c r="C94" s="13" t="inlineStr">
        <is>
          <t>Customer Admin, Customer User</t>
        </is>
      </c>
      <c r="D94" s="13" t="inlineStr">
        <is>
          <t>Review Workflow</t>
        </is>
      </c>
      <c r="E94" s="14" t="inlineStr">
        <is>
          <t>Customer Portal</t>
        </is>
      </c>
      <c r="F94" s="14" t="inlineStr">
        <is>
          <t>Respond to a comment or clarification request and attach or revise evidence.</t>
        </is>
      </c>
      <c r="G94" s="14" t="inlineStr">
        <is>
          <t>Phản hồi một bình luận hoặc yêu cầu làm rõ, và đính kèm hoặc sửa lại bằng chứng.</t>
        </is>
      </c>
      <c r="H94" s="14" t="inlineStr">
        <is>
          <t>CP-25 Customer review response (P1)</t>
        </is>
      </c>
      <c r="I94" s="17" t="n"/>
      <c r="J94" s="17" t="n"/>
      <c r="K94" s="38" t="n">
        <v>8</v>
      </c>
    </row>
    <row r="95" ht="32.25" customFormat="1" customHeight="1" s="15">
      <c r="A95" s="13" t="inlineStr">
        <is>
          <t>UC-REV-013</t>
        </is>
      </c>
      <c r="B95" s="13" t="inlineStr">
        <is>
          <t>Submit Corrective Action</t>
        </is>
      </c>
      <c r="C95" s="13" t="inlineStr">
        <is>
          <t>Customer Admin, Customer User</t>
        </is>
      </c>
      <c r="D95" s="13" t="inlineStr">
        <is>
          <t>Review Workflow</t>
        </is>
      </c>
      <c r="E95" s="14" t="inlineStr">
        <is>
          <t>Customer Portal</t>
        </is>
      </c>
      <c r="F95" s="14" t="inlineStr">
        <is>
          <t>Submit a corrective action against a finding, with the action taken and its evidence.</t>
        </is>
      </c>
      <c r="G95" s="14" t="inlineStr">
        <is>
          <t>Nộp hành động khắc phục (corrective action) cho một finding, gồm hành động đã thực hiện và bằng chứng của nó.</t>
        </is>
      </c>
      <c r="H95" s="14" t="inlineStr">
        <is>
          <t>CP-25 Customer review response (P1)</t>
        </is>
      </c>
      <c r="I95" s="17" t="n"/>
      <c r="J95" s="17" t="n"/>
      <c r="K95" s="38" t="n">
        <v>8</v>
      </c>
    </row>
    <row r="96" ht="48.75" customFormat="1" customHeight="1" s="15">
      <c r="A96" s="13" t="inlineStr">
        <is>
          <t>UC-REV-014</t>
        </is>
      </c>
      <c r="B96" s="13" t="inlineStr">
        <is>
          <t>Evaluate Customer Response</t>
        </is>
      </c>
      <c r="C96" s="13" t="inlineStr">
        <is>
          <t>SGS Trainer/Assessor, SGS Auditor/Certification</t>
        </is>
      </c>
      <c r="D96" s="13" t="inlineStr">
        <is>
          <t>Review Workflow</t>
        </is>
      </c>
      <c r="E96" s="14" t="inlineStr">
        <is>
          <t>SGS Portal</t>
        </is>
      </c>
      <c r="F96" s="14" t="inlineStr">
        <is>
          <t>Evaluate a customer's clarification, revised evidence or corrective-action response and update the review item/status accordingly.</t>
        </is>
      </c>
      <c r="G96" s="14" t="inlineStr">
        <is>
          <t>Đánh giá phần làm rõ, bằng chứng đã sửa hoặc phản hồi hành động khắc phục của khách hàng, và cập nhật mục/trạng thái review tương ứng.</t>
        </is>
      </c>
      <c r="H96" s="14" t="inlineStr">
        <is>
          <t>OPS-13 SGS review evidence and controls (P1); CP-26 Review status per control (P1)</t>
        </is>
      </c>
      <c r="I96" s="17" t="n"/>
      <c r="J96" s="17" t="n"/>
      <c r="K96" s="38" t="n">
        <v>8</v>
      </c>
    </row>
    <row r="97" ht="81" customFormat="1" customHeight="1" s="15">
      <c r="A97" s="13" t="inlineStr">
        <is>
          <t>UC-REV-015</t>
        </is>
      </c>
      <c r="B97" s="13" t="inlineStr">
        <is>
          <t>Close Review</t>
        </is>
      </c>
      <c r="C97" s="13" t="inlineStr">
        <is>
          <t>SGS Trainer/Assessor, SGS Auditor/Certification</t>
        </is>
      </c>
      <c r="D97" s="13" t="inlineStr">
        <is>
          <t>Review Workflow</t>
        </is>
      </c>
      <c r="E97" s="14" t="inlineStr">
        <is>
          <t>SGS Portal</t>
        </is>
      </c>
      <c r="F97" s="14" t="inlineStr">
        <is>
          <t>Formally close a Review after all applicable Requirements/Criteria and Controls have been completed. Final closure is performed manually by an authorized SGS reviewer after the system-derived overall status indicates the review is ready for closure.</t>
        </is>
      </c>
      <c r="G97" s="14" t="inlineStr">
        <is>
          <t>Chính thức đóng một Review sau khi mọi Requirement/Criteria và Control áp dụng đã hoàn tất. Việc đóng cuối cùng do một SGS reviewer có thẩm quyền thực hiện thủ công, sau khi trạng thái tổng do hệ thống suy ra cho thấy review đã sẵn sàng để đóng.</t>
        </is>
      </c>
      <c r="H97" s="14" t="inlineStr">
        <is>
          <t>CP-26 Review status per control (P1); Q&amp;A #26 — client confirmed manual item-level status, automatic overall roll-up and manual final Review closure by SGS</t>
        </is>
      </c>
      <c r="I97" s="17" t="n"/>
      <c r="J97" s="17" t="n"/>
      <c r="K97" s="38" t="n">
        <v>6</v>
      </c>
    </row>
    <row r="98" ht="81" customFormat="1" customHeight="1" s="15">
      <c r="A98" s="13" t="inlineStr">
        <is>
          <t>UC-REV-016</t>
        </is>
      </c>
      <c r="B98" s="13" t="inlineStr">
        <is>
          <t>Derive Overall Review Status</t>
        </is>
      </c>
      <c r="C98" s="13" t="inlineStr">
        <is>
          <t>System</t>
        </is>
      </c>
      <c r="D98" s="13" t="inlineStr">
        <is>
          <t>Review Workflow</t>
        </is>
      </c>
      <c r="E98" s="14" t="inlineStr">
        <is>
          <t>System / Backend (No Portal)</t>
        </is>
      </c>
      <c r="F98" s="14" t="inlineStr">
        <is>
          <t>Automatically derive and update the overall Review status from the statuses of the applicable Requirements/Criteria and Controls within the Review. The derived status supports progress visibility and determines when the Review is eligible for final manual closure.</t>
        </is>
      </c>
      <c r="G98" s="14" t="inlineStr">
        <is>
          <t>Tự động suy ra và cập nhật trạng thái tổng của Review từ trạng thái của các Requirement/Criteria và Control áp dụng trong Review. Trạng thái suy ra này giúp theo dõi tiến độ và xác định khi nào Review đủ điều kiện để đóng thủ công lần cuối.</t>
        </is>
      </c>
      <c r="H98" s="14" t="inlineStr">
        <is>
          <t>CP-26 Review status per control (P1); Q&amp;A #26 — client confirmed automatic overall Review status roll-up</t>
        </is>
      </c>
      <c r="I98" s="17" t="n"/>
      <c r="J98" s="17" t="n"/>
      <c r="K98" s="38" t="n">
        <v>8</v>
      </c>
    </row>
    <row r="99" customFormat="1" s="32">
      <c r="A99" s="26" t="inlineStr">
        <is>
          <t>23. Certification Record Management</t>
        </is>
      </c>
      <c r="B99" s="26" t="n"/>
      <c r="C99" s="26" t="n"/>
      <c r="D99" s="26" t="n"/>
      <c r="E99" s="28" t="n"/>
      <c r="F99" s="28" t="n"/>
      <c r="G99" s="28" t="n"/>
      <c r="H99" s="28" t="n"/>
      <c r="I99" s="31" t="n"/>
      <c r="J99" s="29" t="n"/>
      <c r="K99" s="34">
        <f>SUM(K100:K101)</f>
        <v/>
      </c>
    </row>
    <row r="100" ht="48.75" customFormat="1" customHeight="1" s="15">
      <c r="A100" s="13" t="inlineStr">
        <is>
          <t>UC-CRT-001</t>
        </is>
      </c>
      <c r="B100" s="13" t="inlineStr">
        <is>
          <t>Create Certification Record</t>
        </is>
      </c>
      <c r="C100" s="13" t="inlineStr">
        <is>
          <t>SGS User</t>
        </is>
      </c>
      <c r="D100" s="13" t="inlineStr">
        <is>
          <t>Certification Record</t>
        </is>
      </c>
      <c r="E100" s="14" t="inlineStr">
        <is>
          <t>SGS Portal</t>
        </is>
      </c>
      <c r="F100" s="14" t="inlineStr">
        <is>
          <t>Manually create a certification record for an assigned customer and scope/framework using the configured certification fields.</t>
        </is>
      </c>
      <c r="G100" s="14" t="inlineStr">
        <is>
          <t>Tạo thủ công một bản ghi chứng nhận cho khách hàng và scope/framework được giao, dùng các trường chứng nhận đã cấu hình.</t>
        </is>
      </c>
      <c r="H100" s="14" t="inlineStr">
        <is>
          <t>OPS-21 SGS cert record administration (P1); Q&amp;A #36 manual SGS creation for MVP</t>
        </is>
      </c>
      <c r="I100" s="17" t="n"/>
      <c r="J100" s="17" t="n"/>
      <c r="K100" s="38" t="n">
        <v>12</v>
      </c>
    </row>
    <row r="101" ht="32.25" customFormat="1" customHeight="1" s="15">
      <c r="A101" s="13" t="inlineStr">
        <is>
          <t>UC-CRT-003</t>
        </is>
      </c>
      <c r="B101" s="13" t="inlineStr">
        <is>
          <t>View Certification Record List</t>
        </is>
      </c>
      <c r="C101" s="13" t="inlineStr">
        <is>
          <t>Customer Admin, Customer User, Customer Viewer, SGS User, SGS Admin</t>
        </is>
      </c>
      <c r="D101" s="13" t="inlineStr">
        <is>
          <t>Certification Record</t>
        </is>
      </c>
      <c r="E101" s="14" t="inlineStr">
        <is>
          <t>Customer Portal &amp; SGS Portal</t>
        </is>
      </c>
      <c r="F101" s="14" t="inlineStr">
        <is>
          <t>View certification records within the permitted boundary, with framework, scope, status and expiry.</t>
        </is>
      </c>
      <c r="G101" s="14" t="inlineStr">
        <is>
          <t>Xem các bản ghi chứng nhận trong ranh giới được phép, kèm framework, scope, trạng thái và ngày hết hạn.</t>
        </is>
      </c>
      <c r="H101" s="14" t="inlineStr">
        <is>
          <t>CP-37 Certification listing (P1)</t>
        </is>
      </c>
      <c r="I101" s="17" t="n"/>
      <c r="J101" s="17" t="n"/>
      <c r="K101" s="38" t="n">
        <v>10</v>
      </c>
    </row>
    <row r="102" customFormat="1" s="32">
      <c r="A102" s="26" t="inlineStr">
        <is>
          <t>25. Certification Maintenance</t>
        </is>
      </c>
      <c r="B102" s="26" t="n"/>
      <c r="C102" s="26" t="n"/>
      <c r="D102" s="26" t="n"/>
      <c r="E102" s="28" t="n"/>
      <c r="F102" s="28" t="n"/>
      <c r="G102" s="28" t="n"/>
      <c r="H102" s="28" t="n"/>
      <c r="I102" s="31" t="n"/>
      <c r="J102" s="29" t="n"/>
      <c r="K102" s="34">
        <f>SUM(K103:K104)</f>
        <v/>
      </c>
    </row>
    <row r="103" ht="48.75" customFormat="1" customHeight="1" s="15">
      <c r="A103" s="13" t="inlineStr">
        <is>
          <t>UC-CMT-002</t>
        </is>
      </c>
      <c r="B103" s="13" t="inlineStr">
        <is>
          <t>Generate Certification Milestone Notification</t>
        </is>
      </c>
      <c r="C103" s="13" t="inlineStr">
        <is>
          <t>System</t>
        </is>
      </c>
      <c r="D103" s="13" t="inlineStr">
        <is>
          <t>Certification Maintenance</t>
        </is>
      </c>
      <c r="E103" s="14" t="inlineStr">
        <is>
          <t>System / Backend (No Portal)</t>
        </is>
      </c>
      <c r="F103" s="14" t="inlineStr">
        <is>
          <t>Generate alerts for upcoming certification renewal or surveillance milestones and surface them through the MVP notification mechanism.</t>
        </is>
      </c>
      <c r="G103" s="14" t="inlineStr">
        <is>
          <t>Sinh cảnh báo cho các mốc gia hạn (renewal) hoặc giám sát (surveillance) chứng nhận sắp tới và hiển thị chúng qua cơ chế thông báo của MVP.</t>
        </is>
      </c>
      <c r="H103" s="14" t="inlineStr">
        <is>
          <t>CP-42 Cert renewal/surveillance notifications (P1)</t>
        </is>
      </c>
      <c r="I103" s="17" t="inlineStr">
        <is>
          <t>Phase 1</t>
        </is>
      </c>
      <c r="J103" s="23" t="inlineStr">
        <is>
          <t>Suggest to be included in P1</t>
        </is>
      </c>
      <c r="K103" s="37" t="n">
        <v>5</v>
      </c>
    </row>
    <row r="104" ht="48.75" customFormat="1" customHeight="1" s="15">
      <c r="A104" s="13" t="inlineStr">
        <is>
          <t>UC-CMT-007</t>
        </is>
      </c>
      <c r="B104" s="13" t="inlineStr">
        <is>
          <t>Generate Certification Milestone Notification</t>
        </is>
      </c>
      <c r="C104" s="13" t="inlineStr">
        <is>
          <t>System</t>
        </is>
      </c>
      <c r="D104" s="13" t="inlineStr">
        <is>
          <t>Certification Maintenance</t>
        </is>
      </c>
      <c r="E104" s="14" t="inlineStr">
        <is>
          <t>System / Backend (No Portal)</t>
        </is>
      </c>
      <c r="F104" s="14" t="inlineStr">
        <is>
          <t>Notify the customer and the assigned SGS user of approaching expiry, renewal and surveillance milestones, per the scheme's configured offsets.</t>
        </is>
      </c>
      <c r="G104" s="14" t="inlineStr">
        <is>
          <t>Thông báo cho khách hàng và người dùng SGS được phân công về các mốc hết hạn, gia hạn và giám sát sắp tới, theo các khoảng báo trước (offset) đã cấu hình của scheme.</t>
        </is>
      </c>
      <c r="H104" s="14" t="inlineStr">
        <is>
          <t>Explicit — CP-42 Cert renewal/surveillance notifications — 'Scheduled jobs' (P1)</t>
        </is>
      </c>
      <c r="I104" s="17" t="inlineStr">
        <is>
          <t>Phase 1</t>
        </is>
      </c>
      <c r="J104" s="23" t="inlineStr">
        <is>
          <t>Suggest to be included in P1</t>
        </is>
      </c>
      <c r="K104" s="37" t="n">
        <v>5</v>
      </c>
    </row>
    <row r="105" customFormat="1" s="32">
      <c r="A105" s="26" t="inlineStr">
        <is>
          <t>27. Operations Monitoring &amp; Reporting</t>
        </is>
      </c>
      <c r="B105" s="26" t="n"/>
      <c r="C105" s="26" t="n"/>
      <c r="D105" s="26" t="n"/>
      <c r="E105" s="28" t="n"/>
      <c r="F105" s="28" t="n"/>
      <c r="G105" s="28" t="n"/>
      <c r="H105" s="28" t="n"/>
      <c r="I105" s="31" t="n"/>
      <c r="J105" s="29" t="n"/>
      <c r="K105" s="34">
        <f>SUM(K106:K106)</f>
        <v/>
      </c>
    </row>
    <row r="106" ht="64.5" customFormat="1" customHeight="1" s="15">
      <c r="A106" s="13" t="inlineStr">
        <is>
          <t>UC-OPS-001</t>
        </is>
      </c>
      <c r="B106" s="13" t="inlineStr">
        <is>
          <t>View SGS Operations Dashboard</t>
        </is>
      </c>
      <c r="C106" s="13" t="inlineStr">
        <is>
          <t>SGS Admin, SGS User</t>
        </is>
      </c>
      <c r="D106" s="13" t="inlineStr">
        <is>
          <t>Operations Monitoring</t>
        </is>
      </c>
      <c r="E106" s="14" t="inlineStr">
        <is>
          <t>SGS Portal</t>
        </is>
      </c>
      <c r="F106" s="14" t="inlineStr">
        <is>
          <t>View operational metrics within the affiliate and assignment boundary: active customers, open service requests, pending reviews, upcoming certification milestones, with drill-down to the underlying queues.</t>
        </is>
      </c>
      <c r="G106" s="14" t="inlineStr">
        <is>
          <t>Xem các chỉ số vận hành trong ranh giới affiliate và phân công: khách hàng đang hoạt động, service request đang mở, review đang chờ, các mốc chứng nhận sắp tới; có thể đi sâu (drill-down) tới các hàng đợi bên dưới.</t>
        </is>
      </c>
      <c r="H106" s="14" t="inlineStr">
        <is>
          <t>OPS-06 Admin overview dashboard (P1)</t>
        </is>
      </c>
      <c r="I106" s="17" t="inlineStr">
        <is>
          <t>Phase 1</t>
        </is>
      </c>
      <c r="J106" s="23" t="inlineStr">
        <is>
          <t>Suggest to be included in P1</t>
        </is>
      </c>
      <c r="K106" s="37" t="n">
        <v>22</v>
      </c>
    </row>
    <row r="107" customFormat="1" s="32">
      <c r="A107" s="26" t="inlineStr">
        <is>
          <t>28. Consulting Services</t>
        </is>
      </c>
      <c r="B107" s="26" t="n"/>
      <c r="C107" s="26" t="n"/>
      <c r="D107" s="26" t="n"/>
      <c r="E107" s="28" t="n"/>
      <c r="F107" s="28" t="n"/>
      <c r="G107" s="28" t="n"/>
      <c r="H107" s="28" t="n"/>
      <c r="I107" s="31" t="n"/>
      <c r="J107" s="29" t="n"/>
      <c r="K107" s="34">
        <f>SUM(K108:K109)</f>
        <v/>
      </c>
    </row>
    <row r="108" ht="96.75" customFormat="1" customHeight="1" s="15">
      <c r="A108" s="13" t="inlineStr">
        <is>
          <t>UC-CNS-001</t>
        </is>
      </c>
      <c r="B108" s="13" t="inlineStr">
        <is>
          <t>Add Consulting Comment</t>
        </is>
      </c>
      <c r="C108" s="13" t="inlineStr">
        <is>
          <t>SGS Consultant</t>
        </is>
      </c>
      <c r="D108" s="13" t="inlineStr">
        <is>
          <t>Consulting Services</t>
        </is>
      </c>
      <c r="E108" s="14" t="inlineStr">
        <is>
          <t>SGS Portal</t>
        </is>
      </c>
      <c r="F108" s="14" t="inlineStr">
        <is>
          <t>Add customer-visible consulting comments within the assigned customer's requirement/control/evidence or gap context to support Implementation Support and Gap Analysis. MVP does not include structured recommendation/action-item tracking, consulting progress statuses or a system-generated final deliverable.</t>
        </is>
      </c>
      <c r="G108" s="14" t="inlineStr">
        <is>
          <t>Thêm bình luận tư vấn mà khách hàng nhìn thấy được, trong ngữ cảnh requirement/control/bằng chứng hoặc gap của khách hàng được giao, để hỗ trợ Implementation Support và Gap Analysis. MVP không bao gồm theo dõi khuyến nghị/đầu việc có cấu trúc, trạng thái tiến độ tư vấn hay sản phẩm bàn giao cuối do hệ thống sinh ra.</t>
        </is>
      </c>
      <c r="H108" s="14" t="inlineStr">
        <is>
          <t>PRESALE WBS GAP — New customer-confirmed Consultant capability</t>
        </is>
      </c>
      <c r="I108" s="17" t="n"/>
      <c r="J108" s="17" t="n"/>
      <c r="K108" s="38" t="n">
        <v>14</v>
      </c>
    </row>
    <row r="109" ht="81" customFormat="1" customHeight="1" s="15">
      <c r="A109" s="13" t="inlineStr">
        <is>
          <t>UC-CNS-002</t>
        </is>
      </c>
      <c r="B109" s="13" t="inlineStr">
        <is>
          <t>View Consulting Comments</t>
        </is>
      </c>
      <c r="C109" s="13" t="inlineStr">
        <is>
          <t>Customer Admin, Customer User, SGS Consultant</t>
        </is>
      </c>
      <c r="D109" s="13" t="inlineStr">
        <is>
          <t>Consulting Services</t>
        </is>
      </c>
      <c r="E109" s="14" t="inlineStr">
        <is>
          <t>Customer Portal &amp; SGS Portal</t>
        </is>
      </c>
      <c r="F109" s="14" t="inlineStr">
        <is>
          <t>View consulting comments associated with the customer's compliance/evidence context. Customers may provide additional evidence through the existing Evidence Management flow, but MVP does not include chat or reply interaction on Consultant comments.</t>
        </is>
      </c>
      <c r="G109" s="14" t="inlineStr">
        <is>
          <t>Xem các bình luận tư vấn gắn với ngữ cảnh tuân thủ/bằng chứng của khách hàng. Khách hàng có thể bổ sung bằng chứng qua luồng Evidence Management hiện có, nhưng MVP không có chat hay trả lời trực tiếp trên bình luận của Consultant.</t>
        </is>
      </c>
      <c r="H109" s="14" t="inlineStr">
        <is>
          <t>PRESALE WBS GAP — New customer-confirmed Consultant collaboration behavior</t>
        </is>
      </c>
      <c r="I109" s="17" t="n"/>
      <c r="J109" s="17" t="n"/>
      <c r="K109" s="38" t="n">
        <v>8</v>
      </c>
    </row>
    <row r="110" customFormat="1" s="30">
      <c r="A110" s="26" t="inlineStr">
        <is>
          <t>29. DT Marketplace</t>
        </is>
      </c>
      <c r="B110" s="26" t="n"/>
      <c r="C110" s="26" t="n"/>
      <c r="D110" s="26" t="n"/>
      <c r="E110" s="28" t="n"/>
      <c r="F110" s="28" t="n"/>
      <c r="G110" s="28" t="n"/>
      <c r="H110" s="28" t="n"/>
      <c r="I110" s="31" t="n"/>
      <c r="J110" s="29" t="n"/>
      <c r="K110" s="34">
        <f>SUM(K111:K116)</f>
        <v/>
      </c>
    </row>
    <row r="111" ht="48.75" customHeight="1">
      <c r="A111" s="13" t="inlineStr">
        <is>
          <t>UC-MKT-001</t>
        </is>
      </c>
      <c r="B111" s="13" t="inlineStr">
        <is>
          <t>View DT Marketplace</t>
        </is>
      </c>
      <c r="C111" t="inlineStr">
        <is>
          <t>Customer Admin, Customer User</t>
        </is>
      </c>
      <c r="D111" s="13" t="inlineStr">
        <is>
          <t>DT Marketplace</t>
        </is>
      </c>
      <c r="E111" s="14" t="inlineStr">
        <is>
          <t>Customer Portal</t>
        </is>
      </c>
      <c r="F111" s="14" t="inlineStr">
        <is>
          <t>View the DT Marketplace landing page and access the available Marketplace categories for MVP: Pentesting Services and Consultants.</t>
        </is>
      </c>
      <c r="G111" s="14" t="inlineStr">
        <is>
          <t>Xem trang chính của DT Marketplace và truy cập các danh mục Marketplace có trong MVP: Pentesting Services và Consultants.</t>
        </is>
      </c>
      <c r="H111" s="14" t="inlineStr">
        <is>
          <t>NEW – Customer-confirmed Marketplace scope; Xavier confirmation 10-Sep-2026. Not included in presale WBS; add to task list for estimation.</t>
        </is>
      </c>
      <c r="I111" s="17" t="n"/>
      <c r="J111" s="17" t="n"/>
      <c r="K111" s="38" t="n">
        <v>10</v>
      </c>
    </row>
    <row r="112" ht="48.75" customHeight="1">
      <c r="A112" s="13" t="inlineStr">
        <is>
          <t>UC-MKT-002</t>
        </is>
      </c>
      <c r="B112" s="13" t="inlineStr">
        <is>
          <t>View Pentesting Service List</t>
        </is>
      </c>
      <c r="C112" s="13" t="inlineStr">
        <is>
          <t>Customer Admin, Customer User</t>
        </is>
      </c>
      <c r="D112" s="13" t="inlineStr">
        <is>
          <t>DT Marketplace</t>
        </is>
      </c>
      <c r="E112" s="14" t="inlineStr">
        <is>
          <t>Customer Portal</t>
        </is>
      </c>
      <c r="F112" s="14" t="inlineStr">
        <is>
          <t>View the list of available Pentesting Services provided in the Marketplace. MVP does not include search, filtering, booking or payment.</t>
        </is>
      </c>
      <c r="G112" s="14" t="inlineStr">
        <is>
          <t>Xem danh sách các Pentesting Service hiện có trên Marketplace. MVP không có tìm kiếm, lọc, đặt dịch vụ hay thanh toán.</t>
        </is>
      </c>
      <c r="H112" s="14" t="inlineStr">
        <is>
          <t>NEW – Customer-confirmed Marketplace scope; Pentesting list to be provided by SGS Taiwan team. Not included in presale WBS.</t>
        </is>
      </c>
      <c r="I112" s="17" t="n"/>
      <c r="J112" s="17" t="n"/>
      <c r="K112" s="38" t="n">
        <v>10</v>
      </c>
    </row>
    <row r="113" ht="64.5" customHeight="1">
      <c r="A113" s="13" t="inlineStr">
        <is>
          <t>UC-MKT-003</t>
        </is>
      </c>
      <c r="B113" s="13" t="inlineStr">
        <is>
          <t>View Pentesting Service Details</t>
        </is>
      </c>
      <c r="C113" s="13" t="inlineStr">
        <is>
          <t>Customer Admin, Customer User</t>
        </is>
      </c>
      <c r="D113" s="13" t="inlineStr">
        <is>
          <t>DT Marketplace</t>
        </is>
      </c>
      <c r="E113" s="14" t="inlineStr">
        <is>
          <t>Customer Portal</t>
        </is>
      </c>
      <c r="F113" s="14" t="inlineStr">
        <is>
          <t>View details of a selected Pentesting Service. For third-party Pentesting Services, DTP only displays the supplied service/provider information such as website, email and phone; no in-platform booking or payment is required.</t>
        </is>
      </c>
      <c r="G113" s="14" t="inlineStr">
        <is>
          <t>Xem chi tiết một Pentesting Service đã chọn. Với Pentesting Service của bên thứ ba, DTP chỉ hiển thị thông tin dịch vụ/nhà cung cấp được cung cấp như website, email và số điện thoại; không cần đặt dịch vụ hay thanh toán trong nền tảng.</t>
        </is>
      </c>
      <c r="H113" s="14" t="inlineStr">
        <is>
          <t>NEW – Customer-confirmed Marketplace scope; Xavier clarification on third-party Pentesting Services. Not included in presale WBS.</t>
        </is>
      </c>
      <c r="I113" s="17" t="n"/>
      <c r="J113" s="17" t="n"/>
      <c r="K113" s="38" t="n">
        <v>8</v>
      </c>
    </row>
    <row r="114" ht="64.5" customHeight="1">
      <c r="A114" s="13" t="inlineStr">
        <is>
          <t>UC-MKT-004</t>
        </is>
      </c>
      <c r="B114" s="13" t="inlineStr">
        <is>
          <t>View Consultant Details</t>
        </is>
      </c>
      <c r="C114" s="13" t="inlineStr">
        <is>
          <t>Customer Admin, Customer User</t>
        </is>
      </c>
      <c r="D114" s="13" t="inlineStr">
        <is>
          <t>DT Marketplace</t>
        </is>
      </c>
      <c r="E114" s="14" t="inlineStr">
        <is>
          <t>Customer Portal</t>
        </is>
      </c>
      <c r="F114" s="14" t="inlineStr">
        <is>
          <t>View the list of Consultants available through the Marketplace. Each Consultant is represented as an individual profile rather than only as a generic consulting service. MVP does not include search or filtering.</t>
        </is>
      </c>
      <c r="G114" s="14" t="inlineStr">
        <is>
          <t>Xem danh sách các Consultant có trên Marketplace. Mỗi Consultant được thể hiện bằng một hồ sơ cá nhân, không chỉ là một dịch vụ tư vấn chung. MVP không có tìm kiếm hay lọc.</t>
        </is>
      </c>
      <c r="H114" s="14" t="inlineStr">
        <is>
          <t>NEW – Customer-confirmed Marketplace scope; Consultant list to be provided by SGS Taiwan team. Not included in presale WBS.</t>
        </is>
      </c>
      <c r="I114" s="17" t="n"/>
      <c r="J114" s="17" t="n"/>
      <c r="K114" s="38" t="n">
        <v>10</v>
      </c>
    </row>
    <row r="115" ht="64.5" customHeight="1">
      <c r="A115" s="13" t="inlineStr">
        <is>
          <t>UC-MKT-005</t>
        </is>
      </c>
      <c r="B115" s="13" t="inlineStr">
        <is>
          <t>Customer Admin, Customer User</t>
        </is>
      </c>
      <c r="C115" s="13" t="inlineStr">
        <is>
          <t>Customer Admin, Customer User</t>
        </is>
      </c>
      <c r="D115" s="13" t="inlineStr">
        <is>
          <t>DT Marketplace</t>
        </is>
      </c>
      <c r="E115" s="14" t="inlineStr">
        <is>
          <t>Customer Portal</t>
        </is>
      </c>
      <c r="F115" s="14" t="inlineStr">
        <is>
          <t>View the profile and details of a selected Consultant. From the Consultant detail view, the customer can proceed to the existing Submit Service Request flow with that Consultant selected.</t>
        </is>
      </c>
      <c r="G115" s="14" t="inlineStr">
        <is>
          <t>Xem hồ sơ và chi tiết của một Consultant đã chọn. Từ màn chi tiết Consultant, khách hàng có thể chuyển sang luồng Submit Service Request hiện có với Consultant đó đã được chọn sẵn.</t>
        </is>
      </c>
      <c r="H115" s="14" t="inlineStr">
        <is>
          <t>NEW – Customer-confirmed Marketplace scope; Xavier confirmed individual Consultant profiles and customer selection of a specific Consultant. Not included in presale WBS.</t>
        </is>
      </c>
      <c r="I115" s="17" t="n"/>
      <c r="J115" s="17" t="n"/>
      <c r="K115" s="38" t="n">
        <v>12</v>
      </c>
    </row>
    <row r="116" ht="64.5" customHeight="1">
      <c r="A116" s="13" t="inlineStr">
        <is>
          <t>UC-MKT-006</t>
        </is>
      </c>
      <c r="B116" s="13" t="inlineStr">
        <is>
          <t>Manage Marketplace Content</t>
        </is>
      </c>
      <c r="C116" s="13" t="inlineStr">
        <is>
          <t>SGS Admin</t>
        </is>
      </c>
      <c r="D116" s="13" t="inlineStr">
        <is>
          <t>DT Marketplace</t>
        </is>
      </c>
      <c r="E116" s="14" t="inlineStr">
        <is>
          <t>SGS Portal</t>
        </is>
      </c>
      <c r="F116" s="14" t="inlineStr">
        <is>
          <t>Create, update, activate/deactivate and remove Marketplace content for Pentesting Services and Consultant profiles. Marketplace content is maintained by SGS Admin.</t>
        </is>
      </c>
      <c r="G116" s="14" t="inlineStr">
        <is>
          <t>Tạo, cập nhật, kích hoạt/vô hiệu hoá và gỡ nội dung Marketplace cho Pentesting Services và hồ sơ Consultant. Nội dung Marketplace do SGS Admin quản lý.</t>
        </is>
      </c>
      <c r="H116" s="14" t="inlineStr">
        <is>
          <t>NEW – Customer-confirmed Marketplace administration; Xavier confirmed content is maintained by SGS Admin. Not included in presale WBS; requires estimation.</t>
        </is>
      </c>
      <c r="I116" s="17" t="n"/>
      <c r="J116" s="17" t="n"/>
      <c r="K116" s="38" t="n">
        <v>28</v>
      </c>
    </row>
    <row r="117">
      <c r="A117" s="26" t="inlineStr">
        <is>
          <t>30. Statement of Applicability</t>
        </is>
      </c>
      <c r="B117" s="26" t="n"/>
      <c r="C117" s="26" t="n"/>
      <c r="D117" s="26" t="n"/>
      <c r="E117" s="28" t="n"/>
      <c r="F117" s="28" t="n"/>
      <c r="G117" s="28" t="n"/>
      <c r="H117" s="28" t="n"/>
      <c r="I117" s="31" t="n"/>
      <c r="J117" s="29" t="n"/>
      <c r="K117" s="34">
        <f>SUM(K118:K123)</f>
        <v/>
      </c>
    </row>
    <row r="118" ht="48.75" customHeight="1">
      <c r="A118" s="13" t="inlineStr">
        <is>
          <t>UC-SOA-001</t>
        </is>
      </c>
      <c r="B118" s="13" t="inlineStr">
        <is>
          <t>Manage Statement of Applicability</t>
        </is>
      </c>
      <c r="C118" s="13" t="inlineStr">
        <is>
          <t>Customer Admin, Customer User</t>
        </is>
      </c>
      <c r="D118" s="13" t="inlineStr">
        <is>
          <t>Statement of Applicability</t>
        </is>
      </c>
      <c r="E118" s="14" t="inlineStr">
        <is>
          <t>Customer Portal</t>
        </is>
      </c>
      <c r="F118" s="14" t="inlineStr">
        <is>
          <t>Define and maintain whether each requirement/control is applicable or not applicable for a selected Scope and Framework, including the justification for exclusions.</t>
        </is>
      </c>
      <c r="G118" s="14" t="inlineStr">
        <is>
          <t>Xác định và duy trì việc từng requirement/control là áp dụng (applicable) hay không áp dụng (not applicable) cho một Scope và Framework đã chọn, gồm cả lý do loại trừ.</t>
        </is>
      </c>
      <c r="H118" s="14" t="n"/>
      <c r="I118" s="17" t="n"/>
      <c r="J118" s="17" t="n"/>
      <c r="K118" s="38" t="n"/>
    </row>
    <row r="119" ht="64.5" customHeight="1">
      <c r="A119" s="13" t="inlineStr">
        <is>
          <t>UC-SOA-002</t>
        </is>
      </c>
      <c r="B119" s="13" t="inlineStr">
        <is>
          <t>View Statement of Applicability</t>
        </is>
      </c>
      <c r="C119" s="13" t="inlineStr">
        <is>
          <t>Customer Admin, Customer User, SGS Admin, SGS Auditor, SGS Consultant (View Only)</t>
        </is>
      </c>
      <c r="D119" s="13" t="inlineStr">
        <is>
          <t>Statement of Applicability</t>
        </is>
      </c>
      <c r="E119" s="14" t="inlineStr">
        <is>
          <t>Customer Portal &amp; SGS Portal</t>
        </is>
      </c>
      <c r="F119" s="14" t="inlineStr">
        <is>
          <t>View the Statement of Applicability for a selected Scope and Framework, including each requirement/control's applicability status and the justification for controls marked as not applicable.</t>
        </is>
      </c>
      <c r="G119" s="14" t="inlineStr">
        <is>
          <t>Xem Statement of Applicability của một Scope và Framework đã chọn, gồm trạng thái áp dụng của từng requirement/control và lý do đối với các control được đánh dấu không áp dụng.</t>
        </is>
      </c>
      <c r="H119" s="14" t="n"/>
      <c r="I119" s="17" t="n"/>
      <c r="J119" s="17" t="n"/>
      <c r="K119" s="38" t="n"/>
    </row>
    <row r="122">
      <c r="A122" s="5" t="n"/>
    </row>
    <row r="131">
      <c r="A131" s="5" t="n"/>
    </row>
    <row r="139">
      <c r="A139" s="5" t="n"/>
    </row>
    <row r="147">
      <c r="A147" s="5" t="n"/>
    </row>
  </sheetData>
  <autoFilter ref="A1:J1"/>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K110"/>
  <sheetViews>
    <sheetView zoomScale="70" zoomScaleNormal="70" workbookViewId="0">
      <pane ySplit="1" topLeftCell="A76" activePane="bottomLeft" state="frozen"/>
      <selection pane="bottomLeft" activeCell="C85" sqref="C85"/>
    </sheetView>
  </sheetViews>
  <sheetFormatPr baseColWidth="8" defaultColWidth="18" defaultRowHeight="15.75"/>
  <cols>
    <col width="13.375" customWidth="1" style="6" min="1" max="1"/>
    <col width="28.75" customWidth="1" style="6" min="2" max="2"/>
    <col width="25.125" customWidth="1" style="6" min="3" max="3"/>
    <col width="18.375" customWidth="1" style="6" min="4" max="5"/>
    <col width="13" customWidth="1" min="5" max="5"/>
    <col width="47.875" customWidth="1" style="7" min="6" max="6"/>
    <col width="47.875" customWidth="1" style="7" min="7" max="7"/>
    <col width="40.125" customWidth="1" style="18" min="8" max="8"/>
    <col width="13" customWidth="1" style="18" min="9" max="9"/>
    <col width="47.25" customWidth="1" style="18" min="10" max="10"/>
    <col width="34.75" customWidth="1" style="6" min="11" max="16384"/>
  </cols>
  <sheetData>
    <row r="1" ht="32.25" customFormat="1" customHeight="1" s="4">
      <c r="A1" s="8" t="inlineStr">
        <is>
          <t>UC ID</t>
        </is>
      </c>
      <c r="B1" s="8" t="inlineStr">
        <is>
          <t>Use Case Name</t>
        </is>
      </c>
      <c r="C1" s="8" t="inlineStr">
        <is>
          <t>Actor</t>
        </is>
      </c>
      <c r="D1" s="8" t="inlineStr">
        <is>
          <t>Module/Feature</t>
        </is>
      </c>
      <c r="E1" s="8" t="inlineStr">
        <is>
          <t>Portal</t>
        </is>
      </c>
      <c r="F1" s="9" t="inlineStr">
        <is>
          <t>Description</t>
        </is>
      </c>
      <c r="G1" s="9" t="inlineStr">
        <is>
          <t>Description (Tiếng Việt)</t>
        </is>
      </c>
      <c r="H1" s="9" t="inlineStr">
        <is>
          <t>WBS Reference</t>
        </is>
      </c>
      <c r="I1" s="9" t="inlineStr">
        <is>
          <t>LTS suggestion</t>
        </is>
      </c>
      <c r="J1" s="22" t="inlineStr">
        <is>
          <t>SGS Comments</t>
        </is>
      </c>
      <c r="K1" s="36" t="inlineStr">
        <is>
          <t>ESt (Hour)</t>
        </is>
      </c>
    </row>
    <row r="2" ht="32.25" customFormat="1" customHeight="1" s="4">
      <c r="A2" s="8" t="n"/>
      <c r="B2" s="8" t="n"/>
      <c r="C2" s="8" t="n"/>
      <c r="D2" s="8" t="n"/>
      <c r="E2" s="8" t="n"/>
      <c r="F2" s="9" t="n"/>
      <c r="G2" s="9" t="n"/>
      <c r="H2" s="9" t="n"/>
      <c r="I2" s="9" t="n"/>
      <c r="J2" s="22" t="n"/>
      <c r="K2" s="35">
        <f>SUM($K3,$K6,$K12,$K16,#REF!,$K18,$K21,$K30,$K33,$K37,$K40,$K43,$K45,#REF!,$K50,$K54,$K60,#REF!,#REF!,$K65,$K67,$K73,$K80,#REF!,#REF!,)</f>
        <v/>
      </c>
    </row>
    <row r="3" customFormat="1" s="30">
      <c r="A3" s="26" t="inlineStr">
        <is>
          <t>1. Authentication</t>
        </is>
      </c>
      <c r="B3" s="26" t="n"/>
      <c r="C3" s="26" t="n"/>
      <c r="D3" s="26" t="n"/>
      <c r="E3" s="27" t="n"/>
      <c r="F3" s="28" t="n"/>
      <c r="G3" s="28" t="n"/>
      <c r="H3" s="28" t="n"/>
      <c r="I3" s="29" t="n"/>
      <c r="J3" s="29" t="n"/>
      <c r="K3" s="34">
        <f>SUM(K4:K5)</f>
        <v/>
      </c>
    </row>
    <row r="4" ht="48.75" customFormat="1" customHeight="1" s="15">
      <c r="A4" s="19" t="inlineStr">
        <is>
          <t>UC-AUTH-003</t>
        </is>
      </c>
      <c r="B4" s="19" t="inlineStr">
        <is>
          <t>Request Password Reset</t>
        </is>
      </c>
      <c r="C4" s="19" t="inlineStr">
        <is>
          <t>All authenticated roles</t>
        </is>
      </c>
      <c r="D4" s="19" t="inlineStr">
        <is>
          <t>Authentication</t>
        </is>
      </c>
      <c r="E4" s="20" t="inlineStr">
        <is>
          <t>Customer Portal &amp; SGS Portal</t>
        </is>
      </c>
      <c r="F4" s="20" t="inlineStr">
        <is>
          <t>Request a password reset link when the password cannot be recalled, and set a new password from that link.</t>
        </is>
      </c>
      <c r="G4" s="20" t="inlineStr">
        <is>
          <t>Yêu cầu đường dẫn đặt lại mật khẩu khi không nhớ mật khẩu, và đặt mật khẩu mới từ đường dẫn đó.</t>
        </is>
      </c>
      <c r="H4" s="20" t="inlineStr">
        <is>
          <t>Implicit — CP-01 (P1) — self-service password reset not named; only auth API, password policy, session timeout</t>
        </is>
      </c>
      <c r="I4" s="21" t="inlineStr">
        <is>
          <t>Phase 2</t>
        </is>
      </c>
      <c r="J4" s="23" t="inlineStr">
        <is>
          <t>Ok. In case reset is needed, team can support the client</t>
        </is>
      </c>
      <c r="K4" s="37" t="n"/>
    </row>
    <row r="5" ht="32.25" customFormat="1" customHeight="1" s="15">
      <c r="A5" s="19" t="inlineStr">
        <is>
          <t>UC-AUTH-004</t>
        </is>
      </c>
      <c r="B5" s="19" t="inlineStr">
        <is>
          <t>Change Own Password</t>
        </is>
      </c>
      <c r="C5" s="19" t="inlineStr">
        <is>
          <t>All authenticated roles</t>
        </is>
      </c>
      <c r="D5" s="19" t="inlineStr">
        <is>
          <t>Authentication</t>
        </is>
      </c>
      <c r="E5" s="20" t="inlineStr">
        <is>
          <t>Customer Portal &amp; SGS Portal</t>
        </is>
      </c>
      <c r="F5" s="20" t="inlineStr">
        <is>
          <t>Change the current password while authenticated, subject to the SGS password policy.</t>
        </is>
      </c>
      <c r="G5" s="20" t="inlineStr">
        <is>
          <t>Đổi mật khẩu hiện tại khi đang đăng nhập, tuân theo chính sách mật khẩu của SGS.</t>
        </is>
      </c>
      <c r="H5" s="20" t="inlineStr">
        <is>
          <t>Implicit — CP-01 (P1) — change-password not named</t>
        </is>
      </c>
      <c r="I5" s="21" t="inlineStr">
        <is>
          <t>Phase 2</t>
        </is>
      </c>
      <c r="J5" s="23" t="inlineStr">
        <is>
          <t>Ok. In case reset is needed, team can support the client</t>
        </is>
      </c>
      <c r="K5" s="37" t="n"/>
    </row>
    <row r="6" customFormat="1" s="30">
      <c r="A6" s="26" t="inlineStr">
        <is>
          <t>2. User &amp; Profile Management</t>
        </is>
      </c>
      <c r="B6" s="26" t="n"/>
      <c r="C6" s="26" t="n"/>
      <c r="D6" s="26" t="n"/>
      <c r="E6" s="27" t="n"/>
      <c r="F6" s="28" t="n"/>
      <c r="G6" s="28" t="n"/>
      <c r="H6" s="28" t="n"/>
      <c r="I6" s="29" t="n"/>
      <c r="J6" s="29" t="n"/>
      <c r="K6" s="34">
        <f>SUM(K7:K11)</f>
        <v/>
      </c>
    </row>
    <row r="7" ht="32.25" customFormat="1" customHeight="1" s="15">
      <c r="A7" s="19" t="inlineStr">
        <is>
          <t>UC-USR-004</t>
        </is>
      </c>
      <c r="B7" s="19" t="inlineStr">
        <is>
          <t>Edit User Account</t>
        </is>
      </c>
      <c r="C7" s="19" t="inlineStr">
        <is>
          <t>Customer Admin, SGS Admin</t>
        </is>
      </c>
      <c r="D7" s="19" t="inlineStr">
        <is>
          <t>User Management</t>
        </is>
      </c>
      <c r="E7" s="20" t="inlineStr">
        <is>
          <t>Customer Portal &amp; SGS Portal</t>
        </is>
      </c>
      <c r="F7" s="20" t="inlineStr">
        <is>
          <t>Update another user's account attributes maintained by an administrator.</t>
        </is>
      </c>
      <c r="G7" s="20" t="inlineStr">
        <is>
          <t>Cập nhật các thuộc tính tài khoản của người dùng khác do quản trị viên quản lý.</t>
        </is>
      </c>
      <c r="H7" s="20" t="inlineStr">
        <is>
          <t>CP-05 Create and manage customer users (P1); OPS-05 Customer and user administration (P1)</t>
        </is>
      </c>
      <c r="I7" s="21" t="inlineStr">
        <is>
          <t>Phase 2</t>
        </is>
      </c>
      <c r="J7" s="17" t="n"/>
      <c r="K7" s="38" t="n"/>
    </row>
    <row r="8" ht="32.25" customFormat="1" customHeight="1" s="15">
      <c r="A8" s="19" t="inlineStr">
        <is>
          <t>UC-USR-007</t>
        </is>
      </c>
      <c r="B8" s="19" t="inlineStr">
        <is>
          <t>Activate User Account</t>
        </is>
      </c>
      <c r="C8" s="19" t="inlineStr">
        <is>
          <t>Customer Admin, SGS Admin</t>
        </is>
      </c>
      <c r="D8" s="19" t="inlineStr">
        <is>
          <t>User Management</t>
        </is>
      </c>
      <c r="E8" s="20" t="inlineStr">
        <is>
          <t>Customer Portal &amp; SGS Portal</t>
        </is>
      </c>
      <c r="F8" s="20" t="inlineStr">
        <is>
          <t>Re-enable a previously deactivated user account.</t>
        </is>
      </c>
      <c r="G8" s="20" t="inlineStr">
        <is>
          <t>Bật lại một tài khoản người dùng đã bị vô hiệu hoá trước đó.</t>
        </is>
      </c>
      <c r="H8" s="20" t="inlineStr">
        <is>
          <t>Implicit — OPS-05 'Reset/disable access' (P1) — re-activation not named</t>
        </is>
      </c>
      <c r="I8" s="21" t="inlineStr">
        <is>
          <t>Phase 2</t>
        </is>
      </c>
      <c r="J8" s="17" t="n"/>
      <c r="K8" s="38" t="n"/>
    </row>
    <row r="9" ht="32.25" customFormat="1" customHeight="1" s="15">
      <c r="A9" s="19" t="inlineStr">
        <is>
          <t>UC-USR-008</t>
        </is>
      </c>
      <c r="B9" s="19" t="inlineStr">
        <is>
          <t>Deactivate User Account</t>
        </is>
      </c>
      <c r="C9" s="19" t="inlineStr">
        <is>
          <t>Customer Admin, SGS Admin</t>
        </is>
      </c>
      <c r="D9" s="19" t="inlineStr">
        <is>
          <t>User Management</t>
        </is>
      </c>
      <c r="E9" s="20" t="inlineStr">
        <is>
          <t>Customer Portal &amp; SGS Portal</t>
        </is>
      </c>
      <c r="F9" s="20" t="inlineStr">
        <is>
          <t>Disable a user's access while retaining the user record and its history.</t>
        </is>
      </c>
      <c r="G9" s="20" t="inlineStr">
        <is>
          <t>Vô hiệu hoá quyền truy cập của một người dùng, đồng thời giữ lại bản ghi người dùng và lịch sử của nó.</t>
        </is>
      </c>
      <c r="H9" s="20" t="inlineStr">
        <is>
          <t>OPS-05 Customer and user administration (P1)</t>
        </is>
      </c>
      <c r="I9" s="21" t="inlineStr">
        <is>
          <t>Phase 2</t>
        </is>
      </c>
      <c r="J9" s="17" t="n"/>
      <c r="K9" s="38" t="n"/>
    </row>
    <row r="10" ht="32.25" customFormat="1" customHeight="1" s="15">
      <c r="A10" s="19" t="inlineStr">
        <is>
          <t>UC-USR-009</t>
        </is>
      </c>
      <c r="B10" s="19" t="inlineStr">
        <is>
          <t>Delete User Account</t>
        </is>
      </c>
      <c r="C10" s="19" t="inlineStr">
        <is>
          <t>Customer Admin, SGS Admin</t>
        </is>
      </c>
      <c r="D10" s="19" t="inlineStr">
        <is>
          <t>User Management</t>
        </is>
      </c>
      <c r="E10" s="20" t="inlineStr">
        <is>
          <t>Customer Portal &amp; SGS Portal</t>
        </is>
      </c>
      <c r="F10" s="20" t="inlineStr">
        <is>
          <t xml:space="preserve"> </t>
        </is>
      </c>
      <c r="G10" s="20" t="inlineStr">
        <is>
          <t>[Ô Description trong file gốc để trống]</t>
        </is>
      </c>
      <c r="H10" s="20" t="inlineStr">
        <is>
          <t>CP-05 Create and manage customer users (P1); OPS-05 Customer and user administration (P1)</t>
        </is>
      </c>
      <c r="I10" s="21" t="inlineStr">
        <is>
          <t>Phase 2</t>
        </is>
      </c>
      <c r="J10" s="17" t="n"/>
      <c r="K10" s="38" t="n"/>
    </row>
    <row r="11" ht="64.5" customFormat="1" customHeight="1" s="15">
      <c r="A11" s="19" t="inlineStr">
        <is>
          <t>UC-USR-010</t>
        </is>
      </c>
      <c r="B11" s="19" t="inlineStr">
        <is>
          <t>Reset User Password</t>
        </is>
      </c>
      <c r="C11" s="19" t="inlineStr">
        <is>
          <t>Customer Admin, SGS Admin</t>
        </is>
      </c>
      <c r="D11" s="19" t="inlineStr">
        <is>
          <t>User Management</t>
        </is>
      </c>
      <c r="E11" s="20" t="inlineStr">
        <is>
          <t>Customer Portal &amp; SGS Portal</t>
        </is>
      </c>
      <c r="F11" s="20" t="inlineStr">
        <is>
          <t>Trigger the administrator password-reset flow for another user without exposing the new password to the administrator; a temporary password is issued to the account owner, who must change it on first login.</t>
        </is>
      </c>
      <c r="G11" s="20" t="inlineStr">
        <is>
          <t>Kích hoạt luồng đặt lại mật khẩu do quản trị viên thực hiện cho người dùng khác mà không để lộ mật khẩu mới cho quản trị viên; một mật khẩu tạm được cấp cho chủ tài khoản, người này phải đổi mật khẩu ở lần đăng nhập đầu tiên.</t>
        </is>
      </c>
      <c r="H11" s="20" t="inlineStr">
        <is>
          <t>OPS-05 Customer and user administration (P1); Q&amp;A #45</t>
        </is>
      </c>
      <c r="I11" s="21" t="inlineStr">
        <is>
          <t>Phase 2</t>
        </is>
      </c>
      <c r="J11" s="17" t="n"/>
      <c r="K11" s="38" t="n"/>
    </row>
    <row r="12" customFormat="1" s="30">
      <c r="A12" s="26" t="inlineStr">
        <is>
          <t>3. Role &amp; Permission Administration</t>
        </is>
      </c>
      <c r="B12" s="26" t="n"/>
      <c r="C12" s="26" t="n"/>
      <c r="D12" s="26" t="n"/>
      <c r="E12" s="27" t="n"/>
      <c r="F12" s="28" t="n"/>
      <c r="G12" s="28" t="n"/>
      <c r="H12" s="28" t="n"/>
      <c r="I12" s="29" t="n"/>
      <c r="J12" s="29" t="n"/>
      <c r="K12" s="34">
        <f>SUM(K13:K15)</f>
        <v/>
      </c>
    </row>
    <row r="13" ht="48.75" customFormat="1" customHeight="1" s="15">
      <c r="A13" s="19" t="inlineStr">
        <is>
          <t>UC-ROL-003</t>
        </is>
      </c>
      <c r="B13" s="19" t="inlineStr">
        <is>
          <t>Create Role</t>
        </is>
      </c>
      <c r="C13" s="19" t="inlineStr">
        <is>
          <t>SGS Admin</t>
        </is>
      </c>
      <c r="D13" s="19" t="inlineStr">
        <is>
          <t>Role &amp; Permission</t>
        </is>
      </c>
      <c r="E13" s="20" t="inlineStr">
        <is>
          <t>SGS Portal</t>
        </is>
      </c>
      <c r="F13" s="20" t="inlineStr">
        <is>
          <t>Define a new role and select its permission set.</t>
        </is>
      </c>
      <c r="G13" s="20" t="inlineStr">
        <is>
          <t>Định nghĩa một vai trò mới và chọn bộ quyền của nó.</t>
        </is>
      </c>
      <c r="H13" s="20" t="inlineStr">
        <is>
          <t>PRESALE WBS GAP — No role authoring in the estimation; FRD assumption 4.3 fixes a 7-role RBAC model</t>
        </is>
      </c>
      <c r="I13" s="21" t="inlineStr">
        <is>
          <t>Phase 2</t>
        </is>
      </c>
      <c r="J13" s="17" t="n"/>
      <c r="K13" s="38" t="n"/>
    </row>
    <row r="14" ht="48.75" customFormat="1" customHeight="1" s="15">
      <c r="A14" s="19" t="inlineStr">
        <is>
          <t>UC-ROL-004</t>
        </is>
      </c>
      <c r="B14" s="19" t="inlineStr">
        <is>
          <t>Edit Role Permissions</t>
        </is>
      </c>
      <c r="C14" s="19" t="inlineStr">
        <is>
          <t>SGS Admin</t>
        </is>
      </c>
      <c r="D14" s="19" t="inlineStr">
        <is>
          <t>Role &amp; Permission</t>
        </is>
      </c>
      <c r="E14" s="20" t="inlineStr">
        <is>
          <t>SGS Portal</t>
        </is>
      </c>
      <c r="F14" s="20" t="inlineStr">
        <is>
          <t>Modify the permission set of a custom role.</t>
        </is>
      </c>
      <c r="G14" s="20" t="inlineStr">
        <is>
          <t>Sửa bộ quyền của một vai trò tuỳ chỉnh (custom role).</t>
        </is>
      </c>
      <c r="H14" s="20" t="inlineStr">
        <is>
          <t>PRESALE WBS GAP — No permission authoring in the estimation; FRD assumption 4.3 fixes a 7-role RBAC model</t>
        </is>
      </c>
      <c r="I14" s="21" t="inlineStr">
        <is>
          <t>Phase 2</t>
        </is>
      </c>
      <c r="J14" s="17" t="n"/>
      <c r="K14" s="38" t="n"/>
    </row>
    <row r="15" ht="48.75" customFormat="1" customHeight="1" s="15">
      <c r="A15" s="19" t="inlineStr">
        <is>
          <t>UC-ROL-005</t>
        </is>
      </c>
      <c r="B15" s="19" t="inlineStr">
        <is>
          <t>Delete Role</t>
        </is>
      </c>
      <c r="C15" s="19" t="inlineStr">
        <is>
          <t>SGS Admin</t>
        </is>
      </c>
      <c r="D15" s="19" t="inlineStr">
        <is>
          <t>Role &amp; Permission</t>
        </is>
      </c>
      <c r="E15" s="20" t="inlineStr">
        <is>
          <t>SGS Portal</t>
        </is>
      </c>
      <c r="F15" s="20" t="inlineStr">
        <is>
          <t>Remove a custom role that is no longer assigned to any user.</t>
        </is>
      </c>
      <c r="G15" s="20" t="inlineStr">
        <is>
          <t>Xoá một vai trò tuỳ chỉnh không còn được gán cho người dùng nào.</t>
        </is>
      </c>
      <c r="H15" s="20" t="inlineStr">
        <is>
          <t>PRESALE WBS GAP — No role authoring in the estimation; FRD assumption 4.3 fixes a 7-role RBAC model</t>
        </is>
      </c>
      <c r="I15" s="21" t="inlineStr">
        <is>
          <t>Phase 2</t>
        </is>
      </c>
      <c r="J15" s="17" t="n"/>
      <c r="K15" s="38" t="n"/>
    </row>
    <row r="16" customFormat="1" s="30">
      <c r="A16" s="26" t="inlineStr">
        <is>
          <t>5. Notification</t>
        </is>
      </c>
      <c r="B16" s="26" t="n"/>
      <c r="C16" s="26" t="n"/>
      <c r="D16" s="26" t="n"/>
      <c r="E16" s="27" t="n"/>
      <c r="F16" s="28" t="n"/>
      <c r="G16" s="28" t="n"/>
      <c r="H16" s="28" t="n"/>
      <c r="I16" s="29" t="n"/>
      <c r="J16" s="29" t="n"/>
      <c r="K16" s="34">
        <f>SUM(K17:K17)</f>
        <v/>
      </c>
    </row>
    <row r="17" ht="32.25" customFormat="1" customHeight="1" s="15">
      <c r="A17" s="19" t="inlineStr">
        <is>
          <t>UC-NTF-003</t>
        </is>
      </c>
      <c r="B17" s="19" t="inlineStr">
        <is>
          <t>Manage Notification Templates and Events</t>
        </is>
      </c>
      <c r="C17" s="19" t="inlineStr">
        <is>
          <t>SGS Admin</t>
        </is>
      </c>
      <c r="D17" s="19" t="inlineStr">
        <is>
          <t>Notification</t>
        </is>
      </c>
      <c r="E17" s="20" t="inlineStr">
        <is>
          <t>SGS Portal</t>
        </is>
      </c>
      <c r="F17" s="20" t="inlineStr">
        <is>
          <t>Maintain notification templates and the mapping of platform events to templates and recipient rules.</t>
        </is>
      </c>
      <c r="G17" s="20" t="inlineStr">
        <is>
          <t>Duy trì các mẫu thông báo và ánh xạ giữa sự kiện của nền tảng với mẫu thông báo và quy tắc người nhận.</t>
        </is>
      </c>
      <c r="H17" s="20" t="inlineStr">
        <is>
          <t>OPS-23 Platform notifications admin (P1)</t>
        </is>
      </c>
      <c r="I17" s="21" t="inlineStr">
        <is>
          <t>Phase 2</t>
        </is>
      </c>
      <c r="J17" s="17" t="n"/>
      <c r="K17" s="38" t="n"/>
    </row>
    <row r="18" customFormat="1" s="30">
      <c r="A18" s="26" t="inlineStr">
        <is>
          <t>7. Framework Content Management</t>
        </is>
      </c>
      <c r="B18" s="26" t="n"/>
      <c r="C18" s="26" t="n"/>
      <c r="D18" s="26" t="n"/>
      <c r="E18" s="27" t="n"/>
      <c r="F18" s="28" t="n"/>
      <c r="G18" s="28" t="n"/>
      <c r="H18" s="28" t="n"/>
      <c r="I18" s="29" t="n"/>
      <c r="J18" s="29" t="n"/>
      <c r="K18" s="34">
        <f>SUM(K19:K20)</f>
        <v/>
      </c>
    </row>
    <row r="19" ht="32.25" customFormat="1" customHeight="1" s="15">
      <c r="A19" s="19" t="inlineStr">
        <is>
          <t>UC-FWK-006</t>
        </is>
      </c>
      <c r="B19" s="19" t="inlineStr">
        <is>
          <t>Edit Requirement or Control</t>
        </is>
      </c>
      <c r="C19" s="19" t="inlineStr">
        <is>
          <t>SGS Admin</t>
        </is>
      </c>
      <c r="D19" s="19" t="inlineStr">
        <is>
          <t>Framework Content</t>
        </is>
      </c>
      <c r="E19" s="20" t="inlineStr">
        <is>
          <t>SGS Portal</t>
        </is>
      </c>
      <c r="F19" s="20" t="inlineStr">
        <is>
          <t>Modify the text, hierarchy position, applicability level or attributes of a requirement or control.</t>
        </is>
      </c>
      <c r="G19" s="20" t="inlineStr">
        <is>
          <t>Sửa nội dung, vị trí trong cây phân cấp, mức áp dụng hoặc các thuộc tính của một requirement hoặc control.</t>
        </is>
      </c>
      <c r="H19" s="20" t="inlineStr">
        <is>
          <t>A5 Framework dynamic management (P1); OPS-07 Framework and cert configuration (P1)</t>
        </is>
      </c>
      <c r="I19" s="21" t="inlineStr">
        <is>
          <t>Phase 2</t>
        </is>
      </c>
      <c r="J19" s="17" t="n"/>
      <c r="K19" s="38" t="n"/>
    </row>
    <row r="20" ht="32.25" customFormat="1" customHeight="1" s="15">
      <c r="A20" s="19" t="inlineStr">
        <is>
          <t>UC-FWK-014</t>
        </is>
      </c>
      <c r="B20" s="19" t="inlineStr">
        <is>
          <t>Deactivate Framework</t>
        </is>
      </c>
      <c r="C20" s="19" t="inlineStr">
        <is>
          <t>SGS Admin</t>
        </is>
      </c>
      <c r="D20" s="19" t="inlineStr">
        <is>
          <t>Framework Content</t>
        </is>
      </c>
      <c r="E20" s="20" t="inlineStr">
        <is>
          <t>SGS Portal</t>
        </is>
      </c>
      <c r="F20" s="20" t="inlineStr">
        <is>
          <t>Withdraw a framework from new use while preserving all historical usage and records.</t>
        </is>
      </c>
      <c r="G20" s="20" t="inlineStr">
        <is>
          <t>Rút một framework khỏi việc sử dụng mới, đồng thời giữ nguyên toàn bộ lịch sử sử dụng và bản ghi.</t>
        </is>
      </c>
      <c r="H20" s="20" t="inlineStr">
        <is>
          <t>PRESALE WBS GAP — Framework deactivation not priced; nearest OPS-07 admin config (P2)</t>
        </is>
      </c>
      <c r="I20" s="21" t="inlineStr">
        <is>
          <t>Phase 2</t>
        </is>
      </c>
      <c r="J20" s="17" t="n"/>
      <c r="K20" s="38" t="n"/>
    </row>
    <row r="21" customFormat="1" s="30">
      <c r="A21" s="26" t="inlineStr">
        <is>
          <t>8. Certification Configuration</t>
        </is>
      </c>
      <c r="B21" s="26" t="n"/>
      <c r="C21" s="26" t="n"/>
      <c r="D21" s="26" t="n"/>
      <c r="E21" s="27" t="n"/>
      <c r="F21" s="28" t="n"/>
      <c r="G21" s="28" t="n"/>
      <c r="H21" s="28" t="n"/>
      <c r="I21" s="29" t="n"/>
      <c r="J21" s="29" t="n"/>
      <c r="K21" s="34">
        <f>SUM(K22:K29)</f>
        <v/>
      </c>
    </row>
    <row r="22" ht="32.25" customFormat="1" customHeight="1" s="15">
      <c r="A22" s="19" t="inlineStr">
        <is>
          <t>UC-SCH-001</t>
        </is>
      </c>
      <c r="B22" s="19" t="inlineStr">
        <is>
          <t>View Certification Scheme List</t>
        </is>
      </c>
      <c r="C22" s="19" t="inlineStr">
        <is>
          <t>SGS Admin</t>
        </is>
      </c>
      <c r="D22" s="19" t="inlineStr">
        <is>
          <t>Certification Scheme</t>
        </is>
      </c>
      <c r="E22" s="20" t="inlineStr">
        <is>
          <t>SGS Portal</t>
        </is>
      </c>
      <c r="F22" s="20" t="inlineStr">
        <is>
          <t>View the certification schemes configured on the platform.</t>
        </is>
      </c>
      <c r="G22" s="20" t="inlineStr">
        <is>
          <t>Xem các certification scheme đã cấu hình trên nền tảng.</t>
        </is>
      </c>
      <c r="H22" s="20" t="inlineStr">
        <is>
          <t>Implicit — OPS-07 cert configuration (P2) — no certification scheme entity is named</t>
        </is>
      </c>
      <c r="I22" s="21" t="inlineStr">
        <is>
          <t>Phase 2</t>
        </is>
      </c>
      <c r="J22" s="17" t="n"/>
      <c r="K22" s="38" t="n"/>
    </row>
    <row r="23" ht="32.25" customFormat="1" customHeight="1" s="15">
      <c r="A23" s="19" t="inlineStr">
        <is>
          <t>UC-SCH-002</t>
        </is>
      </c>
      <c r="B23" s="19" t="inlineStr">
        <is>
          <t>View Certification Scheme Details</t>
        </is>
      </c>
      <c r="C23" s="19" t="inlineStr">
        <is>
          <t>SGS Admin</t>
        </is>
      </c>
      <c r="D23" s="19" t="inlineStr">
        <is>
          <t>Certification Scheme</t>
        </is>
      </c>
      <c r="E23" s="20" t="inlineStr">
        <is>
          <t>SGS Portal</t>
        </is>
      </c>
      <c r="F23" s="20" t="inlineStr">
        <is>
          <t>View a scheme's record structure, permitted statuses, sharing rules and maintenance cycle configuration.</t>
        </is>
      </c>
      <c r="G23" s="20" t="inlineStr">
        <is>
          <t>Xem cấu trúc bản ghi, các trạng thái được phép, quy tắc chia sẻ và cấu hình chu kỳ duy trì của một scheme.</t>
        </is>
      </c>
      <c r="H23" s="20" t="inlineStr">
        <is>
          <t>Implicit — OPS-07 (P2) — no certification scheme entity is named</t>
        </is>
      </c>
      <c r="I23" s="21" t="inlineStr">
        <is>
          <t>Phase 2</t>
        </is>
      </c>
      <c r="J23" s="17" t="n"/>
      <c r="K23" s="38" t="n"/>
    </row>
    <row r="24" ht="48.75" customFormat="1" customHeight="1" s="15">
      <c r="A24" s="19" t="inlineStr">
        <is>
          <t>UC-SCH-003</t>
        </is>
      </c>
      <c r="B24" s="19" t="inlineStr">
        <is>
          <t>Create Certification Scheme</t>
        </is>
      </c>
      <c r="C24" s="19" t="inlineStr">
        <is>
          <t>SGS Admin</t>
        </is>
      </c>
      <c r="D24" s="19" t="inlineStr">
        <is>
          <t>Certification Scheme</t>
        </is>
      </c>
      <c r="E24" s="20" t="inlineStr">
        <is>
          <t>SGS Portal</t>
        </is>
      </c>
      <c r="F24" s="20" t="inlineStr">
        <is>
          <t>Define a new certification scheme linked to a framework, so certification records can be raised against it.</t>
        </is>
      </c>
      <c r="G24" s="20" t="inlineStr">
        <is>
          <t>Định nghĩa một certification scheme mới gắn với một framework, để có thể tạo bản ghi chứng nhận theo scheme đó.</t>
        </is>
      </c>
      <c r="H24" s="20" t="inlineStr">
        <is>
          <t>PRESALE WBS GAP — No certification scheme object in the estimation; OPS-07 (P2) configures fields on records only</t>
        </is>
      </c>
      <c r="I24" s="21" t="inlineStr">
        <is>
          <t>Phase 2</t>
        </is>
      </c>
      <c r="J24" s="17" t="n"/>
      <c r="K24" s="38" t="n"/>
    </row>
    <row r="25" ht="32.25" customFormat="1" customHeight="1" s="15">
      <c r="A25" s="19" t="inlineStr">
        <is>
          <t>UC-SCH-004</t>
        </is>
      </c>
      <c r="B25" s="19" t="inlineStr">
        <is>
          <t>Configure Certification Record Fields and Statuses</t>
        </is>
      </c>
      <c r="C25" s="19" t="inlineStr">
        <is>
          <t>SGS Admin</t>
        </is>
      </c>
      <c r="D25" s="19" t="inlineStr">
        <is>
          <t>Certification Scheme</t>
        </is>
      </c>
      <c r="E25" s="20" t="inlineStr">
        <is>
          <t>SGS Portal</t>
        </is>
      </c>
      <c r="F25" s="20" t="inlineStr">
        <is>
          <t>Configure the fields captured on certification records and the permitted certification status values.</t>
        </is>
      </c>
      <c r="G25" s="20" t="inlineStr">
        <is>
          <t>Cấu hình các trường được ghi nhận trên bản ghi chứng nhận và các giá trị trạng thái chứng nhận được phép.</t>
        </is>
      </c>
      <c r="H25" s="20" t="inlineStr">
        <is>
          <t>OPS-07 Framework and cert configuration (P1); CP-39 Certification lifecycle statuses (P1)</t>
        </is>
      </c>
      <c r="I25" s="21" t="inlineStr">
        <is>
          <t>Phase 2</t>
        </is>
      </c>
      <c r="J25" s="17" t="n"/>
      <c r="K25" s="38" t="n"/>
    </row>
    <row r="26" ht="32.25" customFormat="1" customHeight="1" s="15">
      <c r="A26" s="19" t="inlineStr">
        <is>
          <t>UC-SCH-005</t>
        </is>
      </c>
      <c r="B26" s="19" t="inlineStr">
        <is>
          <t>Configure Certification Sharing Rules</t>
        </is>
      </c>
      <c r="C26" s="19" t="inlineStr">
        <is>
          <t>SGS Admin</t>
        </is>
      </c>
      <c r="D26" s="19" t="inlineStr">
        <is>
          <t>Certification Scheme</t>
        </is>
      </c>
      <c r="E26" s="20" t="inlineStr">
        <is>
          <t>SGS Portal</t>
        </is>
      </c>
      <c r="F26" s="20" t="inlineStr">
        <is>
          <t>Configure the certification sharing rules supported by the platform.</t>
        </is>
      </c>
      <c r="G26" s="20" t="inlineStr">
        <is>
          <t>Cấu hình các quy tắc chia sẻ chứng nhận mà nền tảng hỗ trợ.</t>
        </is>
      </c>
      <c r="H26" s="20" t="inlineStr">
        <is>
          <t>OPS-07 Framework and cert configuration (P1)</t>
        </is>
      </c>
      <c r="I26" s="21" t="inlineStr">
        <is>
          <t>Phase 2</t>
        </is>
      </c>
      <c r="J26" s="17" t="n"/>
      <c r="K26" s="38" t="n"/>
    </row>
    <row r="27" ht="48.75" customFormat="1" customHeight="1" s="15">
      <c r="A27" s="19" t="inlineStr">
        <is>
          <t>UC-SCH-006</t>
        </is>
      </c>
      <c r="B27" s="19" t="inlineStr">
        <is>
          <t>Configure Surveillance and Renewal Cycle Rules</t>
        </is>
      </c>
      <c r="C27" s="19" t="inlineStr">
        <is>
          <t>SGS Admin</t>
        </is>
      </c>
      <c r="D27" s="19" t="inlineStr">
        <is>
          <t>Certification Scheme</t>
        </is>
      </c>
      <c r="E27" s="20" t="inlineStr">
        <is>
          <t>SGS Portal</t>
        </is>
      </c>
      <c r="F27" s="20" t="inlineStr">
        <is>
          <t>Define the surveillance interval, renewal lead time and milestone notification offsets for a scheme.</t>
        </is>
      </c>
      <c r="G27" s="20" t="inlineStr">
        <is>
          <t>Định nghĩa khoảng thời gian giám sát (surveillance), thời gian báo trước gia hạn và các khoảng báo trước (offset) của thông báo mốc cho một scheme.</t>
        </is>
      </c>
      <c r="H27" s="20" t="inlineStr">
        <is>
          <t>PRESALE WBS GAP — Surveillance interval / renewal lead-time configuration not priced; CP-42 (P1) prices the alerts but not the rules</t>
        </is>
      </c>
      <c r="I27" s="21" t="inlineStr">
        <is>
          <t>Phase 2</t>
        </is>
      </c>
      <c r="J27" s="17" t="n"/>
      <c r="K27" s="38" t="n"/>
    </row>
    <row r="28" ht="32.25" customFormat="1" customHeight="1" s="15">
      <c r="A28" s="19" t="inlineStr">
        <is>
          <t>UC-SCH-007</t>
        </is>
      </c>
      <c r="B28" s="19" t="inlineStr">
        <is>
          <t>Activate Certification Scheme</t>
        </is>
      </c>
      <c r="C28" s="19" t="inlineStr">
        <is>
          <t>SGS Admin</t>
        </is>
      </c>
      <c r="D28" s="19" t="inlineStr">
        <is>
          <t>Certification Scheme</t>
        </is>
      </c>
      <c r="E28" s="20" t="inlineStr">
        <is>
          <t>SGS Portal</t>
        </is>
      </c>
      <c r="F28" s="20" t="inlineStr">
        <is>
          <t>Make a scheme available for new certification records.</t>
        </is>
      </c>
      <c r="G28" s="20" t="inlineStr">
        <is>
          <t>Đưa một scheme vào trạng thái sẵn dùng cho các bản ghi chứng nhận mới.</t>
        </is>
      </c>
      <c r="H28" s="20" t="inlineStr">
        <is>
          <t>PRESALE WBS GAP — No scheme lifecycle in the estimation</t>
        </is>
      </c>
      <c r="I28" s="21" t="inlineStr">
        <is>
          <t>Phase 2</t>
        </is>
      </c>
      <c r="J28" s="17" t="n"/>
      <c r="K28" s="38" t="n"/>
    </row>
    <row r="29" ht="32.25" customFormat="1" customHeight="1" s="15">
      <c r="A29" s="19" t="inlineStr">
        <is>
          <t>UC-SCH-008</t>
        </is>
      </c>
      <c r="B29" s="19" t="inlineStr">
        <is>
          <t>Deactivate Certification Scheme</t>
        </is>
      </c>
      <c r="C29" s="19" t="inlineStr">
        <is>
          <t>SGS Admin</t>
        </is>
      </c>
      <c r="D29" s="19" t="inlineStr">
        <is>
          <t>Certification Scheme</t>
        </is>
      </c>
      <c r="E29" s="20" t="inlineStr">
        <is>
          <t>SGS Portal</t>
        </is>
      </c>
      <c r="F29" s="20" t="inlineStr">
        <is>
          <t>Withdraw a scheme from new use while preserving issued certification records.</t>
        </is>
      </c>
      <c r="G29" s="20" t="inlineStr">
        <is>
          <t>Rút một scheme khỏi việc sử dụng mới, đồng thời giữ nguyên các bản ghi chứng nhận đã cấp.</t>
        </is>
      </c>
      <c r="H29" s="20" t="inlineStr">
        <is>
          <t>PRESALE WBS GAP — No scheme lifecycle in the estimation</t>
        </is>
      </c>
      <c r="I29" s="21" t="inlineStr">
        <is>
          <t>Phase 2</t>
        </is>
      </c>
      <c r="J29" s="17" t="n"/>
      <c r="K29" s="38" t="n"/>
    </row>
    <row r="30" customFormat="1" s="30">
      <c r="A30" s="26" t="inlineStr">
        <is>
          <t>10. Platform &amp; Tenant Configuration</t>
        </is>
      </c>
      <c r="B30" s="26" t="n"/>
      <c r="C30" s="26" t="n"/>
      <c r="D30" s="26" t="n"/>
      <c r="E30" s="27" t="n"/>
      <c r="F30" s="28" t="n"/>
      <c r="G30" s="28" t="n"/>
      <c r="H30" s="28" t="n"/>
      <c r="I30" s="29" t="n"/>
      <c r="J30" s="29" t="n"/>
      <c r="K30" s="34">
        <f>SUM(K31:K32)</f>
        <v/>
      </c>
    </row>
    <row r="31" ht="48.75" customFormat="1" customHeight="1" s="15">
      <c r="A31" s="19" t="inlineStr">
        <is>
          <t>UC-CFG-001</t>
        </is>
      </c>
      <c r="B31" s="19" t="inlineStr">
        <is>
          <t>Configure Platform Settings</t>
        </is>
      </c>
      <c r="C31" s="19" t="inlineStr">
        <is>
          <t>SGS Admin</t>
        </is>
      </c>
      <c r="D31" s="19" t="inlineStr">
        <is>
          <t>Platform Configuration</t>
        </is>
      </c>
      <c r="E31" s="20" t="inlineStr">
        <is>
          <t>SGS Portal</t>
        </is>
      </c>
      <c r="F31" s="20" t="inlineStr">
        <is>
          <t>Configure platform-level settings and per-tenant feature toggles so SGS can enable or disable supported modules without a release.</t>
        </is>
      </c>
      <c r="G31" s="20" t="inlineStr">
        <is>
          <t>Cấu hình các thiết lập cấp nền tảng và công tắc tính năng (feature toggle) theo từng tenant, để SGS bật hoặc tắt các module được hỗ trợ mà không cần phát hành bản mới.</t>
        </is>
      </c>
      <c r="H31" s="20" t="inlineStr">
        <is>
          <t>B3 Platform configuration + feature toggles (P1)</t>
        </is>
      </c>
      <c r="I31" s="21" t="inlineStr">
        <is>
          <t>Phase 2</t>
        </is>
      </c>
      <c r="J31" s="17" t="n"/>
      <c r="K31" s="38" t="n"/>
    </row>
    <row r="32" ht="48.75" customFormat="1" customHeight="1" s="15">
      <c r="A32" s="19" t="inlineStr">
        <is>
          <t>UC-CFG-002</t>
        </is>
      </c>
      <c r="B32" s="19" t="inlineStr">
        <is>
          <t>Configure Default Evidence Freshness Rules</t>
        </is>
      </c>
      <c r="C32" s="19" t="inlineStr">
        <is>
          <t>SGS Admin</t>
        </is>
      </c>
      <c r="D32" s="19" t="inlineStr">
        <is>
          <t>Platform Configuration</t>
        </is>
      </c>
      <c r="E32" s="20" t="inlineStr">
        <is>
          <t>SGS Portal</t>
        </is>
      </c>
      <c r="F32" s="20" t="inlineStr">
        <is>
          <t>Define default freshness periods by framework or evidence type, applied where evidence carries no expiry or review date.</t>
        </is>
      </c>
      <c r="G32" s="20" t="inlineStr">
        <is>
          <t>Định nghĩa thời hạn freshness mặc định theo framework hoặc loại bằng chứng, áp dụng khi bằng chứng không có ngày hết hạn hoặc ngày rà soát.</t>
        </is>
      </c>
      <c r="H32" s="20" t="inlineStr">
        <is>
          <t>PRESALE WBS GAP — Default freshness rules by framework/evidence type (PRD RL-07) not priced; CP-16 (P1) uses evidence dates only</t>
        </is>
      </c>
      <c r="I32" s="21" t="inlineStr">
        <is>
          <t>Phase 2</t>
        </is>
      </c>
      <c r="J32" s="17" t="n"/>
      <c r="K32" s="38" t="n"/>
    </row>
    <row r="33" customFormat="1" s="30">
      <c r="A33" s="26" t="inlineStr">
        <is>
          <t>11. Customer Account Administration</t>
        </is>
      </c>
      <c r="B33" s="26" t="n"/>
      <c r="C33" s="26" t="n"/>
      <c r="D33" s="26" t="n"/>
      <c r="E33" s="27" t="n"/>
      <c r="F33" s="28" t="n"/>
      <c r="G33" s="28" t="n"/>
      <c r="H33" s="28" t="n"/>
      <c r="I33" s="29" t="n"/>
      <c r="J33" s="29" t="n"/>
      <c r="K33" s="34">
        <f>SUM(K34:K36)</f>
        <v/>
      </c>
    </row>
    <row r="34" ht="16.5" customFormat="1" customHeight="1" s="15">
      <c r="A34" s="19" t="inlineStr">
        <is>
          <t>UC-ACC-008</t>
        </is>
      </c>
      <c r="B34" s="19" t="inlineStr">
        <is>
          <t>Activate Customer Account</t>
        </is>
      </c>
      <c r="C34" s="19" t="inlineStr">
        <is>
          <t>SGS Admin</t>
        </is>
      </c>
      <c r="D34" s="19" t="inlineStr">
        <is>
          <t>Customer Account</t>
        </is>
      </c>
      <c r="E34" s="20" t="inlineStr">
        <is>
          <t>SGS Portal</t>
        </is>
      </c>
      <c r="F34" s="20" t="inlineStr">
        <is>
          <t>Activate an account so its users may access the platform.</t>
        </is>
      </c>
      <c r="G34" s="20" t="inlineStr">
        <is>
          <t>Kích hoạt một tài khoản để người dùng của nó có thể truy cập nền tảng.</t>
        </is>
      </c>
      <c r="H34" s="20" t="inlineStr">
        <is>
          <t>OPS-04 SGS customer onboarding (P1)</t>
        </is>
      </c>
      <c r="I34" s="21" t="inlineStr">
        <is>
          <t>Phase 2</t>
        </is>
      </c>
      <c r="J34" s="17" t="n"/>
      <c r="K34" s="38" t="n"/>
    </row>
    <row r="35" ht="32.25" customFormat="1" customHeight="1" s="15">
      <c r="A35" s="19" t="inlineStr">
        <is>
          <t>UC-ACC-009</t>
        </is>
      </c>
      <c r="B35" s="19" t="inlineStr">
        <is>
          <t>Suspend Customer Account</t>
        </is>
      </c>
      <c r="C35" s="19" t="inlineStr">
        <is>
          <t>SGS Admin</t>
        </is>
      </c>
      <c r="D35" s="19" t="inlineStr">
        <is>
          <t>Customer Account</t>
        </is>
      </c>
      <c r="E35" s="20" t="inlineStr">
        <is>
          <t>SGS Portal</t>
        </is>
      </c>
      <c r="F35" s="20" t="inlineStr">
        <is>
          <t>Suspend platform access for an account while retaining all data.</t>
        </is>
      </c>
      <c r="G35" s="20" t="inlineStr">
        <is>
          <t>Tạm ngưng quyền truy cập nền tảng của một tài khoản, đồng thời giữ lại toàn bộ dữ liệu.</t>
        </is>
      </c>
      <c r="H35" s="20" t="inlineStr">
        <is>
          <t>Implicit — OPS-04 tenant activation status (P1); OPS-05 'disable access' (P1)</t>
        </is>
      </c>
      <c r="I35" s="21" t="inlineStr">
        <is>
          <t>Phase 2</t>
        </is>
      </c>
      <c r="J35" s="17" t="n"/>
      <c r="K35" s="38" t="n"/>
    </row>
    <row r="36" ht="48.75" customFormat="1" customHeight="1" s="15">
      <c r="A36" s="19" t="inlineStr">
        <is>
          <t>UC-ACC-010</t>
        </is>
      </c>
      <c r="B36" s="19" t="inlineStr">
        <is>
          <t>Offboard Customer Account</t>
        </is>
      </c>
      <c r="C36" s="19" t="inlineStr">
        <is>
          <t>SGS Admin</t>
        </is>
      </c>
      <c r="D36" s="19" t="inlineStr">
        <is>
          <t>Customer Account</t>
        </is>
      </c>
      <c r="E36" s="20" t="inlineStr">
        <is>
          <t>SGS Portal</t>
        </is>
      </c>
      <c r="F36" s="20" t="inlineStr">
        <is>
          <t>Close an account and apply the agreed retention, deletion or anonymisation treatment to its data.</t>
        </is>
      </c>
      <c r="G36" s="20" t="inlineStr">
        <is>
          <t>Đóng một tài khoản và áp dụng cách xử lý dữ liệu đã thoả thuận: lưu giữ, xoá hoặc ẩn danh hoá.</t>
        </is>
      </c>
      <c r="H36" s="20" t="inlineStr">
        <is>
          <t>PRESALE WBS GAP — Offboarding with retention / deletion / anonymisation (PRD NFR-PRV-03/04) not priced</t>
        </is>
      </c>
      <c r="I36" s="21" t="inlineStr">
        <is>
          <t>Phase 2</t>
        </is>
      </c>
      <c r="J36" s="17" t="n"/>
      <c r="K36" s="38" t="n"/>
    </row>
    <row r="37" customFormat="1" s="30">
      <c r="A37" s="26" t="inlineStr">
        <is>
          <t>12. Organization Profile Management</t>
        </is>
      </c>
      <c r="B37" s="26" t="n"/>
      <c r="C37" s="26" t="n"/>
      <c r="D37" s="26" t="n"/>
      <c r="E37" s="27" t="n"/>
      <c r="F37" s="28" t="n"/>
      <c r="G37" s="28" t="n"/>
      <c r="H37" s="28" t="n"/>
      <c r="I37" s="29" t="n"/>
      <c r="J37" s="29" t="n"/>
      <c r="K37" s="34">
        <f>SUM(K38:K39)</f>
        <v/>
      </c>
    </row>
    <row r="38" ht="32.25" customFormat="1" customHeight="1" s="15">
      <c r="A38" s="19" t="inlineStr">
        <is>
          <t>UC-ORG-001</t>
        </is>
      </c>
      <c r="B38" s="19" t="inlineStr">
        <is>
          <t>View Organization Profile</t>
        </is>
      </c>
      <c r="C38" s="19" t="inlineStr">
        <is>
          <t>Customer Admin, Customer User</t>
        </is>
      </c>
      <c r="D38" s="19" t="inlineStr">
        <is>
          <t>Organization Profile</t>
        </is>
      </c>
      <c r="E38" s="20" t="inlineStr">
        <is>
          <t>Customer Portal</t>
        </is>
      </c>
      <c r="F38" s="20" t="inlineStr">
        <is>
          <t>View the organization's own profile as held on the platform.</t>
        </is>
      </c>
      <c r="G38" s="20" t="inlineStr">
        <is>
          <t>Xem hồ sơ của chính tổ chức mình như được lưu trên nền tảng.</t>
        </is>
      </c>
      <c r="H38" s="20" t="inlineStr">
        <is>
          <t>CP-04 Organization profile management (P1)</t>
        </is>
      </c>
      <c r="I38" s="21" t="inlineStr">
        <is>
          <t>Phase 2</t>
        </is>
      </c>
      <c r="J38" s="17" t="n"/>
      <c r="K38" s="38" t="n"/>
    </row>
    <row r="39" ht="32.25" customFormat="1" customHeight="1" s="15">
      <c r="A39" s="19" t="inlineStr">
        <is>
          <t>UC-ORG-002</t>
        </is>
      </c>
      <c r="B39" s="19" t="inlineStr">
        <is>
          <t>Edit Organization Profile</t>
        </is>
      </c>
      <c r="C39" s="19" t="inlineStr">
        <is>
          <t>Customer Admin</t>
        </is>
      </c>
      <c r="D39" s="19" t="inlineStr">
        <is>
          <t>Organization Profile</t>
        </is>
      </c>
      <c r="E39" s="20" t="inlineStr">
        <is>
          <t>Customer Portal</t>
        </is>
      </c>
      <c r="F39" s="20" t="inlineStr">
        <is>
          <t>Maintain the organization's profile information supported by the platform.</t>
        </is>
      </c>
      <c r="G39" s="20" t="inlineStr">
        <is>
          <t>Duy trì thông tin hồ sơ tổ chức mà nền tảng hỗ trợ.</t>
        </is>
      </c>
      <c r="H39" s="20" t="inlineStr">
        <is>
          <t>CP-04 Organization profile management (P1)</t>
        </is>
      </c>
      <c r="I39" s="21" t="inlineStr">
        <is>
          <t>Phase 2</t>
        </is>
      </c>
      <c r="J39" s="17" t="n"/>
      <c r="K39" s="38" t="n"/>
    </row>
    <row r="40" customFormat="1" s="30">
      <c r="A40" s="26" t="inlineStr">
        <is>
          <t>13. Scope Management</t>
        </is>
      </c>
      <c r="B40" s="26" t="n"/>
      <c r="C40" s="26" t="n"/>
      <c r="D40" s="26" t="n"/>
      <c r="E40" s="27" t="n"/>
      <c r="F40" s="28" t="n"/>
      <c r="G40" s="28" t="n"/>
      <c r="H40" s="28" t="n"/>
      <c r="I40" s="29" t="n"/>
      <c r="J40" s="29" t="n"/>
      <c r="K40" s="34">
        <f>SUM(K41:K42)</f>
        <v/>
      </c>
    </row>
    <row r="41" ht="48.75" customFormat="1" customHeight="1" s="15">
      <c r="A41" s="19" t="inlineStr">
        <is>
          <t>UC-SCP-005</t>
        </is>
      </c>
      <c r="B41" s="19" t="inlineStr">
        <is>
          <t>Archive Scope</t>
        </is>
      </c>
      <c r="C41" s="19" t="inlineStr">
        <is>
          <t>Customer Admin</t>
        </is>
      </c>
      <c r="D41" s="19" t="inlineStr">
        <is>
          <t>Scope Management</t>
        </is>
      </c>
      <c r="E41" s="20" t="inlineStr">
        <is>
          <t>Customer Portal</t>
        </is>
      </c>
      <c r="F41" s="20" t="inlineStr">
        <is>
          <t>Retire a scope from active use while retaining its historical records.</t>
        </is>
      </c>
      <c r="G41" s="20" t="inlineStr">
        <is>
          <t>Ngừng sử dụng một scope, đồng thời giữ lại các bản ghi lịch sử của nó.</t>
        </is>
      </c>
      <c r="H41" s="20" t="inlineStr">
        <is>
          <t>PRESALE WBS GAP — Archive/retire preserving history not priced; CP-06 CRUD (P1) implies hard delete only</t>
        </is>
      </c>
      <c r="I41" s="21" t="inlineStr">
        <is>
          <t>Phase 2</t>
        </is>
      </c>
      <c r="J41" s="17" t="n"/>
      <c r="K41" s="38" t="n"/>
    </row>
    <row r="42" ht="48.75" customFormat="1" customHeight="1" s="15">
      <c r="A42" s="19" t="inlineStr">
        <is>
          <t>UC-SCP-008</t>
        </is>
      </c>
      <c r="B42" s="19" t="inlineStr">
        <is>
          <t>Define Obligation Coverage Between Scopes</t>
        </is>
      </c>
      <c r="C42" s="19" t="inlineStr">
        <is>
          <t>Customer Admin</t>
        </is>
      </c>
      <c r="D42" s="19" t="inlineStr">
        <is>
          <t>Scope Management</t>
        </is>
      </c>
      <c r="E42" s="20" t="inlineStr">
        <is>
          <t>Customer Portal</t>
        </is>
      </c>
      <c r="F42" s="20" t="inlineStr">
        <is>
          <t>Record that an organization-level scope, control or certification supports one or more product- or system-level obligations.</t>
        </is>
      </c>
      <c r="G42" s="20" t="inlineStr">
        <is>
          <t>Ghi nhận rằng một scope, control hoặc chứng nhận cấp organization hỗ trợ cho một hoặc nhiều nghĩa vụ cấp product hoặc system.</t>
        </is>
      </c>
      <c r="H42" s="20" t="inlineStr">
        <is>
          <t>A1 Organization-level to product/system-level obligation linkage (P1)</t>
        </is>
      </c>
      <c r="I42" s="21" t="inlineStr">
        <is>
          <t>Phase 2</t>
        </is>
      </c>
      <c r="J42" s="17" t="n"/>
      <c r="K42" s="38" t="n"/>
    </row>
    <row r="43" customFormat="1" s="30">
      <c r="A43" s="26" t="inlineStr">
        <is>
          <t>14. Customer Cockpit</t>
        </is>
      </c>
      <c r="B43" s="26" t="n"/>
      <c r="C43" s="26" t="n"/>
      <c r="D43" s="26" t="n"/>
      <c r="E43" s="27" t="n"/>
      <c r="F43" s="28" t="n"/>
      <c r="G43" s="28" t="n"/>
      <c r="H43" s="28" t="n"/>
      <c r="I43" s="29" t="n"/>
      <c r="J43" s="29" t="n"/>
      <c r="K43" s="34">
        <f>SUM(K44:K44)</f>
        <v/>
      </c>
    </row>
    <row r="44" ht="64.5" customFormat="1" customHeight="1" s="15">
      <c r="A44" s="19" t="inlineStr">
        <is>
          <t>UC-CKP-003</t>
        </is>
      </c>
      <c r="B44" s="19" t="inlineStr">
        <is>
          <t>View Assigned Customer Cockpit</t>
        </is>
      </c>
      <c r="C44" s="19" t="inlineStr">
        <is>
          <t>SGS User, SGS Trainer/Assessor, SGS Auditor/Certification, SGS Consultant</t>
        </is>
      </c>
      <c r="D44" s="19" t="inlineStr">
        <is>
          <t>SGS Cockpit</t>
        </is>
      </c>
      <c r="E44" s="20" t="inlineStr">
        <is>
          <t>SGS Portal</t>
        </is>
      </c>
      <c r="F44" s="20" t="inlineStr">
        <is>
          <t>View the trimmed cockpit for an assigned customer, showing only information permitted for the role's customer assignment and access permissions.</t>
        </is>
      </c>
      <c r="G44" s="20" t="inlineStr">
        <is>
          <t>Xem cockpit rút gọn của một khách hàng được giao, chỉ hiển thị thông tin mà phân công khách hàng và quyền truy cập của vai trò cho phép.</t>
        </is>
      </c>
      <c r="H44" s="20" t="inlineStr">
        <is>
          <t>PRESALE WBS GAP — Trimmed SGS Assessor/Auditor cockpit (PRD CC-16, NFR-UX-02); Q&amp;A #59a/#59f extends assigned-customer access to SGS Consultant</t>
        </is>
      </c>
      <c r="I44" s="21" t="inlineStr">
        <is>
          <t>Phase 2</t>
        </is>
      </c>
      <c r="J44" s="17" t="n"/>
      <c r="K44" s="38" t="n"/>
    </row>
    <row r="45" customFormat="1" s="30">
      <c r="A45" s="26" t="inlineStr">
        <is>
          <t>15. Customer Journey</t>
        </is>
      </c>
      <c r="B45" s="26" t="n"/>
      <c r="C45" s="26" t="n"/>
      <c r="D45" s="26" t="n"/>
      <c r="E45" s="27" t="n"/>
      <c r="F45" s="28" t="n"/>
      <c r="G45" s="28" t="n"/>
      <c r="H45" s="28" t="n"/>
      <c r="I45" s="29" t="n"/>
      <c r="J45" s="29" t="n"/>
      <c r="K45" s="34">
        <f>SUM(K46:K49)</f>
        <v/>
      </c>
    </row>
    <row r="46" ht="64.5" customFormat="1" customHeight="1" s="15">
      <c r="A46" s="19" t="inlineStr">
        <is>
          <t>UC-JRN-001</t>
        </is>
      </c>
      <c r="B46" s="19" t="inlineStr">
        <is>
          <t>View Journey for a Scope</t>
        </is>
      </c>
      <c r="C46" s="19" t="inlineStr">
        <is>
          <t>Customer Admin, Customer User, Customer Viewer (+ assigned SGS roles, read-only)</t>
        </is>
      </c>
      <c r="D46" s="19" t="inlineStr">
        <is>
          <t>Customer Journey</t>
        </is>
      </c>
      <c r="E46" s="20" t="inlineStr">
        <is>
          <t>Customer Portal</t>
        </is>
      </c>
      <c r="F46" s="20" t="inlineStr">
        <is>
          <t>View the Discovery → Training → Gap Analysis → Assessment → Audit → Certification journey for a scope, with per-stage status, pending items and entry points into the responsible module.</t>
        </is>
      </c>
      <c r="G46" s="20" t="inlineStr">
        <is>
          <t>Xem journey Discovery → Training → Gap Analysis → Assessment → Audit → Certification của một scope, kèm trạng thái từng giai đoạn, các mục đang chờ và lối vào module chịu trách nhiệm.</t>
        </is>
      </c>
      <c r="H46" s="20" t="inlineStr">
        <is>
          <t>CP-09 Journey view (linear stages) (P1)</t>
        </is>
      </c>
      <c r="I46" s="21" t="inlineStr">
        <is>
          <t>Phase 2</t>
        </is>
      </c>
      <c r="J46" s="17" t="n"/>
      <c r="K46" s="38" t="n"/>
    </row>
    <row r="47" ht="32.25" customFormat="1" customHeight="1" s="15">
      <c r="A47" s="19" t="inlineStr">
        <is>
          <t>UC-JRN-002</t>
        </is>
      </c>
      <c r="B47" s="19" t="inlineStr">
        <is>
          <t>View Framework-Specific Journey Progress</t>
        </is>
      </c>
      <c r="C47" s="19" t="inlineStr">
        <is>
          <t>Customer Admin, Customer User, Customer Viewer</t>
        </is>
      </c>
      <c r="D47" s="19" t="inlineStr">
        <is>
          <t>Customer Journey</t>
        </is>
      </c>
      <c r="E47" s="20" t="inlineStr">
        <is>
          <t>Customer Portal</t>
        </is>
      </c>
      <c r="F47" s="20" t="inlineStr">
        <is>
          <t>View journey progress separately per framework where a scope carries several frameworks.</t>
        </is>
      </c>
      <c r="G47" s="20" t="inlineStr">
        <is>
          <t>Xem tiến độ journey riêng theo từng framework khi một scope mang nhiều framework.</t>
        </is>
      </c>
      <c r="H47" s="20" t="inlineStr">
        <is>
          <t>CP-09 Journey view (linear stages) (P1)</t>
        </is>
      </c>
      <c r="I47" s="21" t="inlineStr">
        <is>
          <t>Phase 2</t>
        </is>
      </c>
      <c r="J47" s="17" t="n"/>
      <c r="K47" s="38" t="n"/>
    </row>
    <row r="48" ht="32.25" customFormat="1" customHeight="1" s="15">
      <c r="A48" s="19" t="inlineStr">
        <is>
          <t>UC-JRN-003</t>
        </is>
      </c>
      <c r="B48" s="19" t="inlineStr">
        <is>
          <t>View Obligation Coverage Relationship</t>
        </is>
      </c>
      <c r="C48" s="19" t="inlineStr">
        <is>
          <t>Customer Admin, Customer User</t>
        </is>
      </c>
      <c r="D48" s="19" t="inlineStr">
        <is>
          <t>Customer Journey</t>
        </is>
      </c>
      <c r="E48" s="20" t="inlineStr">
        <is>
          <t>Customer Portal</t>
        </is>
      </c>
      <c r="F48" s="20" t="inlineStr">
        <is>
          <t>See where an organization-level control, framework or certification satisfies a product- or system-level obligation.</t>
        </is>
      </c>
      <c r="G48" s="20" t="inlineStr">
        <is>
          <t>Xem một control, framework hoặc chứng nhận cấp organization đáp ứng nghĩa vụ cấp product hoặc system ở những đâu.</t>
        </is>
      </c>
      <c r="H48" s="20" t="inlineStr">
        <is>
          <t>A1 Organization-level to product/system-level obligation linkage (P1)</t>
        </is>
      </c>
      <c r="I48" s="21" t="inlineStr">
        <is>
          <t>Phase 2</t>
        </is>
      </c>
      <c r="J48" s="17" t="n"/>
      <c r="K48" s="38" t="n"/>
    </row>
    <row r="49" ht="48.75" customFormat="1" customHeight="1" s="15">
      <c r="A49" s="19" t="inlineStr">
        <is>
          <t>UC-JRN-004</t>
        </is>
      </c>
      <c r="B49" s="19" t="inlineStr">
        <is>
          <t>Derive Journey Stage Status</t>
        </is>
      </c>
      <c r="C49" s="19" t="inlineStr">
        <is>
          <t>System</t>
        </is>
      </c>
      <c r="D49" s="19" t="inlineStr">
        <is>
          <t>Customer Journey</t>
        </is>
      </c>
      <c r="E49" s="20" t="inlineStr">
        <is>
          <t>System / Backend (No Portal)</t>
        </is>
      </c>
      <c r="F49" s="20" t="inlineStr">
        <is>
          <t>Derive each stage's status from readiness, review, service request and certification state, and mark stages not started, in progress, completed, blocked or not applicable.</t>
        </is>
      </c>
      <c r="G49" s="20" t="inlineStr">
        <is>
          <t>Suy ra trạng thái của từng giai đoạn từ trạng thái readiness, review, service request và chứng nhận, và đánh dấu giai đoạn là not started, in progress, completed, blocked hoặc not applicable.</t>
        </is>
      </c>
      <c r="H49" s="20" t="inlineStr">
        <is>
          <t>Implicit — CP-09 'Stage status labels' (P1) — the derivation rules per stage are not itemised</t>
        </is>
      </c>
      <c r="I49" s="21" t="inlineStr">
        <is>
          <t>Phase 2</t>
        </is>
      </c>
      <c r="J49" s="17" t="n"/>
      <c r="K49" s="38" t="n"/>
    </row>
    <row r="50" customFormat="1" s="30">
      <c r="A50" s="26" t="inlineStr">
        <is>
          <t>18. Self-Assessment &amp; Maturity Declaration</t>
        </is>
      </c>
      <c r="B50" s="26" t="n"/>
      <c r="C50" s="26" t="n"/>
      <c r="D50" s="26" t="n"/>
      <c r="E50" s="27" t="n"/>
      <c r="F50" s="28" t="n"/>
      <c r="G50" s="28" t="n"/>
      <c r="H50" s="28" t="n"/>
      <c r="I50" s="29" t="n"/>
      <c r="J50" s="29" t="n"/>
      <c r="K50" s="34">
        <f>SUM(K51:K53)</f>
        <v/>
      </c>
    </row>
    <row r="51" ht="48.75" customFormat="1" customHeight="1" s="15">
      <c r="A51" s="19" t="inlineStr">
        <is>
          <t>UC-ASM-001</t>
        </is>
      </c>
      <c r="B51" s="19" t="inlineStr">
        <is>
          <t>Declare Control Maturity</t>
        </is>
      </c>
      <c r="C51" s="19" t="inlineStr">
        <is>
          <t>Customer Admin, Customer User</t>
        </is>
      </c>
      <c r="D51" s="19" t="inlineStr">
        <is>
          <t>Self-Assessment</t>
        </is>
      </c>
      <c r="E51" s="20" t="inlineStr">
        <is>
          <t>Customer Portal</t>
        </is>
      </c>
      <c r="F51" s="20" t="inlineStr">
        <is>
          <t>Declare control maturity as implemented, partial, not implemented or N/A and capture the owner/comments supported by the WBS.</t>
        </is>
      </c>
      <c r="G51" s="20" t="inlineStr">
        <is>
          <t>Khai báo maturity của control là implemented, partial, not implemented hoặc N/A, và ghi nhận người phụ trách/ghi chú mà WBS hỗ trợ.</t>
        </is>
      </c>
      <c r="H51" s="20" t="inlineStr">
        <is>
          <t>CP-17 Maturity self-declaration (P1)</t>
        </is>
      </c>
      <c r="I51" s="21" t="inlineStr">
        <is>
          <t>Phase 2</t>
        </is>
      </c>
      <c r="J51" s="17" t="n"/>
      <c r="K51" s="38" t="n"/>
    </row>
    <row r="52" ht="32.25" customFormat="1" customHeight="1" s="15">
      <c r="A52" s="19" t="inlineStr">
        <is>
          <t>UC-ASM-002</t>
        </is>
      </c>
      <c r="B52" s="19" t="inlineStr">
        <is>
          <t>Update Maturity Declaration</t>
        </is>
      </c>
      <c r="C52" s="19" t="inlineStr">
        <is>
          <t>Customer Admin, Customer User</t>
        </is>
      </c>
      <c r="D52" s="19" t="inlineStr">
        <is>
          <t>Self-Assessment</t>
        </is>
      </c>
      <c r="E52" s="20" t="inlineStr">
        <is>
          <t>Customer Portal</t>
        </is>
      </c>
      <c r="F52" s="20" t="inlineStr">
        <is>
          <t>Update the customer's maturity declaration for a control, including status, owner and comments.</t>
        </is>
      </c>
      <c r="G52" s="20" t="inlineStr">
        <is>
          <t>Cập nhật khai báo maturity của khách hàng cho một control, gồm trạng thái, người phụ trách và ghi chú.</t>
        </is>
      </c>
      <c r="H52" s="20" t="inlineStr">
        <is>
          <t>CP-17 Maturity self-declaration (P1)</t>
        </is>
      </c>
      <c r="I52" s="21" t="inlineStr">
        <is>
          <t>Phase 2</t>
        </is>
      </c>
      <c r="J52" s="17" t="n"/>
      <c r="K52" s="38" t="n"/>
    </row>
    <row r="53" ht="48.75" customFormat="1" customHeight="1" s="15">
      <c r="A53" s="19" t="inlineStr">
        <is>
          <t>UC-ASM-003</t>
        </is>
      </c>
      <c r="B53" s="19" t="inlineStr">
        <is>
          <t>View Self-Assessment Summary</t>
        </is>
      </c>
      <c r="C53" s="19" t="inlineStr">
        <is>
          <t>Customer Admin, Customer User (+ assigned SGS roles, read-only)</t>
        </is>
      </c>
      <c r="D53" s="19" t="inlineStr">
        <is>
          <t>Self-Assessment</t>
        </is>
      </c>
      <c r="E53" s="20" t="inlineStr">
        <is>
          <t>Customer Portal</t>
        </is>
      </c>
      <c r="F53" s="20" t="inlineStr">
        <is>
          <t>View the distribution of maturity declarations across a framework or scope and the requirements still undeclared.</t>
        </is>
      </c>
      <c r="G53" s="20" t="inlineStr">
        <is>
          <t>Xem phân bố các khai báo maturity trên một framework hoặc scope và các requirement chưa được khai báo.</t>
        </is>
      </c>
      <c r="H53" s="20" t="inlineStr">
        <is>
          <t>Implicit — CP-23 'Surface maturity self-declaration' (P1) — no dedicated self-assessment summary view</t>
        </is>
      </c>
      <c r="I53" s="21" t="inlineStr">
        <is>
          <t>Phase 2</t>
        </is>
      </c>
      <c r="J53" s="17" t="n"/>
      <c r="K53" s="38" t="n"/>
    </row>
    <row r="54" customFormat="1" s="30">
      <c r="A54" s="26" t="inlineStr">
        <is>
          <t>19. Readiness Indicators</t>
        </is>
      </c>
      <c r="B54" s="26" t="n"/>
      <c r="C54" s="26" t="n"/>
      <c r="D54" s="26" t="n"/>
      <c r="E54" s="27" t="n"/>
      <c r="F54" s="28" t="n"/>
      <c r="G54" s="28" t="n"/>
      <c r="H54" s="28" t="n"/>
      <c r="I54" s="29" t="n"/>
      <c r="J54" s="29" t="n"/>
      <c r="K54" s="34">
        <f>SUM(K55:K59)</f>
        <v/>
      </c>
    </row>
    <row r="55" ht="48.75" customFormat="1" customHeight="1" s="15">
      <c r="A55" s="19" t="inlineStr">
        <is>
          <t>UC-RDN-001</t>
        </is>
      </c>
      <c r="B55" s="19" t="inlineStr">
        <is>
          <t>Calculate Readiness Indicators</t>
        </is>
      </c>
      <c r="C55" s="19" t="inlineStr">
        <is>
          <t>System</t>
        </is>
      </c>
      <c r="D55" s="19" t="inlineStr">
        <is>
          <t>Readiness Indicators</t>
        </is>
      </c>
      <c r="E55" s="20" t="inlineStr">
        <is>
          <t>System / Backend (No Portal)</t>
        </is>
      </c>
      <c r="F55" s="20" t="inlineStr">
        <is>
          <t>Calculate evidence completeness and freshness and roll them up with maturity declarations, rule-based gaps and review states at the applicable scope/framework level.</t>
        </is>
      </c>
      <c r="G55" s="20" t="inlineStr">
        <is>
          <t>Tính độ đầy đủ (completeness) và độ mới (freshness) của bằng chứng, rồi tổng hợp cùng khai báo maturity, các gap theo rule và trạng thái review ở mức scope/framework tương ứng.</t>
        </is>
      </c>
      <c r="H55" s="20" t="inlineStr">
        <is>
          <t>CP-23 View readiness indicators (P1)</t>
        </is>
      </c>
      <c r="I55" s="21" t="inlineStr">
        <is>
          <t>Phase 2</t>
        </is>
      </c>
      <c r="J55" s="17" t="n"/>
      <c r="K55" s="38" t="n"/>
    </row>
    <row r="56" ht="48.75" customFormat="1" customHeight="1" s="15">
      <c r="A56" s="19" t="inlineStr">
        <is>
          <t>UC-RDN-002</t>
        </is>
      </c>
      <c r="B56" s="19" t="inlineStr">
        <is>
          <t>Evaluate Rule-Based Gap Indicators</t>
        </is>
      </c>
      <c r="C56" s="19" t="inlineStr">
        <is>
          <t>System</t>
        </is>
      </c>
      <c r="D56" s="19" t="inlineStr">
        <is>
          <t>Readiness Indicators</t>
        </is>
      </c>
      <c r="E56" s="20" t="inlineStr">
        <is>
          <t>System / Backend (No Portal)</t>
        </is>
      </c>
      <c r="F56" s="20" t="inlineStr">
        <is>
          <t>Apply deterministic MVP gap rules such as implemented without evidence, outdated evidence and missing maturity declaration, and explain each flag.</t>
        </is>
      </c>
      <c r="G56" s="20" t="inlineStr">
        <is>
          <t>Áp dụng các rule gap tất định của MVP, như implemented nhưng không có bằng chứng, bằng chứng lỗi thời và thiếu khai báo maturity, kèm giải thích cho từng cờ.</t>
        </is>
      </c>
      <c r="H56" s="20" t="inlineStr">
        <is>
          <t>CP-18 Rule-based gap indicators (P1)</t>
        </is>
      </c>
      <c r="I56" s="21" t="inlineStr">
        <is>
          <t>Phase 2</t>
        </is>
      </c>
      <c r="J56" s="17" t="n"/>
      <c r="K56" s="38" t="n"/>
    </row>
    <row r="57" ht="48.75" customFormat="1" customHeight="1" s="15">
      <c r="A57" s="19" t="inlineStr">
        <is>
          <t>UC-RDN-003</t>
        </is>
      </c>
      <c r="B57" s="19" t="inlineStr">
        <is>
          <t>Detect Outdated Evidence</t>
        </is>
      </c>
      <c r="C57" s="19" t="inlineStr">
        <is>
          <t>System</t>
        </is>
      </c>
      <c r="D57" s="19" t="inlineStr">
        <is>
          <t>Readiness Indicators</t>
        </is>
      </c>
      <c r="E57" s="20" t="inlineStr">
        <is>
          <t>System / Backend (No Portal)</t>
        </is>
      </c>
      <c r="F57" s="20" t="inlineStr">
        <is>
          <t>Flag evidence as outdated when its expiry or review date drives a freshness issue and surface the result in readiness indicators.</t>
        </is>
      </c>
      <c r="G57" s="20" t="inlineStr">
        <is>
          <t>Đánh dấu bằng chứng là lỗi thời khi ngày hết hạn hoặc ngày rà soát của nó gây ra vấn đề freshness, và thể hiện kết quả trong các chỉ số readiness.</t>
        </is>
      </c>
      <c r="H57" s="20" t="inlineStr">
        <is>
          <t>CP-16 Upload evidence to control (P1); CP-23 View readiness indicators (P1)</t>
        </is>
      </c>
      <c r="I57" s="21" t="inlineStr">
        <is>
          <t>Phase 2</t>
        </is>
      </c>
      <c r="J57" s="17" t="n"/>
      <c r="K57" s="38" t="n"/>
    </row>
    <row r="58" ht="81" customFormat="1" customHeight="1" s="15">
      <c r="A58" s="19" t="inlineStr">
        <is>
          <t>UC-RDN-004</t>
        </is>
      </c>
      <c r="B58" s="19" t="inlineStr">
        <is>
          <t>View Readiness Indicators</t>
        </is>
      </c>
      <c r="C58" s="19" t="inlineStr">
        <is>
          <t>Customer Admin, Customer User, Customer Viewer (+ assigned SGS roles including SGS Consultant, read-only)</t>
        </is>
      </c>
      <c r="D58" s="19" t="inlineStr">
        <is>
          <t>Readiness Indicators</t>
        </is>
      </c>
      <c r="E58" s="20" t="inlineStr">
        <is>
          <t>Customer Portal &amp; SGS Portal</t>
        </is>
      </c>
      <c r="F58" s="20" t="inlineStr">
        <is>
          <t>View a centralized readiness overview within Evidence Management for the selected scope/framework, including completeness, freshness, declared maturity, gap and review indicators, with drill-down to contributing requirements and evidence.</t>
        </is>
      </c>
      <c r="G58" s="20" t="inlineStr">
        <is>
          <t>Xem màn tổng quan readiness tập trung trong Evidence Management cho scope/framework đã chọn, gồm các chỉ số completeness, freshness, maturity đã khai báo, gap và review, có thể đi sâu tới các requirement và bằng chứng góp phần.</t>
        </is>
      </c>
      <c r="H58" s="20" t="inlineStr">
        <is>
          <t>CP-23 View readiness indicators (P1); Q&amp;A #23 — client confirmed centralized readiness overview integrated in Evidence Management</t>
        </is>
      </c>
      <c r="I58" s="21" t="inlineStr">
        <is>
          <t>Phase 2</t>
        </is>
      </c>
      <c r="J58" s="17" t="n"/>
      <c r="K58" s="38" t="n"/>
    </row>
    <row r="59" ht="81" customFormat="1" customHeight="1" s="15">
      <c r="A59" s="19" t="inlineStr">
        <is>
          <t>UC-RDN-005</t>
        </is>
      </c>
      <c r="B59" s="19" t="inlineStr">
        <is>
          <t>View Gap List</t>
        </is>
      </c>
      <c r="C59" s="19" t="inlineStr">
        <is>
          <t>Customer Admin, Customer User, SGS Consultant (assigned, read-only)</t>
        </is>
      </c>
      <c r="D59" s="19" t="inlineStr">
        <is>
          <t>Readiness Indicators</t>
        </is>
      </c>
      <c r="E59" s="20" t="inlineStr">
        <is>
          <t>Customer Portal &amp; SGS Portal</t>
        </is>
      </c>
      <c r="F59" s="20" t="inlineStr">
        <is>
          <t>View the open rule-based gaps for a scope or framework with the explanation of the triggering condition. Assigned SGS Consultants may use this view to support Gap Analysis without creating separate structured gap-status or action-item records.</t>
        </is>
      </c>
      <c r="G59" s="20" t="inlineStr">
        <is>
          <t>Xem các gap theo rule đang mở của một scope hoặc framework, kèm giải thích điều kiện kích hoạt. SGS Consultant được giao có thể dùng màn này để hỗ trợ Gap Analysis mà không tạo riêng bản ghi trạng thái gap hay đầu việc có cấu trúc.</t>
        </is>
      </c>
      <c r="H59" s="20" t="inlineStr">
        <is>
          <t>CP-18 Rule-based gap indicators (P1)</t>
        </is>
      </c>
      <c r="I59" s="21" t="inlineStr">
        <is>
          <t>Phase 2</t>
        </is>
      </c>
      <c r="J59" s="17" t="n"/>
      <c r="K59" s="38" t="n"/>
    </row>
    <row r="60" customFormat="1" s="30">
      <c r="A60" s="26" t="inlineStr">
        <is>
          <t>20. Training &amp; SGS Academy</t>
        </is>
      </c>
      <c r="B60" s="26" t="n"/>
      <c r="C60" s="26" t="n"/>
      <c r="D60" s="26" t="n"/>
      <c r="E60" s="27" t="n"/>
      <c r="F60" s="28" t="n"/>
      <c r="G60" s="28" t="n"/>
      <c r="H60" s="28" t="n"/>
      <c r="I60" s="29" t="n"/>
      <c r="J60" s="29" t="n"/>
      <c r="K60" s="34">
        <f>SUM(K61:K64)</f>
        <v/>
      </c>
    </row>
    <row r="61" ht="32.25" customFormat="1" customHeight="1" s="15">
      <c r="A61" s="19" t="inlineStr">
        <is>
          <t>UC-TRN-004</t>
        </is>
      </c>
      <c r="B61" s="19" t="inlineStr">
        <is>
          <t>Proceed to SGS Academy for Enrolment</t>
        </is>
      </c>
      <c r="C61" s="19" t="inlineStr">
        <is>
          <t>Customer Admin, Customer User</t>
        </is>
      </c>
      <c r="D61" s="19" t="inlineStr">
        <is>
          <t>SGS Academy</t>
        </is>
      </c>
      <c r="E61" s="20" t="inlineStr">
        <is>
          <t>Customer Portal</t>
        </is>
      </c>
      <c r="F61" s="20" t="inlineStr">
        <is>
          <t>Hand off to SGS Academy for enrolment, cart and payment, which remain owned by Academy.</t>
        </is>
      </c>
      <c r="G61" s="20" t="inlineStr">
        <is>
          <t>Chuyển sang SGS Academy để đăng ký học, giỏ hàng và thanh toán; các phần này vẫn do Academy quản lý.</t>
        </is>
      </c>
      <c r="H61" s="20" t="inlineStr">
        <is>
          <t>CP-31 Redirect to Academy for enrolment (P1)</t>
        </is>
      </c>
      <c r="I61" s="21" t="inlineStr">
        <is>
          <t>Phase 2</t>
        </is>
      </c>
      <c r="J61" s="17" t="n"/>
      <c r="K61" s="38" t="n"/>
    </row>
    <row r="62" ht="48.75" customFormat="1" customHeight="1" s="15">
      <c r="A62" s="19" t="inlineStr">
        <is>
          <t>UC-TRN-005</t>
        </is>
      </c>
      <c r="B62" s="19" t="inlineStr">
        <is>
          <t>Retrieve Training Badges from Academy</t>
        </is>
      </c>
      <c r="C62" s="19" t="inlineStr">
        <is>
          <t>System</t>
        </is>
      </c>
      <c r="D62" s="19" t="inlineStr">
        <is>
          <t>SGS Academy</t>
        </is>
      </c>
      <c r="E62" s="20" t="inlineStr">
        <is>
          <t>System / Backend (No Portal)</t>
        </is>
      </c>
      <c r="F62" s="20" t="inlineStr">
        <is>
          <t>Retrieve completed-course badge information from the Academy API and associate each badge with the corresponding user profile.</t>
        </is>
      </c>
      <c r="G62" s="20" t="inlineStr">
        <is>
          <t>Lấy thông tin badge của khoá học đã hoàn thành từ Academy API và gắn từng badge với hồ sơ người dùng tương ứng.</t>
        </is>
      </c>
      <c r="H62" s="20" t="inlineStr">
        <is>
          <t>CP-32 Training badges display (P1)</t>
        </is>
      </c>
      <c r="I62" s="21" t="inlineStr">
        <is>
          <t>Phase 2</t>
        </is>
      </c>
      <c r="J62" s="17" t="n"/>
      <c r="K62" s="38" t="n"/>
    </row>
    <row r="63" ht="48.75" customFormat="1" customHeight="1" s="15">
      <c r="A63" s="19" t="inlineStr">
        <is>
          <t>UC-TRN-006</t>
        </is>
      </c>
      <c r="B63" s="19" t="inlineStr">
        <is>
          <t>View Training Badges</t>
        </is>
      </c>
      <c r="C63" s="19" t="inlineStr">
        <is>
          <t>rket</t>
        </is>
      </c>
      <c r="D63" s="19" t="inlineStr">
        <is>
          <t>SGS Academy</t>
        </is>
      </c>
      <c r="E63" s="20" t="inlineStr">
        <is>
          <t>Customer Portal</t>
        </is>
      </c>
      <c r="F63" s="20" t="inlineStr">
        <is>
          <t>View completed-course training badges on the dedicated badges/profile view, clearly distinguished from certifications.</t>
        </is>
      </c>
      <c r="G63" s="20" t="inlineStr">
        <is>
          <t>Xem các badge đào tạo của khoá học đã hoàn thành trên màn badges/profile riêng, phân biệt rõ với chứng nhận.</t>
        </is>
      </c>
      <c r="H63" s="20" t="inlineStr">
        <is>
          <t>CP-32 Training badges display (P1)</t>
        </is>
      </c>
      <c r="I63" s="21" t="inlineStr">
        <is>
          <t>Phase 2</t>
        </is>
      </c>
      <c r="J63" s="17" t="n"/>
      <c r="K63" s="38" t="n"/>
    </row>
    <row r="64" ht="48.75" customFormat="1" customHeight="1" s="15">
      <c r="A64" s="19" t="inlineStr">
        <is>
          <t>UC-TRN-008</t>
        </is>
      </c>
      <c r="B64" s="19" t="inlineStr">
        <is>
          <t>Link Badge to User Profile</t>
        </is>
      </c>
      <c r="C64" s="19" t="inlineStr">
        <is>
          <t>Customer Admin</t>
        </is>
      </c>
      <c r="D64" s="19" t="inlineStr">
        <is>
          <t>SGS Academy</t>
        </is>
      </c>
      <c r="E64" s="20" t="inlineStr">
        <is>
          <t>Customer Portal</t>
        </is>
      </c>
      <c r="F64" s="20" t="inlineStr">
        <is>
          <t>Allow badges to be linked to the user profile and, where appropriate, to the customer organization training/capability view.</t>
        </is>
      </c>
      <c r="G64" s="20" t="inlineStr">
        <is>
          <t>Cho phép liên kết badge với hồ sơ người dùng và, khi phù hợp, với màn đào tạo/năng lực của tổ chức khách hàng.</t>
        </is>
      </c>
      <c r="H64" s="20" t="inlineStr">
        <is>
          <t>Explicit — CP-32 'Profile badges page' (P1) — organization capability view not named</t>
        </is>
      </c>
      <c r="I64" s="21" t="inlineStr">
        <is>
          <t>Phase 2</t>
        </is>
      </c>
      <c r="J64" s="17" t="n"/>
      <c r="K64" s="38" t="n"/>
    </row>
    <row r="65" customFormat="1" s="32">
      <c r="A65" s="26" t="inlineStr">
        <is>
          <t>23. Certification Record Management</t>
        </is>
      </c>
      <c r="B65" s="26" t="n"/>
      <c r="C65" s="26" t="n"/>
      <c r="D65" s="26" t="n"/>
      <c r="E65" s="28" t="n"/>
      <c r="F65" s="28" t="n"/>
      <c r="G65" s="28" t="n"/>
      <c r="H65" s="28" t="n"/>
      <c r="I65" s="31" t="n"/>
      <c r="J65" s="29" t="n"/>
      <c r="K65" s="34">
        <f>SUM(K66:K66)</f>
        <v/>
      </c>
    </row>
    <row r="66" ht="32.25" customFormat="1" customHeight="1" s="15">
      <c r="A66" s="19" t="inlineStr">
        <is>
          <t>UC-CRT-002</t>
        </is>
      </c>
      <c r="B66" s="19" t="inlineStr">
        <is>
          <t>Edit Certification Record</t>
        </is>
      </c>
      <c r="C66" s="19" t="inlineStr">
        <is>
          <t>SGS User</t>
        </is>
      </c>
      <c r="D66" s="19" t="inlineStr">
        <is>
          <t>Certification Record</t>
        </is>
      </c>
      <c r="E66" s="20" t="inlineStr">
        <is>
          <t>SGS Portal</t>
        </is>
      </c>
      <c r="F66" s="20" t="inlineStr">
        <is>
          <t>Update permitted certification record fields, with every change captured in the audit trail.</t>
        </is>
      </c>
      <c r="G66" s="20" t="inlineStr">
        <is>
          <t>Cập nhật các trường được phép của bản ghi chứng nhận; mọi thay đổi được ghi vào audit trail.</t>
        </is>
      </c>
      <c r="H66" s="20" t="inlineStr">
        <is>
          <t>OPS-21 SGS cert record administration (P1)</t>
        </is>
      </c>
      <c r="I66" s="21" t="inlineStr">
        <is>
          <t>Phase 2</t>
        </is>
      </c>
      <c r="J66" s="17" t="n"/>
      <c r="K66" s="38" t="n"/>
    </row>
    <row r="67" customFormat="1" s="32">
      <c r="A67" s="26" t="inlineStr">
        <is>
          <t>25. Certification Maintenance</t>
        </is>
      </c>
      <c r="B67" s="26" t="n"/>
      <c r="C67" s="26" t="n"/>
      <c r="D67" s="26" t="n"/>
      <c r="E67" s="28" t="n"/>
      <c r="F67" s="28" t="n"/>
      <c r="G67" s="28" t="n"/>
      <c r="H67" s="28" t="n"/>
      <c r="I67" s="31" t="n"/>
      <c r="J67" s="29" t="n"/>
      <c r="K67" s="34">
        <f>SUM(K68:K72)</f>
        <v/>
      </c>
    </row>
    <row r="68" ht="64.5" customFormat="1" customHeight="1" s="15">
      <c r="A68" s="19" t="inlineStr">
        <is>
          <t>UC-CMT-001</t>
        </is>
      </c>
      <c r="B68" s="19" t="inlineStr">
        <is>
          <t>Update Certification Lifecycle Status</t>
        </is>
      </c>
      <c r="C68" s="19" t="inlineStr">
        <is>
          <t>SGS Admin, SGS User</t>
        </is>
      </c>
      <c r="D68" s="19" t="inlineStr">
        <is>
          <t>Certification Maintenance</t>
        </is>
      </c>
      <c r="E68" s="20" t="inlineStr">
        <is>
          <t>SGS Portal</t>
        </is>
      </c>
      <c r="F68" s="20" t="inlineStr">
        <is>
          <t>Update the certification lifecycle status using the MVP statuses defined in WBS, including active, surveillance, pending renewal, suspended, withdrawn and expired, with SGS-controlled transitions.</t>
        </is>
      </c>
      <c r="G68" s="20" t="inlineStr">
        <is>
          <t>Cập nhật trạng thái vòng đời chứng nhận theo các trạng thái MVP định nghĩa trong WBS, gồm active, surveillance, pending renewal, suspended, withdrawn và expired; các chuyển trạng thái do SGS kiểm soát.</t>
        </is>
      </c>
      <c r="H68" s="20" t="inlineStr">
        <is>
          <t>CP-39 Certification lifecycle statuses (P1); Q&amp;A #38 confirms recurrence differs by standard (no additional recurrence feature added beyond current WBS)</t>
        </is>
      </c>
      <c r="I68" s="21" t="inlineStr">
        <is>
          <t>Phase 2</t>
        </is>
      </c>
      <c r="J68" s="17" t="n"/>
      <c r="K68" s="38" t="n"/>
    </row>
    <row r="69" ht="32.25" customFormat="1" customHeight="1" s="15">
      <c r="A69" s="19" t="inlineStr">
        <is>
          <t>UC-CMT-003</t>
        </is>
      </c>
      <c r="B69" s="19" t="inlineStr">
        <is>
          <t>Suspend Certification</t>
        </is>
      </c>
      <c r="C69" s="19" t="inlineStr">
        <is>
          <t>SGS Auditor/Certification</t>
        </is>
      </c>
      <c r="D69" s="19" t="inlineStr">
        <is>
          <t>Certification Maintenance</t>
        </is>
      </c>
      <c r="E69" s="20" t="inlineStr">
        <is>
          <t>SGS Portal</t>
        </is>
      </c>
      <c r="F69" s="20" t="inlineStr">
        <is>
          <t>Suspend a certification, with reason and effective date, and reflect the suspension in internal and shared views.</t>
        </is>
      </c>
      <c r="G69" s="20" t="inlineStr">
        <is>
          <t>Đình chỉ (suspend) một chứng nhận, kèm lý do và ngày hiệu lực, và phản ánh việc đình chỉ trên các màn nội bộ và màn chia sẻ.</t>
        </is>
      </c>
      <c r="H69" s="20" t="inlineStr">
        <is>
          <t>Explicit — CP-39 'suspended' + 'Transitions by SGS' (P1)</t>
        </is>
      </c>
      <c r="I69" s="21" t="inlineStr">
        <is>
          <t>Phase 2</t>
        </is>
      </c>
      <c r="J69" s="17" t="n"/>
      <c r="K69" s="38" t="n"/>
    </row>
    <row r="70" ht="32.25" customFormat="1" customHeight="1" s="15">
      <c r="A70" s="19" t="inlineStr">
        <is>
          <t>UC-CMT-004</t>
        </is>
      </c>
      <c r="B70" s="19" t="inlineStr">
        <is>
          <t>Withdraw Certification</t>
        </is>
      </c>
      <c r="C70" s="19" t="inlineStr">
        <is>
          <t>SGS Auditor/Certification</t>
        </is>
      </c>
      <c r="D70" s="19" t="inlineStr">
        <is>
          <t>Certification Maintenance</t>
        </is>
      </c>
      <c r="E70" s="20" t="inlineStr">
        <is>
          <t>SGS Portal</t>
        </is>
      </c>
      <c r="F70" s="20" t="inlineStr">
        <is>
          <t>Withdraw a certification permanently, with reason and effective date, and revoke any external sharing of it.</t>
        </is>
      </c>
      <c r="G70" s="20" t="inlineStr">
        <is>
          <t>Thu hồi (withdraw) vĩnh viễn một chứng nhận, kèm lý do và ngày hiệu lực, và thu hồi mọi chia sẻ ra bên ngoài của chứng nhận đó.</t>
        </is>
      </c>
      <c r="H70" s="20" t="inlineStr">
        <is>
          <t>Explicit — CP-39 'withdrawn' + 'Transitions by SGS' (P1)</t>
        </is>
      </c>
      <c r="I70" s="21" t="inlineStr">
        <is>
          <t>Phase 2</t>
        </is>
      </c>
      <c r="J70" s="17" t="n"/>
      <c r="K70" s="38" t="n"/>
    </row>
    <row r="71" ht="32.25" customFormat="1" customHeight="1" s="15">
      <c r="A71" s="19" t="inlineStr">
        <is>
          <t>UC-CMT-005</t>
        </is>
      </c>
      <c r="B71" s="19" t="inlineStr">
        <is>
          <t>Expire Certification</t>
        </is>
      </c>
      <c r="C71" s="19" t="inlineStr">
        <is>
          <t>System</t>
        </is>
      </c>
      <c r="D71" s="19" t="inlineStr">
        <is>
          <t>Certification Maintenance</t>
        </is>
      </c>
      <c r="E71" s="20" t="inlineStr">
        <is>
          <t>System / Backend (No Portal)</t>
        </is>
      </c>
      <c r="F71" s="20" t="inlineStr">
        <is>
          <t>Set a certification to expired when its validity period ends without renewal.</t>
        </is>
      </c>
      <c r="G71" s="20" t="inlineStr">
        <is>
          <t>Chuyển một chứng nhận sang expired khi thời hạn hiệu lực kết thúc mà không gia hạn.</t>
        </is>
      </c>
      <c r="H71" s="20" t="inlineStr">
        <is>
          <t>Explicit — CP-39 'expired' (P1) — automatic expiry job not named</t>
        </is>
      </c>
      <c r="I71" s="21" t="inlineStr">
        <is>
          <t>Phase 2</t>
        </is>
      </c>
      <c r="J71" s="17" t="n"/>
      <c r="K71" s="38" t="n"/>
    </row>
    <row r="72" ht="48.75" customFormat="1" customHeight="1" s="15">
      <c r="A72" s="19" t="inlineStr">
        <is>
          <t>UC-CMT-006</t>
        </is>
      </c>
      <c r="B72" s="19" t="inlineStr">
        <is>
          <t>Reinstate Certification</t>
        </is>
      </c>
      <c r="C72" s="19" t="inlineStr">
        <is>
          <t>SGS Auditor/Certification</t>
        </is>
      </c>
      <c r="D72" s="19" t="inlineStr">
        <is>
          <t>Certification Maintenance</t>
        </is>
      </c>
      <c r="E72" s="20" t="inlineStr">
        <is>
          <t>SGS Portal</t>
        </is>
      </c>
      <c r="F72" s="20" t="inlineStr">
        <is>
          <t>Return a suspended or expired certification to active status with the basis recorded.</t>
        </is>
      </c>
      <c r="G72" s="20" t="inlineStr">
        <is>
          <t>Đưa một chứng nhận đang suspended hoặc expired trở lại trạng thái active, có ghi nhận căn cứ.</t>
        </is>
      </c>
      <c r="H72" s="20" t="inlineStr">
        <is>
          <t>Implicit — CP-39 'Transitions by SGS' (P1) — reinstatement is not among the named transitions</t>
        </is>
      </c>
      <c r="I72" s="21" t="inlineStr">
        <is>
          <t>Phase 2</t>
        </is>
      </c>
      <c r="J72" s="17" t="n"/>
      <c r="K72" s="38" t="n"/>
    </row>
    <row r="73" customFormat="1" s="32">
      <c r="A73" s="26" t="inlineStr">
        <is>
          <t>26. Digital Trust Passport &amp; External Sharing</t>
        </is>
      </c>
      <c r="B73" s="26" t="n"/>
      <c r="C73" s="26" t="n"/>
      <c r="D73" s="26" t="n"/>
      <c r="E73" s="28" t="n"/>
      <c r="F73" s="28" t="n"/>
      <c r="G73" s="28" t="n"/>
      <c r="H73" s="28" t="n"/>
      <c r="I73" s="31" t="n"/>
      <c r="J73" s="29" t="n"/>
      <c r="K73" s="34">
        <f>SUM(K74:K79)</f>
        <v/>
      </c>
    </row>
    <row r="74" ht="48.75" customFormat="1" customHeight="1" s="15">
      <c r="A74" s="19" t="inlineStr">
        <is>
          <t>UC-PSP-001</t>
        </is>
      </c>
      <c r="B74" s="19" t="inlineStr">
        <is>
          <t>View Digital Trust Passport</t>
        </is>
      </c>
      <c r="C74" s="19" t="inlineStr">
        <is>
          <t>Customer Admin, Customer User, Customer Viewer</t>
        </is>
      </c>
      <c r="D74" s="19" t="inlineStr">
        <is>
          <t>Digital Trust Passport</t>
        </is>
      </c>
      <c r="E74" s="20" t="inlineStr">
        <is>
          <t>Customer Portal</t>
        </is>
      </c>
      <c r="F74" s="20" t="inlineStr">
        <is>
          <t>View the customer's Digital Trust Passport / trust view showing certification information and other approved current trust information supported by the Phase 1 WBS.</t>
        </is>
      </c>
      <c r="G74" s="20" t="inlineStr">
        <is>
          <t>Xem Digital Trust Passport / màn trust của khách hàng, hiển thị thông tin chứng nhận và các thông tin trust hiện hành đã được phê duyệt khác mà WBS Phase 1 hỗ trợ.</t>
        </is>
      </c>
      <c r="H74" s="20" t="inlineStr">
        <is>
          <t>CP-37 Certification listing (P1)</t>
        </is>
      </c>
      <c r="I74" s="21" t="inlineStr">
        <is>
          <t>Phase 2</t>
        </is>
      </c>
      <c r="J74" s="17" t="n"/>
      <c r="K74" s="38" t="n"/>
    </row>
    <row r="75" ht="32.25" customFormat="1" customHeight="1" s="15">
      <c r="A75" s="19" t="inlineStr">
        <is>
          <t>UC-PSP-002</t>
        </is>
      </c>
      <c r="B75" s="19" t="inlineStr">
        <is>
          <t>Configure Certification Visibility</t>
        </is>
      </c>
      <c r="C75" s="19" t="inlineStr">
        <is>
          <t>Customer Admin</t>
        </is>
      </c>
      <c r="D75" s="19" t="inlineStr">
        <is>
          <t>Digital Trust Passport</t>
        </is>
      </c>
      <c r="E75" s="20" t="inlineStr">
        <is>
          <t>Customer Portal</t>
        </is>
      </c>
      <c r="F75" s="20" t="inlineStr">
        <is>
          <t>Decide which certifications are visible internally and which may be shared externally.</t>
        </is>
      </c>
      <c r="G75" s="20" t="inlineStr">
        <is>
          <t>Quyết định chứng nhận nào hiển thị nội bộ và chứng nhận nào được phép chia sẻ ra bên ngoài.</t>
        </is>
      </c>
      <c r="H75" s="20" t="inlineStr">
        <is>
          <t>CP-40 Internal/external visibility controls (P1); Q&amp;A #39 detail still to confirm</t>
        </is>
      </c>
      <c r="I75" s="21" t="inlineStr">
        <is>
          <t>Phase 2</t>
        </is>
      </c>
      <c r="J75" s="17" t="n"/>
      <c r="K75" s="38" t="n"/>
    </row>
    <row r="76" ht="48.75" customFormat="1" customHeight="1" s="15">
      <c r="A76" s="19" t="inlineStr">
        <is>
          <t>UC-PSP-003</t>
        </is>
      </c>
      <c r="B76" s="19" t="inlineStr">
        <is>
          <t>Select Trust Information for Sharing</t>
        </is>
      </c>
      <c r="C76" s="19" t="inlineStr">
        <is>
          <t>Customer Admin</t>
        </is>
      </c>
      <c r="D76" s="19" t="inlineStr">
        <is>
          <t>Digital Trust Passport</t>
        </is>
      </c>
      <c r="E76" s="20" t="inlineStr">
        <is>
          <t>Customer Portal</t>
        </is>
      </c>
      <c r="F76" s="20" t="inlineStr">
        <is>
          <t>Select which supported trust information is visible internally or externally, according to the configured visibility controls.</t>
        </is>
      </c>
      <c r="G76" s="20" t="inlineStr">
        <is>
          <t>Chọn thông tin trust được hỗ trợ nào hiển thị nội bộ hoặc ra bên ngoài, theo các thiết lập hiển thị đã cấu hình.</t>
        </is>
      </c>
      <c r="H76" s="20" t="inlineStr">
        <is>
          <t>CP-40 Internal/external visibility controls (P1)</t>
        </is>
      </c>
      <c r="I76" s="21" t="inlineStr">
        <is>
          <t>Phase 2</t>
        </is>
      </c>
      <c r="J76" s="17" t="n"/>
      <c r="K76" s="38" t="n"/>
    </row>
    <row r="77" ht="48.75" customFormat="1" customHeight="1" s="15">
      <c r="A77" s="19" t="inlineStr">
        <is>
          <t>UC-PSP-004</t>
        </is>
      </c>
      <c r="B77" s="19" t="inlineStr">
        <is>
          <t>Generate Shareable Trust Profile Link</t>
        </is>
      </c>
      <c r="C77" s="19" t="inlineStr">
        <is>
          <t>Customer Admin</t>
        </is>
      </c>
      <c r="D77" s="19" t="inlineStr">
        <is>
          <t>Digital Trust Passport</t>
        </is>
      </c>
      <c r="E77" s="20" t="inlineStr">
        <is>
          <t>Customer Portal</t>
        </is>
      </c>
      <c r="F77" s="20" t="inlineStr">
        <is>
          <t>Generate a tokenized, read-only trust-profile link for external stakeholders, with expiry/revocation supported by the WBS. DTP login is not required for the recipient.</t>
        </is>
      </c>
      <c r="G77" s="20" t="inlineStr">
        <is>
          <t>Tạo một đường dẫn trust profile chỉ đọc, có token, cho các bên liên quan bên ngoài, có hỗ trợ hết hạn/thu hồi theo WBS. Người nhận không cần đăng nhập DTP.</t>
        </is>
      </c>
      <c r="H77" s="20" t="inlineStr">
        <is>
          <t>CP-41 Shareable trust profile link (P1); Q&amp;A #40/#41</t>
        </is>
      </c>
      <c r="I77" s="21" t="inlineStr">
        <is>
          <t>Phase 2</t>
        </is>
      </c>
      <c r="J77" s="17" t="n"/>
      <c r="K77" s="38" t="n"/>
    </row>
    <row r="78" ht="48.75" customFormat="1" customHeight="1" s="15">
      <c r="A78" s="19" t="inlineStr">
        <is>
          <t>UC-PSP-005</t>
        </is>
      </c>
      <c r="B78" s="19" t="inlineStr">
        <is>
          <t>View Shared Trust Profile</t>
        </is>
      </c>
      <c r="C78" s="19" t="inlineStr">
        <is>
          <t>External Stakeholder</t>
        </is>
      </c>
      <c r="D78" s="19" t="inlineStr">
        <is>
          <t>Digital Trust Passport</t>
        </is>
      </c>
      <c r="E78" s="20" t="inlineStr">
        <is>
          <t>External Shared View (No Portal)</t>
        </is>
      </c>
      <c r="F78" s="20" t="inlineStr">
        <is>
          <t>View approved certification and trust information through a valid external share link without a DTP login, subject to link validity and the configured sharing controls.</t>
        </is>
      </c>
      <c r="G78" s="20" t="inlineStr">
        <is>
          <t>Xem thông tin chứng nhận và trust đã được phê duyệt qua một đường dẫn chia sẻ còn hiệu lực mà không cần đăng nhập DTP, tuân theo hiệu lực của đường dẫn và các thiết lập chia sẻ đã cấu hình.</t>
        </is>
      </c>
      <c r="H78" s="20" t="inlineStr">
        <is>
          <t>CP-41 Shareable trust profile link (P1); Q&amp;A #40</t>
        </is>
      </c>
      <c r="I78" s="21" t="inlineStr">
        <is>
          <t>Phase 2</t>
        </is>
      </c>
      <c r="J78" s="17" t="n"/>
      <c r="K78" s="38" t="n"/>
    </row>
    <row r="79" ht="48.75" customFormat="1" customHeight="1" s="15">
      <c r="A79" s="19" t="inlineStr">
        <is>
          <t>UC-PSP-007</t>
        </is>
      </c>
      <c r="B79" s="19" t="inlineStr">
        <is>
          <t>View Trust Profile Access Log</t>
        </is>
      </c>
      <c r="C79" s="19" t="inlineStr">
        <is>
          <t>Customer Admin</t>
        </is>
      </c>
      <c r="D79" s="19" t="inlineStr">
        <is>
          <t>Digital Trust Passport</t>
        </is>
      </c>
      <c r="E79" s="20" t="inlineStr">
        <is>
          <t>Customer Portal</t>
        </is>
      </c>
      <c r="F79" s="20" t="inlineStr">
        <is>
          <t>View when and by whom a shared trust profile was accessed.</t>
        </is>
      </c>
      <c r="G79" s="20" t="inlineStr">
        <is>
          <t>Xem trust profile đã chia sẻ được truy cập khi nào và bởi ai.</t>
        </is>
      </c>
      <c r="H79" s="20" t="inlineStr">
        <is>
          <t>PRESALE WBS GAP — No customer-facing share access log is priced; CP-47 (P1) logs sharing actions for SGS Admin only</t>
        </is>
      </c>
      <c r="I79" s="21" t="inlineStr">
        <is>
          <t>Phase 2</t>
        </is>
      </c>
      <c r="J79" s="17" t="n"/>
      <c r="K79" s="38" t="n"/>
    </row>
    <row r="80" customFormat="1" s="32">
      <c r="A80" s="26" t="inlineStr">
        <is>
          <t>27. Operations Monitoring &amp; Reporting</t>
        </is>
      </c>
      <c r="B80" s="26" t="n"/>
      <c r="C80" s="26" t="n"/>
      <c r="D80" s="26" t="n"/>
      <c r="E80" s="28" t="n"/>
      <c r="F80" s="28" t="n"/>
      <c r="G80" s="28" t="n"/>
      <c r="H80" s="28" t="n"/>
      <c r="I80" s="31" t="n"/>
      <c r="J80" s="29" t="n"/>
      <c r="K80" s="34">
        <f>SUM(K81:K82)</f>
        <v/>
      </c>
    </row>
    <row r="81" ht="48.75" customFormat="1" customHeight="1" s="15">
      <c r="A81" s="19" t="inlineStr">
        <is>
          <t>UC-OPS-002</t>
        </is>
      </c>
      <c r="B81" s="19" t="inlineStr">
        <is>
          <t>Monitor Assigned Customer Journeys</t>
        </is>
      </c>
      <c r="C81" s="19" t="inlineStr">
        <is>
          <t>SGS User</t>
        </is>
      </c>
      <c r="D81" s="19" t="inlineStr">
        <is>
          <t>Operations Monitoring</t>
        </is>
      </c>
      <c r="E81" s="20" t="inlineStr">
        <is>
          <t>SGS Portal</t>
        </is>
      </c>
      <c r="F81" s="20" t="inlineStr">
        <is>
          <t>Monitor journey stage and readiness progress across assigned customers to identify where SGS engagement is needed.</t>
        </is>
      </c>
      <c r="G81" s="20" t="inlineStr">
        <is>
          <t>Theo dõi giai đoạn journey và tiến độ readiness của các khách hàng được giao, để xác định chỗ cần SGS tham gia.</t>
        </is>
      </c>
      <c r="H81" s="20" t="inlineStr">
        <is>
          <t>CP-09 Journey view (P1); OPS-06 Admin overview dashboard (P1)</t>
        </is>
      </c>
      <c r="I81" s="21" t="inlineStr">
        <is>
          <t>Phase 2</t>
        </is>
      </c>
      <c r="J81" s="17" t="n"/>
      <c r="K81" s="38" t="n"/>
    </row>
    <row r="82" ht="48.75" customFormat="1" customHeight="1" s="15">
      <c r="A82" s="19" t="inlineStr">
        <is>
          <t>UC-OPS-003</t>
        </is>
      </c>
      <c r="B82" s="19" t="inlineStr">
        <is>
          <t>Monitor Integration Health</t>
        </is>
      </c>
      <c r="C82" s="19" t="inlineStr">
        <is>
          <t>SGS Admin</t>
        </is>
      </c>
      <c r="D82" s="19" t="inlineStr">
        <is>
          <t>Operations Monitoring</t>
        </is>
      </c>
      <c r="E82" s="20" t="inlineStr">
        <is>
          <t>SGS Portal</t>
        </is>
      </c>
      <c r="F82" s="20" t="inlineStr">
        <is>
          <t>Review integration failures and degraded-mode events exposed by the platform so operational intervention can be taken where required.</t>
        </is>
      </c>
      <c r="G82" s="20" t="inlineStr">
        <is>
          <t>Xem lại các lỗi tích hợp và các sự kiện chạy ở chế độ suy giảm (degraded mode) do nền tảng báo, để can thiệp vận hành khi cần.</t>
        </is>
      </c>
      <c r="H82" s="20" t="inlineStr">
        <is>
          <t>CP-50 Integration error handling (P1)</t>
        </is>
      </c>
      <c r="I82" s="21" t="inlineStr">
        <is>
          <t>Phase 2</t>
        </is>
      </c>
      <c r="J82" s="17" t="n"/>
      <c r="K82" s="38" t="n"/>
    </row>
    <row r="85">
      <c r="A85" s="5" t="n"/>
    </row>
    <row r="94">
      <c r="A94" s="5" t="n"/>
    </row>
    <row r="102">
      <c r="A102" s="5" t="n"/>
    </row>
    <row r="110">
      <c r="A110" s="5" t="n"/>
    </row>
  </sheetData>
  <autoFilter ref="A1:J1"/>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51"/>
  <sheetViews>
    <sheetView workbookViewId="0">
      <selection activeCell="E1" sqref="E1"/>
    </sheetView>
  </sheetViews>
  <sheetFormatPr baseColWidth="8" defaultColWidth="8.625" defaultRowHeight="15.75"/>
  <cols>
    <col width="13.375" customWidth="1" min="1" max="1"/>
    <col width="32.375" customWidth="1" min="2" max="2"/>
    <col width="25.125" customWidth="1" min="3" max="3"/>
    <col width="18.375" customWidth="1" min="4" max="4"/>
    <col width="92.875" customWidth="1" min="5" max="5"/>
    <col width="92.875" customWidth="1" min="6" max="6"/>
    <col width="93.375" customWidth="1" min="7" max="7"/>
    <col width="52" customWidth="1" min="8" max="8"/>
    <col width="24" customWidth="1" min="9" max="9"/>
  </cols>
  <sheetData>
    <row r="1">
      <c r="A1" t="inlineStr">
        <is>
          <t>UC ID</t>
        </is>
      </c>
      <c r="B1" t="inlineStr">
        <is>
          <t>Use Case Name</t>
        </is>
      </c>
      <c r="C1" t="inlineStr">
        <is>
          <t>Actor</t>
        </is>
      </c>
      <c r="D1" t="inlineStr">
        <is>
          <t>Module/Feature</t>
        </is>
      </c>
      <c r="E1" t="inlineStr">
        <is>
          <t>Description</t>
        </is>
      </c>
      <c r="F1" t="inlineStr">
        <is>
          <t>Description (Tiếng Việt)</t>
        </is>
      </c>
      <c r="G1" t="inlineStr">
        <is>
          <t>WBS Reference</t>
        </is>
      </c>
      <c r="H1" s="1" t="inlineStr">
        <is>
          <t>Reason for Future Release</t>
        </is>
      </c>
      <c r="I1" s="2" t="inlineStr">
        <is>
          <t>Portal</t>
        </is>
      </c>
    </row>
    <row r="2" ht="15.75" customFormat="1" customHeight="1" s="3">
      <c r="A2" s="3" t="inlineStr">
        <is>
          <t>1. Authentication</t>
        </is>
      </c>
      <c r="H2" s="1" t="n"/>
      <c r="I2" s="1" t="n"/>
    </row>
    <row r="3" ht="31.5" customHeight="1">
      <c r="A3" t="inlineStr">
        <is>
          <t>UC-AUTH-006</t>
        </is>
      </c>
      <c r="B3" t="inlineStr">
        <is>
          <t>Authenticate via Enterprise SSO</t>
        </is>
      </c>
      <c r="C3" t="inlineStr">
        <is>
          <t>All authenticated roles</t>
        </is>
      </c>
      <c r="D3" t="inlineStr">
        <is>
          <t>Authentication</t>
        </is>
      </c>
      <c r="E3" t="inlineStr">
        <is>
          <t>Authenticate through a customer or SGS enterprise identity provider, with roles derived from IdP claims.</t>
        </is>
      </c>
      <c r="F3" t="inlineStr">
        <is>
          <t>Xác thực qua nhà cung cấp định danh (identity provider) doanh nghiệp của khách hàng hoặc SGS, với vai trò được suy ra từ các claim của IdP.</t>
        </is>
      </c>
      <c r="G3" t="inlineStr">
        <is>
          <t>Explicit — CP-02 Enterprise SSO readiness (P2 — adapter stub only)</t>
        </is>
      </c>
      <c r="H3" s="2" t="inlineStr">
        <is>
          <t>Enterprise SSO is explicitly Phase 2 / readiness only, not part of the MVP user flow.</t>
        </is>
      </c>
      <c r="I3" s="2" t="inlineStr">
        <is>
          <t>Customer Portal &amp; SGS Portal</t>
        </is>
      </c>
    </row>
    <row r="4" ht="15.75" customFormat="1" customHeight="1" s="3">
      <c r="A4" s="3" t="inlineStr">
        <is>
          <t>7. Framework Content Management</t>
        </is>
      </c>
      <c r="H4" s="1" t="n"/>
      <c r="I4" s="1" t="n"/>
    </row>
    <row r="5">
      <c r="A5" t="inlineStr">
        <is>
          <t>UC-FWK-010</t>
        </is>
      </c>
      <c r="B5" t="inlineStr">
        <is>
          <t>Publish Framework Version</t>
        </is>
      </c>
      <c r="C5" t="inlineStr">
        <is>
          <t>SGS Admin</t>
        </is>
      </c>
      <c r="D5" t="inlineStr">
        <is>
          <t>Framework Content</t>
        </is>
      </c>
      <c r="E5" t="inlineStr">
        <is>
          <t>Publish a new version of a framework, making it available to new journeys while leaving in-flight journeys on their existing version.</t>
        </is>
      </c>
      <c r="F5" t="inlineStr">
        <is>
          <t>Phát hành một phiên bản mới của framework, cho các journey mới sử dụng, trong khi các journey đang chạy vẫn giữ phiên bản hiện tại.</t>
        </is>
      </c>
      <c r="G5" t="inlineStr">
        <is>
          <t>Explicit — A8 'Version history retained' (P2)</t>
        </is>
      </c>
      <c r="H5" s="2" t="inlineStr">
        <is>
          <t>Framework version publishing is Phase 2 (A8).</t>
        </is>
      </c>
      <c r="I5" s="2" t="inlineStr">
        <is>
          <t>SGS Portal</t>
        </is>
      </c>
    </row>
    <row r="6" ht="31.5" customHeight="1">
      <c r="A6" t="inlineStr">
        <is>
          <t>UC-FWK-011</t>
        </is>
      </c>
      <c r="B6" t="inlineStr">
        <is>
          <t>Migrate Evidence Mappings to New Framework Version</t>
        </is>
      </c>
      <c r="C6" t="inlineStr">
        <is>
          <t>SGS Admin, System</t>
        </is>
      </c>
      <c r="D6" t="inlineStr">
        <is>
          <t>Framework Content</t>
        </is>
      </c>
      <c r="E6" t="inlineStr">
        <is>
          <t>Re-map existing customer evidence and maturity declarations onto a new framework version, reporting items that require manual re-mapping.</t>
        </is>
      </c>
      <c r="F6" t="inlineStr">
        <is>
          <t>Ánh xạ lại bằng chứng và khai báo maturity hiện có của khách hàng sang phiên bản framework mới, và báo cáo các mục cần ánh xạ lại thủ công.</t>
        </is>
      </c>
      <c r="G6" t="inlineStr">
        <is>
          <t>Explicit — A8 'Version migration and re-mapping of existing evidence' (P2)</t>
        </is>
      </c>
      <c r="H6" s="2" t="inlineStr">
        <is>
          <t>Framework version migration and evidence re-mapping are Phase 2 (A8).</t>
        </is>
      </c>
      <c r="I6" s="2" t="inlineStr">
        <is>
          <t>SGS Portal</t>
        </is>
      </c>
    </row>
    <row r="7" ht="15.75" customFormat="1" customHeight="1" s="3">
      <c r="A7" s="3" t="inlineStr">
        <is>
          <t>9. Regulatory Discovery Configuration</t>
        </is>
      </c>
      <c r="H7" s="1" t="n"/>
      <c r="I7" s="1" t="n"/>
    </row>
    <row r="8" ht="47.25" customHeight="1">
      <c r="A8" t="inlineStr">
        <is>
          <t>UC-DCF-001</t>
        </is>
      </c>
      <c r="B8" t="inlineStr">
        <is>
          <t>View Question List</t>
        </is>
      </c>
      <c r="C8" t="inlineStr">
        <is>
          <t>SGS Admin</t>
        </is>
      </c>
      <c r="D8" t="inlineStr">
        <is>
          <t>Discovery Configuration</t>
        </is>
      </c>
      <c r="E8" t="inlineStr">
        <is>
          <t>View the discovery question bank with type, status and usage.</t>
        </is>
      </c>
      <c r="F8" t="inlineStr">
        <is>
          <t>Xem ngân hàng câu hỏi discovery kèm loại, trạng thái và tình hình sử dụng.</t>
        </is>
      </c>
      <c r="G8" t="inlineStr">
        <is>
          <t>Implicit — OPS-07 'Configure Regulatory Discovery questions/logic (RD-14)' (P2) — one bullet covers the whole question bank</t>
        </is>
      </c>
      <c r="H8" s="2" t="inlineStr">
        <is>
          <t>Regulatory Discovery configuration is deferred from the first pilot; Q&amp;A #12–14 mark the approach as low priority / to be decided.</t>
        </is>
      </c>
      <c r="I8" s="2" t="inlineStr">
        <is>
          <t>SGS Portal</t>
        </is>
      </c>
    </row>
    <row r="9" ht="31.5" customHeight="1">
      <c r="A9" t="inlineStr">
        <is>
          <t>UC-DCF-002</t>
        </is>
      </c>
      <c r="B9" t="inlineStr">
        <is>
          <t>View Question Details</t>
        </is>
      </c>
      <c r="C9" t="inlineStr">
        <is>
          <t>SGS Admin</t>
        </is>
      </c>
      <c r="D9" t="inlineStr">
        <is>
          <t>Discovery Configuration</t>
        </is>
      </c>
      <c r="E9" t="inlineStr">
        <is>
          <t>View a question's full configuration, including answer options and the rules that consume it.</t>
        </is>
      </c>
      <c r="F9" t="inlineStr">
        <is>
          <t>Xem toàn bộ cấu hình của một câu hỏi, gồm các lựa chọn trả lời và các rule sử dụng nó.</t>
        </is>
      </c>
      <c r="G9" t="inlineStr">
        <is>
          <t>Implicit — OPS-07 RD questions/logic bullet (P2)</t>
        </is>
      </c>
      <c r="H9" s="2" t="inlineStr">
        <is>
          <t>Regulatory Discovery configuration is deferred from the first pilot; Q&amp;A #12–14.</t>
        </is>
      </c>
      <c r="I9" s="2" t="inlineStr">
        <is>
          <t>SGS Portal</t>
        </is>
      </c>
    </row>
    <row r="10" ht="31.5" customHeight="1">
      <c r="A10" t="inlineStr">
        <is>
          <t>UC-DCF-003</t>
        </is>
      </c>
      <c r="B10" t="inlineStr">
        <is>
          <t>Create Question and Answer Options</t>
        </is>
      </c>
      <c r="C10" t="inlineStr">
        <is>
          <t>SGS Admin</t>
        </is>
      </c>
      <c r="D10" t="inlineStr">
        <is>
          <t>Discovery Configuration</t>
        </is>
      </c>
      <c r="E10" t="inlineStr">
        <is>
          <t>Create a discovery question with its answer options and input constraints.</t>
        </is>
      </c>
      <c r="F10" t="inlineStr">
        <is>
          <t>Tạo một câu hỏi discovery cùng các lựa chọn trả lời và ràng buộc nhập liệu.</t>
        </is>
      </c>
      <c r="G10" t="inlineStr">
        <is>
          <t>Implicit — OPS-07 RD questions/logic bullet (P2)</t>
        </is>
      </c>
      <c r="H10" s="2" t="inlineStr">
        <is>
          <t>Regulatory Discovery configuration is deferred from the first pilot; Q&amp;A #12–14.</t>
        </is>
      </c>
      <c r="I10" s="2" t="inlineStr">
        <is>
          <t>SGS Portal</t>
        </is>
      </c>
    </row>
    <row r="11" ht="31.5" customHeight="1">
      <c r="A11" t="inlineStr">
        <is>
          <t>UC-DCF-004</t>
        </is>
      </c>
      <c r="B11" t="inlineStr">
        <is>
          <t>Edit Question</t>
        </is>
      </c>
      <c r="C11" t="inlineStr">
        <is>
          <t>SGS Admin</t>
        </is>
      </c>
      <c r="D11" t="inlineStr">
        <is>
          <t>Discovery Configuration</t>
        </is>
      </c>
      <c r="E11" t="inlineStr">
        <is>
          <t>Modify a question's wording, options or constraints.</t>
        </is>
      </c>
      <c r="F11" t="inlineStr">
        <is>
          <t>Sửa câu chữ, lựa chọn hoặc ràng buộc của một câu hỏi.</t>
        </is>
      </c>
      <c r="G11" t="inlineStr">
        <is>
          <t>Implicit — OPS-07 RD questions/logic bullet (P2)</t>
        </is>
      </c>
      <c r="H11" s="2" t="inlineStr">
        <is>
          <t>Regulatory Discovery configuration is deferred from the first pilot; Q&amp;A #12–14.</t>
        </is>
      </c>
      <c r="I11" s="2" t="inlineStr">
        <is>
          <t>SGS Portal</t>
        </is>
      </c>
    </row>
    <row r="12" ht="31.5" customHeight="1">
      <c r="A12" t="inlineStr">
        <is>
          <t>UC-DCF-005</t>
        </is>
      </c>
      <c r="B12" t="inlineStr">
        <is>
          <t>Archive Question</t>
        </is>
      </c>
      <c r="C12" t="inlineStr">
        <is>
          <t>SGS Admin</t>
        </is>
      </c>
      <c r="D12" t="inlineStr">
        <is>
          <t>Discovery Configuration</t>
        </is>
      </c>
      <c r="E12" t="inlineStr">
        <is>
          <t>Withdraw an obsolete question from future questionnaires while retaining historical responses.</t>
        </is>
      </c>
      <c r="F12" t="inlineStr">
        <is>
          <t>Rút một câu hỏi lỗi thời khỏi các bảng hỏi về sau, đồng thời giữ lại các câu trả lời lịch sử.</t>
        </is>
      </c>
      <c r="G12" t="inlineStr">
        <is>
          <t>Implicit — OPS-07 RD questions/logic bullet (P2)</t>
        </is>
      </c>
      <c r="H12" s="2" t="inlineStr">
        <is>
          <t>Regulatory Discovery configuration is deferred from the first pilot; Q&amp;A #12–14.</t>
        </is>
      </c>
      <c r="I12" s="2" t="inlineStr">
        <is>
          <t>SGS Portal</t>
        </is>
      </c>
    </row>
    <row r="13" ht="31.5" customHeight="1">
      <c r="A13" t="inlineStr">
        <is>
          <t>UC-DCF-006</t>
        </is>
      </c>
      <c r="B13" t="inlineStr">
        <is>
          <t>View Questionnaire List</t>
        </is>
      </c>
      <c r="C13" t="inlineStr">
        <is>
          <t>SGS Admin</t>
        </is>
      </c>
      <c r="D13" t="inlineStr">
        <is>
          <t>Discovery Configuration</t>
        </is>
      </c>
      <c r="E13" t="inlineStr">
        <is>
          <t>View the configured discovery questionnaires with version and status.</t>
        </is>
      </c>
      <c r="F13" t="inlineStr">
        <is>
          <t>Xem các bảng hỏi discovery đã cấu hình kèm phiên bản và trạng thái.</t>
        </is>
      </c>
      <c r="G13" t="inlineStr">
        <is>
          <t>Implicit — OPS-07 RD questions/logic bullet (P2) — questionnaire as an object is not named</t>
        </is>
      </c>
      <c r="H13" s="2" t="inlineStr">
        <is>
          <t>Regulatory Discovery configuration is deferred from the first pilot; Q&amp;A #12–14.</t>
        </is>
      </c>
      <c r="I13" s="2" t="inlineStr">
        <is>
          <t>SGS Portal</t>
        </is>
      </c>
    </row>
    <row r="14" ht="31.5" customHeight="1">
      <c r="A14" t="inlineStr">
        <is>
          <t>UC-DCF-007</t>
        </is>
      </c>
      <c r="B14" t="inlineStr">
        <is>
          <t>View Questionnaire Details</t>
        </is>
      </c>
      <c r="C14" t="inlineStr">
        <is>
          <t>SGS Admin</t>
        </is>
      </c>
      <c r="D14" t="inlineStr">
        <is>
          <t>Discovery Configuration</t>
        </is>
      </c>
      <c r="E14" t="inlineStr">
        <is>
          <t>View a questionnaire's question composition, ordering and branching.</t>
        </is>
      </c>
      <c r="F14" t="inlineStr">
        <is>
          <t>Xem thành phần câu hỏi, thứ tự và phân nhánh của một bảng hỏi.</t>
        </is>
      </c>
      <c r="G14" t="inlineStr">
        <is>
          <t>Implicit — OPS-07 RD questions/logic bullet (P2)</t>
        </is>
      </c>
      <c r="H14" s="2" t="inlineStr">
        <is>
          <t>Regulatory Discovery configuration is deferred from the first pilot; Q&amp;A #12–14.</t>
        </is>
      </c>
      <c r="I14" s="2" t="inlineStr">
        <is>
          <t>SGS Portal</t>
        </is>
      </c>
    </row>
    <row r="15" ht="31.5" customHeight="1">
      <c r="A15" t="inlineStr">
        <is>
          <t>UC-DCF-008</t>
        </is>
      </c>
      <c r="B15" t="inlineStr">
        <is>
          <t>Create Discovery Questionnaire</t>
        </is>
      </c>
      <c r="C15" t="inlineStr">
        <is>
          <t>SGS Admin</t>
        </is>
      </c>
      <c r="D15" t="inlineStr">
        <is>
          <t>Discovery Configuration</t>
        </is>
      </c>
      <c r="E15" t="inlineStr">
        <is>
          <t>Assemble questions into an ordered questionnaire for a defined discovery purpose.</t>
        </is>
      </c>
      <c r="F15" t="inlineStr">
        <is>
          <t>Ghép các câu hỏi thành một bảng hỏi có thứ tự cho một mục đích discovery xác định.</t>
        </is>
      </c>
      <c r="G15" t="inlineStr">
        <is>
          <t>Implicit — OPS-07 RD questions/logic bullet (P2)</t>
        </is>
      </c>
      <c r="H15" s="2" t="inlineStr">
        <is>
          <t>Regulatory Discovery configuration is deferred from the first pilot; Q&amp;A #12–14.</t>
        </is>
      </c>
      <c r="I15" s="2" t="inlineStr">
        <is>
          <t>SGS Portal</t>
        </is>
      </c>
    </row>
    <row r="16" ht="31.5" customHeight="1">
      <c r="A16" t="inlineStr">
        <is>
          <t>UC-DCF-009</t>
        </is>
      </c>
      <c r="B16" t="inlineStr">
        <is>
          <t>Edit Discovery Questionnaire</t>
        </is>
      </c>
      <c r="C16" t="inlineStr">
        <is>
          <t>SGS Admin</t>
        </is>
      </c>
      <c r="D16" t="inlineStr">
        <is>
          <t>Discovery Configuration</t>
        </is>
      </c>
      <c r="E16" t="inlineStr">
        <is>
          <t>Modify a questionnaire's composition, ordering or branching logic.</t>
        </is>
      </c>
      <c r="F16" t="inlineStr">
        <is>
          <t>Sửa thành phần, thứ tự hoặc logic phân nhánh của một bảng hỏi.</t>
        </is>
      </c>
      <c r="G16" t="inlineStr">
        <is>
          <t>Implicit — OPS-07 RD questions/logic bullet (P2)</t>
        </is>
      </c>
      <c r="H16" s="2" t="inlineStr">
        <is>
          <t>Regulatory Discovery configuration is deferred from the first pilot; Q&amp;A #12–14.</t>
        </is>
      </c>
      <c r="I16" s="2" t="inlineStr">
        <is>
          <t>SGS Portal</t>
        </is>
      </c>
    </row>
    <row r="17" ht="31.5" customHeight="1">
      <c r="A17" t="inlineStr">
        <is>
          <t>UC-DCF-010</t>
        </is>
      </c>
      <c r="B17" t="inlineStr">
        <is>
          <t>Archive Discovery Questionnaire</t>
        </is>
      </c>
      <c r="C17" t="inlineStr">
        <is>
          <t>SGS Admin</t>
        </is>
      </c>
      <c r="D17" t="inlineStr">
        <is>
          <t>Discovery Configuration</t>
        </is>
      </c>
      <c r="E17" t="inlineStr">
        <is>
          <t>Withdraw an obsolete questionnaire while retaining completed discovery records.</t>
        </is>
      </c>
      <c r="F17" t="inlineStr">
        <is>
          <t>Rút một bảng hỏi lỗi thời, đồng thời giữ lại các bản ghi discovery đã hoàn thành.</t>
        </is>
      </c>
      <c r="G17" t="inlineStr">
        <is>
          <t>Implicit — OPS-07 RD questions/logic bullet (P2)</t>
        </is>
      </c>
      <c r="H17" s="2" t="inlineStr">
        <is>
          <t>Regulatory Discovery configuration is deferred from the first pilot; Q&amp;A #12–14.</t>
        </is>
      </c>
      <c r="I17" s="2" t="inlineStr">
        <is>
          <t>SGS Portal</t>
        </is>
      </c>
    </row>
    <row r="18" ht="31.5" customHeight="1">
      <c r="A18" t="inlineStr">
        <is>
          <t>UC-DCF-011</t>
        </is>
      </c>
      <c r="B18" t="inlineStr">
        <is>
          <t>Import Applicability Rule Set</t>
        </is>
      </c>
      <c r="C18" t="inlineStr">
        <is>
          <t>SGS Admin</t>
        </is>
      </c>
      <c r="D18" t="inlineStr">
        <is>
          <t>Discovery Configuration</t>
        </is>
      </c>
      <c r="E18" t="inlineStr">
        <is>
          <t>Import an SGS-supplied applicability rule file, with validation and an import result report.</t>
        </is>
      </c>
      <c r="F18" t="inlineStr">
        <is>
          <t>Import file rule áp dụng (applicability rule) do SGS cung cấp, có kiểm tra hợp lệ và báo cáo kết quả import.</t>
        </is>
      </c>
      <c r="G18" t="inlineStr">
        <is>
          <t>Explicit — CP-11 'Import SGS rules content' (P1)</t>
        </is>
      </c>
      <c r="H18" s="2" t="inlineStr">
        <is>
          <t>Applicability rule-set administration belongs to Regulatory Discovery, which Q&amp;A #12–14 defer from the first pilot.</t>
        </is>
      </c>
      <c r="I18" s="2" t="inlineStr">
        <is>
          <t>SGS Portal</t>
        </is>
      </c>
    </row>
    <row r="19" ht="31.5" customHeight="1">
      <c r="A19" t="inlineStr">
        <is>
          <t>UC-DCF-012</t>
        </is>
      </c>
      <c r="B19" t="inlineStr">
        <is>
          <t>View Applicability Rule List</t>
        </is>
      </c>
      <c r="C19" t="inlineStr">
        <is>
          <t>SGS Admin</t>
        </is>
      </c>
      <c r="D19" t="inlineStr">
        <is>
          <t>Discovery Configuration</t>
        </is>
      </c>
      <c r="E19" t="inlineStr">
        <is>
          <t>View the rules that map answer combinations to recommended frameworks and obligation levels.</t>
        </is>
      </c>
      <c r="F19" t="inlineStr">
        <is>
          <t>Xem các rule ánh xạ tổ hợp câu trả lời sang các framework được khuyến nghị và mức nghĩa vụ.</t>
        </is>
      </c>
      <c r="G19" t="inlineStr">
        <is>
          <t>Implicit — OPS-07 RD questions/logic bullet (P2) — rule set is not inspectable in any priced UI</t>
        </is>
      </c>
      <c r="H19" s="2" t="inlineStr">
        <is>
          <t>Regulatory Discovery rule administration is deferred from the first pilot; Q&amp;A #12–14.</t>
        </is>
      </c>
      <c r="I19" s="2" t="inlineStr">
        <is>
          <t>SGS Portal</t>
        </is>
      </c>
    </row>
    <row r="20" ht="31.5" customHeight="1">
      <c r="A20" t="inlineStr">
        <is>
          <t>UC-DCF-013</t>
        </is>
      </c>
      <c r="B20" t="inlineStr">
        <is>
          <t>Create or Edit Applicability Rule</t>
        </is>
      </c>
      <c r="C20" t="inlineStr">
        <is>
          <t>SGS Admin</t>
        </is>
      </c>
      <c r="D20" t="inlineStr">
        <is>
          <t>Discovery Configuration</t>
        </is>
      </c>
      <c r="E20" t="inlineStr">
        <is>
          <t>Maintain an individual rule linking answer conditions to recommended frameworks, obligation level and next actions.</t>
        </is>
      </c>
      <c r="F20" t="inlineStr">
        <is>
          <t>Duy trì từng rule liên kết điều kiện câu trả lời với các framework được khuyến nghị, mức nghĩa vụ và hành động tiếp theo.</t>
        </is>
      </c>
      <c r="G20" t="inlineStr">
        <is>
          <t>Implicit — OPS-07 RD questions/logic bullet (P2)</t>
        </is>
      </c>
      <c r="H20" s="2" t="inlineStr">
        <is>
          <t>Regulatory Discovery rule administration is deferred from the first pilot; Q&amp;A #12–14.</t>
        </is>
      </c>
      <c r="I20" s="2" t="inlineStr">
        <is>
          <t>SGS Portal</t>
        </is>
      </c>
    </row>
    <row r="21" ht="31.5" customHeight="1">
      <c r="A21" t="inlineStr">
        <is>
          <t>UC-DCF-014</t>
        </is>
      </c>
      <c r="B21" t="inlineStr">
        <is>
          <t>Maintain Recommendation Explanation Text</t>
        </is>
      </c>
      <c r="C21" t="inlineStr">
        <is>
          <t>SGS Admin</t>
        </is>
      </c>
      <c r="D21" t="inlineStr">
        <is>
          <t>Discovery Configuration</t>
        </is>
      </c>
      <c r="E21" t="inlineStr">
        <is>
          <t>Maintain the explanation shown to the customer for why a framework may apply, plus the mandatory indicative-only disclaimer.</t>
        </is>
      </c>
      <c r="F21" t="inlineStr">
        <is>
          <t>Duy trì phần giải thích hiển thị cho khách hàng về lý do một framework có thể áp dụng, cùng lời lưu ý bắt buộc rằng kết quả chỉ mang tính tham khảo.</t>
        </is>
      </c>
      <c r="G21" t="inlineStr">
        <is>
          <t>Implicit — CP-11 'Explain each recommendation' (P1) renders it; authoring falls under OPS-07 (P2)</t>
        </is>
      </c>
      <c r="H21" s="2" t="inlineStr">
        <is>
          <t>Recommendation content authoring belongs to deferred Regulatory Discovery configuration; Q&amp;A #12–14.</t>
        </is>
      </c>
      <c r="I21" s="2" t="inlineStr">
        <is>
          <t>SGS Portal</t>
        </is>
      </c>
    </row>
    <row r="22" ht="31.5" customHeight="1">
      <c r="A22" t="inlineStr">
        <is>
          <t>UC-DCF-015</t>
        </is>
      </c>
      <c r="B22" t="inlineStr">
        <is>
          <t>Configure Recommended Next Actions</t>
        </is>
      </c>
      <c r="C22" t="inlineStr">
        <is>
          <t>SGS Admin</t>
        </is>
      </c>
      <c r="D22" t="inlineStr">
        <is>
          <t>Discovery Configuration</t>
        </is>
      </c>
      <c r="E22" t="inlineStr">
        <is>
          <t>Configure which next actions a discovery outcome offers, such as start a readiness workspace, view training or submit a service request.</t>
        </is>
      </c>
      <c r="F22" t="inlineStr">
        <is>
          <t>Cấu hình các hành động tiếp theo mà một kết quả discovery đưa ra, như bắt đầu một readiness workspace, xem đào tạo hoặc gửi service request.</t>
        </is>
      </c>
      <c r="G22" t="inlineStr">
        <is>
          <t>Implicit — CP-12 (P1) implements the runtime next steps; configuring them falls under OPS-07 (P2)</t>
        </is>
      </c>
      <c r="H22" s="2" t="inlineStr">
        <is>
          <t>Discovery next-action configuration belongs to the deferred Regulatory Discovery approach; Q&amp;A #12–14.</t>
        </is>
      </c>
      <c r="I22" s="2" t="inlineStr">
        <is>
          <t>SGS Portal</t>
        </is>
      </c>
    </row>
    <row r="23" ht="15.75" customFormat="1" customHeight="1" s="3">
      <c r="A23" s="3" t="inlineStr">
        <is>
          <t>16. Regulatory Discovery</t>
        </is>
      </c>
      <c r="H23" s="1" t="n"/>
      <c r="I23" s="1" t="n"/>
    </row>
    <row r="24" ht="16.5" customFormat="1" customHeight="1" s="3">
      <c r="A24" t="inlineStr">
        <is>
          <t>UC-RGF-001</t>
        </is>
      </c>
      <c r="B24" t="inlineStr">
        <is>
          <t>View and Manage Regulatory Feed</t>
        </is>
      </c>
      <c r="C24" t="inlineStr">
        <is>
          <t>Customer Admin, Customer User</t>
        </is>
      </c>
      <c r="D24" t="inlineStr">
        <is>
          <t>Regulatory Discovery</t>
        </is>
      </c>
      <c r="E24" s="2" t="inlineStr">
        <is>
          <t>Customer Portal</t>
        </is>
      </c>
      <c r="F24" s="2" t="inlineStr">
        <is>
          <t>[Dữ liệu lệch cột trong file gốc: ô Description chứa "Customer Portal"; mô tả thật nằm ở cột WBS Reference]</t>
        </is>
      </c>
      <c r="G24" t="inlineStr">
        <is>
          <t>View applicable regulatory-feed items, filter them by sector, geography and date, and mark items as read.</t>
        </is>
      </c>
      <c r="H24" t="inlineStr">
        <is>
          <t>Regulatory feed function in WBS (originally P2); Q&amp;A #58 confirms inclusion in Phase 1</t>
        </is>
      </c>
      <c r="I24" s="2" t="n"/>
    </row>
    <row r="25" ht="47.25" customHeight="1">
      <c r="A25" t="inlineStr">
        <is>
          <t>UC-DSC-001</t>
        </is>
      </c>
      <c r="B25" t="inlineStr">
        <is>
          <t>Complete and Submit Discovery Questionnaire</t>
        </is>
      </c>
      <c r="C25" t="inlineStr">
        <is>
          <t>Customer Admin, Customer User</t>
        </is>
      </c>
      <c r="D25" t="inlineStr">
        <is>
          <t>Regulatory Discovery</t>
        </is>
      </c>
      <c r="E25" t="inlineStr">
        <is>
          <t>Start a discovery for an organization, product or system, answer the guided intake covering organization type, sector, geography, market and scope type, and submit it for evaluation. Saving and resuming a partial questionnaire is an alternate flow.</t>
        </is>
      </c>
      <c r="F25" t="inlineStr">
        <is>
          <t>Bắt đầu một discovery cho một organization, product hoặc system, trả lời phần thu thập thông tin có hướng dẫn gồm loại tổ chức, ngành, địa lý, thị trường và loại scope, rồi gửi để đánh giá. Lưu và tiếp tục một bảng hỏi làm dở là luồng thay thế.</t>
        </is>
      </c>
      <c r="G25" t="inlineStr">
        <is>
          <t>Explicit — CP-10 Guided intake questionnaire (P1), incl. 'Save draft'</t>
        </is>
      </c>
      <c r="H25" s="2" t="inlineStr">
        <is>
          <t>Customer Regulatory Discovery intake is not part of the first pilot per Q&amp;A #12–14; keep for a later release after the approach is agreed.</t>
        </is>
      </c>
      <c r="I25" s="2" t="inlineStr">
        <is>
          <t>Customer Portal</t>
        </is>
      </c>
    </row>
    <row r="26" ht="31.5" customHeight="1">
      <c r="A26" t="inlineStr">
        <is>
          <t>UC-DSC-002</t>
        </is>
      </c>
      <c r="B26" t="inlineStr">
        <is>
          <t>Generate Applicability Result</t>
        </is>
      </c>
      <c r="C26" t="inlineStr">
        <is>
          <t>System</t>
        </is>
      </c>
      <c r="D26" t="inlineStr">
        <is>
          <t>Regulatory Discovery</t>
        </is>
      </c>
      <c r="E26" t="inlineStr">
        <is>
          <t>Evaluate submitted answers against the published rule set and produce recommended frameworks classified by obligation level, each with its explanation.</t>
        </is>
      </c>
      <c r="F26" t="inlineStr">
        <is>
          <t>Đánh giá các câu trả lời đã gửi theo bộ rule đã phát hành và đưa ra các framework được khuyến nghị, phân loại theo mức nghĩa vụ, mỗi framework kèm giải thích.</t>
        </is>
      </c>
      <c r="G26" t="inlineStr">
        <is>
          <t>Explicit — CP-11 'Rules engine execution' (P1)</t>
        </is>
      </c>
      <c r="H26" s="2" t="inlineStr">
        <is>
          <t>Applicability evaluation is deferred with Regulatory Discovery per Q&amp;A #12–14.</t>
        </is>
      </c>
      <c r="I26" s="2" t="inlineStr">
        <is>
          <t>System / Backend (No Portal)</t>
        </is>
      </c>
    </row>
    <row r="27" ht="31.5" customHeight="1">
      <c r="A27" t="inlineStr">
        <is>
          <t>UC-DSC-003</t>
        </is>
      </c>
      <c r="B27" t="inlineStr">
        <is>
          <t>View Discovery Result</t>
        </is>
      </c>
      <c r="C27" t="inlineStr">
        <is>
          <t>Customer Admin, Customer User</t>
        </is>
      </c>
      <c r="D27" t="inlineStr">
        <is>
          <t>Regulatory Discovery</t>
        </is>
      </c>
      <c r="E27" t="inlineStr">
        <is>
          <t>Review the recommended frameworks, the rationale for each, the obligation level and the indicative-only disclaimer.</t>
        </is>
      </c>
      <c r="F27" t="inlineStr">
        <is>
          <t>Xem lại các framework được khuyến nghị, lý do của từng framework, mức nghĩa vụ và lời lưu ý chỉ mang tính tham khảo.</t>
        </is>
      </c>
      <c r="G27" t="inlineStr">
        <is>
          <t>Explicit — CP-11 'display results to UI' + 'Explain each recommendation' (P1)</t>
        </is>
      </c>
      <c r="H27" s="2" t="inlineStr">
        <is>
          <t>Discovery result presentation is deferred with Regulatory Discovery per Q&amp;A #12–14.</t>
        </is>
      </c>
      <c r="I27" s="2" t="inlineStr">
        <is>
          <t>Customer Portal</t>
        </is>
      </c>
    </row>
    <row r="28" ht="31.5" customHeight="1">
      <c r="A28" t="inlineStr">
        <is>
          <t>UC-DSC-004</t>
        </is>
      </c>
      <c r="B28" t="inlineStr">
        <is>
          <t>Create or Update Scope from Discovery Result</t>
        </is>
      </c>
      <c r="C28" t="inlineStr">
        <is>
          <t>Customer Admin</t>
        </is>
      </c>
      <c r="D28" t="inlineStr">
        <is>
          <t>Regulatory Discovery</t>
        </is>
      </c>
      <c r="E28" t="inlineStr">
        <is>
          <t>Create a new scope or update an existing one from the discovery outcome.</t>
        </is>
      </c>
      <c r="F28" t="inlineStr">
        <is>
          <t>Tạo scope mới hoặc cập nhật scope đã có từ kết quả discovery.</t>
        </is>
      </c>
      <c r="G28" t="inlineStr">
        <is>
          <t>Explicit — CP-12 'create product/system/org scope' (P1)</t>
        </is>
      </c>
      <c r="H28" s="2" t="inlineStr">
        <is>
          <t>Creating/updating scope from discovery is deferred with Regulatory Discovery per Q&amp;A #12–14.</t>
        </is>
      </c>
      <c r="I28" s="2" t="inlineStr">
        <is>
          <t>Customer Portal</t>
        </is>
      </c>
    </row>
    <row r="29" ht="31.5" customHeight="1">
      <c r="A29" t="inlineStr">
        <is>
          <t>UC-DSC-005</t>
        </is>
      </c>
      <c r="B29" t="inlineStr">
        <is>
          <t>Activate Recommended Frameworks</t>
        </is>
      </c>
      <c r="C29" t="inlineStr">
        <is>
          <t>Customer Admin</t>
        </is>
      </c>
      <c r="D29" t="inlineStr">
        <is>
          <t>Regulatory Discovery</t>
        </is>
      </c>
      <c r="E29" t="inlineStr">
        <is>
          <t>Select which recommended frameworks to activate on a scope.</t>
        </is>
      </c>
      <c r="F29" t="inlineStr">
        <is>
          <t>Chọn những framework được khuyến nghị nào sẽ kích hoạt trên một scope.</t>
        </is>
      </c>
      <c r="G29" t="inlineStr">
        <is>
          <t>Explicit — CP-12 Activate frameworks on journey (P1)</t>
        </is>
      </c>
      <c r="H29" s="2" t="inlineStr">
        <is>
          <t>Activating recommended frameworks from discovery is deferred with Regulatory Discovery per Q&amp;A #12–14.</t>
        </is>
      </c>
      <c r="I29" s="2" t="inlineStr">
        <is>
          <t>Customer Portal</t>
        </is>
      </c>
    </row>
    <row r="30" ht="15.75" customFormat="1" customHeight="1" s="3">
      <c r="A30" s="3" t="inlineStr">
        <is>
          <t>17. Evidence Management</t>
        </is>
      </c>
      <c r="H30" s="1" t="n"/>
      <c r="I30" s="1" t="n"/>
    </row>
    <row r="31" ht="31.5" customHeight="1">
      <c r="A31" t="inlineStr">
        <is>
          <t>UC-EVD-009</t>
        </is>
      </c>
      <c r="B31" t="inlineStr">
        <is>
          <t>Bulk Upload Evidence</t>
        </is>
      </c>
      <c r="C31" t="inlineStr">
        <is>
          <t>Customer Admin</t>
        </is>
      </c>
      <c r="D31" t="inlineStr">
        <is>
          <t>Evidence Management</t>
        </is>
      </c>
      <c r="E31" t="inlineStr">
        <is>
          <t>Upload multiple evidence files and apply or edit metadata in bulk as an asynchronous job.</t>
        </is>
      </c>
      <c r="F31" t="inlineStr">
        <is>
          <t>Tải lên nhiều file bằng chứng và áp dụng hoặc sửa metadata hàng loạt, chạy dưới dạng tác vụ bất đồng bộ.</t>
        </is>
      </c>
      <c r="G31" t="inlineStr">
        <is>
          <t>Explicit — CP-21 Bulk upload and bulk metadata edit (P2, Low priority)</t>
        </is>
      </c>
      <c r="H31" s="2" t="inlineStr">
        <is>
          <t>Bulk evidence upload/edit is Phase 2 and low priority (CP-21).</t>
        </is>
      </c>
      <c r="I31" s="2" t="inlineStr">
        <is>
          <t>Customer Portal</t>
        </is>
      </c>
    </row>
    <row r="32" ht="63" customHeight="1">
      <c r="A32" t="inlineStr">
        <is>
          <t>UC-EVD-017</t>
        </is>
      </c>
      <c r="B32" t="inlineStr">
        <is>
          <t>Create Evidence Package</t>
        </is>
      </c>
      <c r="C32" t="inlineStr">
        <is>
          <t>Customer Admin, Customer User</t>
        </is>
      </c>
      <c r="D32" t="inlineStr">
        <is>
          <t>Evidence Management</t>
        </is>
      </c>
      <c r="E32" t="inlineStr">
        <is>
          <t>Create and maintain a separate Evidence Package containing the evidence/documents to be submitted for a Readiness Assessment or Audit Review.</t>
        </is>
      </c>
      <c r="F32" t="inlineStr">
        <is>
          <t>Tạo và duy trì một Evidence Package riêng chứa các bằng chứng/tài liệu sẽ nộp cho một Readiness Assessment hoặc Audit Review.</t>
        </is>
      </c>
      <c r="G32" t="inlineStr">
        <is>
          <t>Explicit — CP-19 'Package builder UI' (P2)</t>
        </is>
      </c>
      <c r="H32" s="2" t="inlineStr">
        <is>
          <t>Q&amp;A #21 now confirms Evidence Package is a separate system object (Option A). Implementation remains Future Release because CP-19 places the package builder in Phase 2.</t>
        </is>
      </c>
      <c r="I32" s="2" t="inlineStr">
        <is>
          <t>Customer Portal</t>
        </is>
      </c>
    </row>
    <row r="33" ht="47.25" customHeight="1">
      <c r="A33" t="inlineStr">
        <is>
          <t>UC-EVD-018</t>
        </is>
      </c>
      <c r="B33" t="inlineStr">
        <is>
          <t>Submit Evidence Package for Review</t>
        </is>
      </c>
      <c r="C33" t="inlineStr">
        <is>
          <t>Customer Admin</t>
        </is>
      </c>
      <c r="D33" t="inlineStr">
        <is>
          <t>Evidence Management</t>
        </is>
      </c>
      <c r="E33" t="inlineStr">
        <is>
          <t>Submit the separate Evidence Package to SGS for review, moving it into the submitted state and linking it to the applicable Review.</t>
        </is>
      </c>
      <c r="F33" t="inlineStr">
        <is>
          <t>Nộp Evidence Package riêng đó cho SGS để review, chuyển nó sang trạng thái submitted và liên kết với Review tương ứng.</t>
        </is>
      </c>
      <c r="G33" t="inlineStr">
        <is>
          <t>Explicit — CP-19 'Submit package status' + 'Link to Review Workflow' (P2); A4 evidence-to-service-request handoff (P1)</t>
        </is>
      </c>
      <c r="H33" s="2" t="inlineStr">
        <is>
          <t>Q&amp;A #21 confirms the separate Evidence Package concept; package submission remains Future Release because CP-19 is Phase 2.</t>
        </is>
      </c>
      <c r="I33" s="2" t="inlineStr">
        <is>
          <t>Customer Portal</t>
        </is>
      </c>
    </row>
    <row r="34" ht="15.75" customFormat="1" customHeight="1" s="3">
      <c r="A34" s="3" t="inlineStr">
        <is>
          <t>19. Readiness Indicators</t>
        </is>
      </c>
      <c r="H34" s="1" t="n"/>
      <c r="I34" s="1" t="n"/>
    </row>
    <row r="35" ht="31.5" customHeight="1">
      <c r="A35" t="inlineStr">
        <is>
          <t>UC-RDN-006</t>
        </is>
      </c>
      <c r="B35" t="inlineStr">
        <is>
          <t>Create Readiness Snapshot</t>
        </is>
      </c>
      <c r="C35" t="inlineStr">
        <is>
          <t>System</t>
        </is>
      </c>
      <c r="D35" t="inlineStr">
        <is>
          <t>Readiness Indicators</t>
        </is>
      </c>
      <c r="E35" t="inlineStr">
        <is>
          <t>Persist a periodic readiness snapshot per scope and framework so that trends can be reported.</t>
        </is>
      </c>
      <c r="F35" t="inlineStr">
        <is>
          <t>Lưu định kỳ một bản chụp (snapshot) readiness theo scope và framework để báo cáo được xu hướng.</t>
        </is>
      </c>
      <c r="G35" t="inlineStr">
        <is>
          <t>Explicit — A3 'Periodic readiness snapshots' (P2)</t>
        </is>
      </c>
      <c r="H35" s="2" t="inlineStr">
        <is>
          <t>Periodic readiness snapshots are Phase 2 (A3).</t>
        </is>
      </c>
      <c r="I35" s="2" t="inlineStr">
        <is>
          <t>System / Backend (No Portal)</t>
        </is>
      </c>
    </row>
    <row r="36">
      <c r="A36" t="inlineStr">
        <is>
          <t>UC-RDN-007</t>
        </is>
      </c>
      <c r="B36" t="inlineStr">
        <is>
          <t>View Readiness Trend</t>
        </is>
      </c>
      <c r="C36" t="inlineStr">
        <is>
          <t>Customer Admin, Customer User (+ assigned SGS roles, read-only)</t>
        </is>
      </c>
      <c r="D36" t="inlineStr">
        <is>
          <t>Readiness Indicators</t>
        </is>
      </c>
      <c r="E36" t="inlineStr">
        <is>
          <t>View improvement or deterioration in completeness and freshness over time for a scope and framework.</t>
        </is>
      </c>
      <c r="F36" t="inlineStr">
        <is>
          <t>Xem mức cải thiện hoặc suy giảm của completeness và freshness theo thời gian cho một scope và framework.</t>
        </is>
      </c>
      <c r="G36" t="inlineStr">
        <is>
          <t>Explicit — A3 'Trend chart per scope and framework' + 'Surface on the Passport view' (P2)</t>
        </is>
      </c>
      <c r="H36" s="2" t="inlineStr">
        <is>
          <t>Readiness trend visualization is Phase 2 (A3).</t>
        </is>
      </c>
      <c r="I36" s="2" t="inlineStr">
        <is>
          <t>Customer Portal</t>
        </is>
      </c>
    </row>
    <row r="37" ht="31.5" customHeight="1">
      <c r="A37" t="inlineStr">
        <is>
          <t>UC-RDN-008</t>
        </is>
      </c>
      <c r="B37" t="inlineStr">
        <is>
          <t>Export Readiness Report</t>
        </is>
      </c>
      <c r="C37" t="inlineStr">
        <is>
          <t>Customer Admin, Customer User, SGS User</t>
        </is>
      </c>
      <c r="D37" t="inlineStr">
        <is>
          <t>Readiness Indicators</t>
        </is>
      </c>
      <c r="E37" t="inlineStr">
        <is>
          <t>Export readiness and evidence status, with the preparation-metric disclaimer applied and subject to role and tenant permissions.</t>
        </is>
      </c>
      <c r="F37" t="inlineStr">
        <is>
          <t>Xuất trạng thái readiness và bằng chứng, có kèm lời lưu ý về chỉ số chuẩn bị (preparation-metric disclaimer), tuân theo quyền của vai trò và tenant.</t>
        </is>
      </c>
      <c r="G37" t="inlineStr">
        <is>
          <t>Explicit — CP-22 Export evidence/readiness report (P2); CP-24 Readiness reports (P2)</t>
        </is>
      </c>
      <c r="H37" s="2" t="inlineStr">
        <is>
          <t>Readiness/evidence report export is Phase 2 (CP-22/CP-24).</t>
        </is>
      </c>
      <c r="I37" s="2" t="inlineStr">
        <is>
          <t>Customer Portal &amp; SGS Portal</t>
        </is>
      </c>
    </row>
    <row r="38" ht="15.75" customFormat="1" customHeight="1" s="3">
      <c r="A38" s="3" t="inlineStr">
        <is>
          <t>20. Training &amp; SGS Academy</t>
        </is>
      </c>
      <c r="H38" s="1" t="n"/>
      <c r="I38" s="1" t="n"/>
    </row>
    <row r="39" ht="31.5" customHeight="1">
      <c r="A39" t="inlineStr">
        <is>
          <t>UC-TRN-003</t>
        </is>
      </c>
      <c r="B39" t="inlineStr">
        <is>
          <t>View Recommended Training</t>
        </is>
      </c>
      <c r="C39" t="inlineStr">
        <is>
          <t>Customer Admin, Customer User</t>
        </is>
      </c>
      <c r="D39" t="inlineStr">
        <is>
          <t>SGS Academy</t>
        </is>
      </c>
      <c r="E39" t="inlineStr">
        <is>
          <t>View courses recommended for the scope's active frameworks and identified readiness gaps.</t>
        </is>
      </c>
      <c r="F39" t="inlineStr">
        <is>
          <t>Xem các khoá học được khuyến nghị cho các framework đang hoạt động của scope và các gap readiness đã xác định.</t>
        </is>
      </c>
      <c r="G39" t="inlineStr">
        <is>
          <t>Explicit — CP-30 Framework-linked course recommendations (P2)</t>
        </is>
      </c>
      <c r="H39" s="2" t="inlineStr">
        <is>
          <t>Framework-linked training recommendations are Phase 2 (CP-30).</t>
        </is>
      </c>
      <c r="I39" s="2" t="inlineStr">
        <is>
          <t>Customer Portal</t>
        </is>
      </c>
    </row>
    <row r="40" ht="31.5" customHeight="1">
      <c r="A40" t="inlineStr">
        <is>
          <t>UC-TRN-007</t>
        </is>
      </c>
      <c r="B40" t="inlineStr">
        <is>
          <t>Approve Training Badge for Trust Profile</t>
        </is>
      </c>
      <c r="C40" t="inlineStr">
        <is>
          <t>Customer Admin</t>
        </is>
      </c>
      <c r="D40" t="inlineStr">
        <is>
          <t>SGS Academy</t>
        </is>
      </c>
      <c r="E40" t="inlineStr">
        <is>
          <t>Approve which badges may appear on the Digital Trust Passport and shared trust profile.</t>
        </is>
      </c>
      <c r="F40" t="inlineStr">
        <is>
          <t>Phê duyệt những badge nào được xuất hiện trên Digital Trust Passport và trust profile được chia sẻ.</t>
        </is>
      </c>
      <c r="G40" t="inlineStr">
        <is>
          <t>Explicit — CP-33 Optional badges on Passport (P2)</t>
        </is>
      </c>
      <c r="H40" s="2" t="inlineStr">
        <is>
          <t>Selecting training badges for Passport display is Phase 2 (CP-33).</t>
        </is>
      </c>
      <c r="I40" s="2" t="inlineStr">
        <is>
          <t>Customer Portal</t>
        </is>
      </c>
    </row>
    <row r="41" ht="15.75" customFormat="1" customHeight="1" s="3">
      <c r="A41" s="3" t="inlineStr">
        <is>
          <t>22. Review Workflow</t>
        </is>
      </c>
      <c r="H41" s="1" t="n"/>
      <c r="I41" s="1" t="n"/>
    </row>
    <row r="42" ht="47.25" customHeight="1">
      <c r="A42" t="inlineStr">
        <is>
          <t>UC-REV-009</t>
        </is>
      </c>
      <c r="B42" t="inlineStr">
        <is>
          <t>Accept Evidence Package</t>
        </is>
      </c>
      <c r="C42" t="inlineStr">
        <is>
          <t>SGS Trainer/Assessor, SGS Auditor/Certification</t>
        </is>
      </c>
      <c r="D42" t="inlineStr">
        <is>
          <t>Review Workflow</t>
        </is>
      </c>
      <c r="E42" t="inlineStr">
        <is>
          <t>Accept a submitted evidence package as meeting the applicable review criteria.</t>
        </is>
      </c>
      <c r="F42" t="inlineStr">
        <is>
          <t>Chấp nhận một evidence package đã nộp là đáp ứng các tiêu chí review áp dụng.</t>
        </is>
      </c>
      <c r="G42" t="inlineStr">
        <is>
          <t>Implicit — CP-20 'accepted' state (P2); CP-19 package submission (P2) — no explicit reviewer accept action</t>
        </is>
      </c>
      <c r="H42" s="2" t="inlineStr">
        <is>
          <t>Evidence Package acceptance depends on the Phase 2 package workflow (CP-19/CP-20). Q&amp;A #21 has clarified the package concept; timing remains Future Release.</t>
        </is>
      </c>
      <c r="I42" s="2" t="inlineStr">
        <is>
          <t>SGS Portal</t>
        </is>
      </c>
    </row>
    <row r="43" ht="47.25" customHeight="1">
      <c r="A43" t="inlineStr">
        <is>
          <t>UC-REV-010</t>
        </is>
      </c>
      <c r="B43" t="inlineStr">
        <is>
          <t>Reject Evidence Package</t>
        </is>
      </c>
      <c r="C43" t="inlineStr">
        <is>
          <t>SGS Trainer/Assessor, SGS Auditor/Certification</t>
        </is>
      </c>
      <c r="D43" t="inlineStr">
        <is>
          <t>Review Workflow</t>
        </is>
      </c>
      <c r="E43" t="inlineStr">
        <is>
          <t>Reject a submitted package with reasons and the actions required from the customer.</t>
        </is>
      </c>
      <c r="F43" t="inlineStr">
        <is>
          <t>Từ chối một package đã nộp, kèm lý do và các hành động yêu cầu khách hàng thực hiện.</t>
        </is>
      </c>
      <c r="G43" t="inlineStr">
        <is>
          <t>Implicit — CP-20 'rejected' state (P2) — no explicit reviewer reject action</t>
        </is>
      </c>
      <c r="H43" s="2" t="inlineStr">
        <is>
          <t>Evidence Package rejection depends on the Phase 2 package workflow (CP-20). Q&amp;A #21 has clarified the package concept; timing remains Future Release.</t>
        </is>
      </c>
      <c r="I43" s="2" t="inlineStr">
        <is>
          <t>SGS Portal</t>
        </is>
      </c>
    </row>
    <row r="44" ht="15.75" customFormat="1" customHeight="1" s="3">
      <c r="A44" s="3" t="inlineStr">
        <is>
          <t>23. Certification Record Management</t>
        </is>
      </c>
      <c r="H44" s="1" t="n"/>
      <c r="I44" s="1" t="n"/>
    </row>
    <row r="45" ht="31.5" customHeight="1">
      <c r="A45" t="inlineStr">
        <is>
          <t>UC-CRT-004</t>
        </is>
      </c>
      <c r="B45" t="inlineStr">
        <is>
          <t>View Certification Record Details</t>
        </is>
      </c>
      <c r="C45" t="inlineStr">
        <is>
          <t>Customer Admin, Customer User, Customer Viewer, SGS User, SGS Admin</t>
        </is>
      </c>
      <c r="D45" t="inlineStr">
        <is>
          <t>Certification Record</t>
        </is>
      </c>
      <c r="E45" t="inlineStr">
        <is>
          <t>View a record's full detail, attached certificate documents, surveillance and renewal milestones, and its history of previous certificates, renewals and status changes.</t>
        </is>
      </c>
      <c r="F45" t="inlineStr">
        <is>
          <t>Xem đầy đủ chi tiết một bản ghi, các tài liệu chứng chỉ đính kèm, các mốc giám sát và gia hạn, cùng lịch sử các chứng chỉ trước, các lần gia hạn và thay đổi trạng thái.</t>
        </is>
      </c>
      <c r="G45" t="inlineStr">
        <is>
          <t>Explicit — CP-38 Certification details and history (P2)</t>
        </is>
      </c>
      <c r="H45" s="2" t="inlineStr">
        <is>
          <t>Certification details/history is Phase 2 (CP-38).</t>
        </is>
      </c>
      <c r="I45" s="2" t="inlineStr">
        <is>
          <t>Customer Portal &amp; SGS Portal</t>
        </is>
      </c>
    </row>
    <row r="46" ht="47.25" customHeight="1">
      <c r="A46" t="inlineStr">
        <is>
          <t>UC-CRT-005</t>
        </is>
      </c>
      <c r="B46" t="inlineStr">
        <is>
          <t>Upload Certificate Document</t>
        </is>
      </c>
      <c r="C46" t="inlineStr">
        <is>
          <t>SGS User</t>
        </is>
      </c>
      <c r="D46" t="inlineStr">
        <is>
          <t>Certification Record</t>
        </is>
      </c>
      <c r="E46" t="inlineStr">
        <is>
          <t>Attach the issued certificate document to a record in secure storage, marked as SGS-verified.</t>
        </is>
      </c>
      <c r="F46" t="inlineStr">
        <is>
          <t>Đính kèm tài liệu chứng chỉ đã cấp vào một bản ghi trong kho lưu trữ an toàn, đánh dấu là SGS-verified.</t>
        </is>
      </c>
      <c r="G46" t="inlineStr">
        <is>
          <t>Explicit — A9 Upload certificate (P2); CP-49 secure document storage (P1)</t>
        </is>
      </c>
      <c r="H46" s="2" t="inlineStr">
        <is>
          <t>Certificate document upload is Phase 2 capability (A9); secure storage alone being P1 does not make the business UC MVP.</t>
        </is>
      </c>
      <c r="I46" s="2" t="inlineStr">
        <is>
          <t>SGS Portal</t>
        </is>
      </c>
    </row>
    <row r="47">
      <c r="A47" t="inlineStr">
        <is>
          <t>UC-CRT-006</t>
        </is>
      </c>
      <c r="B47" t="inlineStr">
        <is>
          <t>Register Customer-Provided Certification</t>
        </is>
      </c>
      <c r="C47" t="inlineStr">
        <is>
          <t>Customer Admin</t>
        </is>
      </c>
      <c r="D47" t="inlineStr">
        <is>
          <t>Certification Record</t>
        </is>
      </c>
      <c r="E47" t="inlineStr">
        <is>
          <t>Record a certification the organization holds from SGS or a third party outside DTP, stored as customer-provided information and visually distinguished from SGS-verified records.</t>
        </is>
      </c>
      <c r="F47" t="inlineStr">
        <is>
          <t>Ghi nhận một chứng nhận mà tổ chức đang có từ SGS hoặc bên thứ ba ngoài DTP, lưu dưới dạng thông tin do khách hàng cung cấp và phân biệt trực quan với các bản ghi SGS-verified.</t>
        </is>
      </c>
      <c r="G47" t="inlineStr">
        <is>
          <t>Explicit — A9 Upload certificate — 'customer-uploaded cert documents' (P2)</t>
        </is>
      </c>
      <c r="H47" s="2" t="inlineStr">
        <is>
          <t>Customer-provided certification registration is Phase 2 (A9).</t>
        </is>
      </c>
      <c r="I47" s="2" t="inlineStr">
        <is>
          <t>Customer Portal</t>
        </is>
      </c>
    </row>
    <row r="48">
      <c r="A48" t="inlineStr">
        <is>
          <t>UC-CRT-007</t>
        </is>
      </c>
      <c r="B48" t="inlineStr">
        <is>
          <t>Set Trust Information Provenance</t>
        </is>
      </c>
      <c r="C48" t="inlineStr">
        <is>
          <t>System, SGS User</t>
        </is>
      </c>
      <c r="D48" t="inlineStr">
        <is>
          <t>Certification Record</t>
        </is>
      </c>
      <c r="E48" t="inlineStr">
        <is>
          <t>Assign and carry the provenance of every trust record — SGS-verified, SGS assessment, customer-provided, third-party or automated signal — through display, sharing and export.</t>
        </is>
      </c>
      <c r="F48" t="inlineStr">
        <is>
          <t>Gán và mang theo nguồn gốc (provenance) của mọi bản ghi trust — SGS-verified, SGS assessment, customer-provided, third-party hoặc automated signal — xuyên suốt hiển thị, chia sẻ và xuất dữ liệu.</t>
        </is>
      </c>
      <c r="G48" t="inlineStr">
        <is>
          <t>Explicit — A9 'Provenance attribute on trust records' + 'Provenance badge' + 'carried through export' (P2)</t>
        </is>
      </c>
      <c r="H48" s="2" t="inlineStr">
        <is>
          <t>Trust-information provenance model/badging is Phase 2 (A9).</t>
        </is>
      </c>
      <c r="I48" s="2" t="inlineStr">
        <is>
          <t>SGS Portal</t>
        </is>
      </c>
    </row>
    <row r="49">
      <c r="A49" t="inlineStr">
        <is>
          <t>UC-CRT-008</t>
        </is>
      </c>
      <c r="B49" t="inlineStr">
        <is>
          <t>View Certification Reporting</t>
        </is>
      </c>
      <c r="C49" t="inlineStr">
        <is>
          <t>SGS Admin</t>
        </is>
      </c>
      <c r="D49" t="inlineStr">
        <is>
          <t>Certification Record</t>
        </is>
      </c>
      <c r="E49" t="inlineStr">
        <is>
          <t>Report on certification records by type, status, expiry, scope, geography and customer account.</t>
        </is>
      </c>
      <c r="F49" t="inlineStr">
        <is>
          <t>Báo cáo các bản ghi chứng nhận theo loại, trạng thái, ngày hết hạn, scope, địa lý và tài khoản khách hàng.</t>
        </is>
      </c>
      <c r="G49" t="inlineStr">
        <is>
          <t>Explicit — OPS-22 Cert reporting (P2, Low priority)</t>
        </is>
      </c>
      <c r="H49" s="2" t="inlineStr">
        <is>
          <t>Certification reporting is Phase 2 / low priority (OPS-22).</t>
        </is>
      </c>
      <c r="I49" s="2" t="inlineStr">
        <is>
          <t>SGS Portal</t>
        </is>
      </c>
    </row>
    <row r="50" ht="15.75" customFormat="1" customHeight="1" s="3">
      <c r="A50" s="3" t="inlineStr">
        <is>
          <t>26. Digital Trust Passport &amp; External Sharing</t>
        </is>
      </c>
      <c r="H50" s="1" t="n"/>
      <c r="I50" s="1" t="n"/>
    </row>
    <row r="51" ht="31.5" customHeight="1">
      <c r="A51" t="inlineStr">
        <is>
          <t>UC-PSP-006</t>
        </is>
      </c>
      <c r="B51" t="inlineStr">
        <is>
          <t>Verify Shared Trust Information</t>
        </is>
      </c>
      <c r="C51" t="inlineStr">
        <is>
          <t>External Stakeholder</t>
        </is>
      </c>
      <c r="D51" t="inlineStr">
        <is>
          <t>Digital Trust Passport</t>
        </is>
      </c>
      <c r="E51" t="inlineStr">
        <is>
          <t>Verify the authenticity of shared certification and trust information through the platform's verification mechanism.</t>
        </is>
      </c>
      <c r="F51" t="inlineStr">
        <is>
          <t>Xác minh tính xác thực của thông tin chứng nhận và trust được chia sẻ qua cơ chế xác minh của nền tảng.</t>
        </is>
      </c>
      <c r="G51" t="inlineStr">
        <is>
          <t>Explicit — CP-43 Share verification (advanced) (P2, Low priority)</t>
        </is>
      </c>
      <c r="H51" s="2" t="inlineStr">
        <is>
          <t>Advanced share verification is Phase 2 / low priority (CP-43).</t>
        </is>
      </c>
      <c r="I51" s="2" t="inlineStr">
        <is>
          <t>External Shared View (No Portal)</t>
        </is>
      </c>
    </row>
  </sheetData>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45"/>
  <sheetViews>
    <sheetView workbookViewId="0">
      <selection activeCell="C40" sqref="C40"/>
    </sheetView>
  </sheetViews>
  <sheetFormatPr baseColWidth="8" defaultColWidth="8.625" defaultRowHeight="15.75"/>
  <cols>
    <col width="13.375" customWidth="1" min="1" max="1"/>
    <col width="32.375" customWidth="1" min="2" max="2"/>
    <col width="25.125" customWidth="1" min="3" max="3"/>
    <col width="18.375" customWidth="1" min="4" max="4"/>
    <col width="92.875" customWidth="1" min="5" max="5"/>
    <col width="92.875" customWidth="1" min="6" max="6"/>
    <col width="93.375" customWidth="1" min="7" max="7"/>
    <col width="52" customWidth="1" min="8" max="8"/>
    <col width="24" customWidth="1" min="9" max="9"/>
  </cols>
  <sheetData>
    <row r="1">
      <c r="A1" t="inlineStr">
        <is>
          <t>UC ID</t>
        </is>
      </c>
      <c r="B1" t="inlineStr">
        <is>
          <t>Use Case Name</t>
        </is>
      </c>
      <c r="C1" t="inlineStr">
        <is>
          <t>Actor</t>
        </is>
      </c>
      <c r="D1" t="inlineStr">
        <is>
          <t>Module/Feature</t>
        </is>
      </c>
      <c r="E1" t="inlineStr">
        <is>
          <t>Description</t>
        </is>
      </c>
      <c r="F1" t="inlineStr">
        <is>
          <t>Description (Tiếng Việt)</t>
        </is>
      </c>
      <c r="G1" t="inlineStr">
        <is>
          <t>WBS Reference</t>
        </is>
      </c>
      <c r="H1" s="1" t="inlineStr">
        <is>
          <t>Reason for OOS / Not MVP</t>
        </is>
      </c>
      <c r="I1" s="2" t="inlineStr">
        <is>
          <t>Portal</t>
        </is>
      </c>
    </row>
    <row r="2">
      <c r="A2" s="3" t="inlineStr">
        <is>
          <t>4. Impartiality &amp; Conflict-of-Interest Control</t>
        </is>
      </c>
      <c r="B2" s="3" t="n"/>
      <c r="C2" s="3" t="n"/>
      <c r="D2" s="3" t="n"/>
      <c r="E2" s="3" t="n"/>
      <c r="F2" s="3" t="n"/>
      <c r="G2" s="3" t="n"/>
      <c r="H2" s="3" t="n"/>
      <c r="I2" s="2" t="n"/>
    </row>
    <row r="3" ht="31.5" customHeight="1">
      <c r="A3" t="inlineStr">
        <is>
          <t>UC-COI-001</t>
        </is>
      </c>
      <c r="B3" t="inlineStr">
        <is>
          <t>Evaluate Conflict of Interest on Assignment</t>
        </is>
      </c>
      <c r="C3" t="inlineStr">
        <is>
          <t>System</t>
        </is>
      </c>
      <c r="D3" t="inlineStr">
        <is>
          <t>Impartiality Control</t>
        </is>
      </c>
      <c r="E3" t="inlineStr">
        <is>
          <t>Cross-check a proposed assignment of an SGS person to a customer scope against service requests, prior readiness reviews, assessment activity, audit activity, certification activity and evidence review history, then block or flag it per the configured rules.</t>
        </is>
      </c>
      <c r="F3" t="inlineStr">
        <is>
          <t>Đối chiếu một đề xuất phân công nhân sự SGS vào scope của khách hàng với các service request, các readiness review trước đó, hoạt động assessment, hoạt động audit, hoạt động chứng nhận và lịch sử review bằng chứng, rồi chặn hoặc gắn cờ theo các rule đã cấu hình.</t>
        </is>
      </c>
      <c r="G3" t="inlineStr">
        <is>
          <t>Explicit — CP-48 'COI rule engine' (P1); OPS-09 'COI checks before grant' (P1); OPS-18 'enforce COI rules' (P1)</t>
        </is>
      </c>
      <c r="H3" t="inlineStr">
        <is>
          <t>Explicitly removed from the MVP by customer confirmation Q&amp;A #56 ('Let's remove from MVP scope, not critical at this stage'). Q&amp;A #47 also states COI is not really required for the MVP.</t>
        </is>
      </c>
      <c r="I3" s="2" t="inlineStr">
        <is>
          <t>System / Backend (No Portal)</t>
        </is>
      </c>
    </row>
    <row r="4">
      <c r="A4" t="inlineStr">
        <is>
          <t>UC-COI-002</t>
        </is>
      </c>
      <c r="B4" t="inlineStr">
        <is>
          <t>Override Conflict-of-Interest Warning</t>
        </is>
      </c>
      <c r="C4" t="inlineStr">
        <is>
          <t>SGS Admin</t>
        </is>
      </c>
      <c r="D4" t="inlineStr">
        <is>
          <t>Impartiality Control</t>
        </is>
      </c>
      <c r="E4" t="inlineStr">
        <is>
          <t>Record a justified override of a flagged (non-blocking) conflict, capturing the reason and approver.</t>
        </is>
      </c>
      <c r="F4" t="inlineStr">
        <is>
          <t>Ghi nhận việc bỏ qua có lý do (override) đối với một xung đột đã được gắn cờ (không chặn), kèm lý do và người phê duyệt.</t>
        </is>
      </c>
      <c r="G4" t="inlineStr">
        <is>
          <t>Explicit — CP-48 'Log checks/overrides' (P1)</t>
        </is>
      </c>
      <c r="H4" t="inlineStr">
        <is>
          <t>Explicitly removed from the MVP together with COI controls by customer confirmation Q&amp;A #56.</t>
        </is>
      </c>
      <c r="I4" s="2" t="inlineStr">
        <is>
          <t>SGS Portal</t>
        </is>
      </c>
    </row>
    <row r="5">
      <c r="A5" t="inlineStr">
        <is>
          <t>UC-COI-003</t>
        </is>
      </c>
      <c r="B5" t="inlineStr">
        <is>
          <t>Configure Conflict-of-Interest Rules</t>
        </is>
      </c>
      <c r="C5" t="inlineStr">
        <is>
          <t>SGS Admin</t>
        </is>
      </c>
      <c r="D5" t="inlineStr">
        <is>
          <t>Impartiality Control</t>
        </is>
      </c>
      <c r="E5" t="inlineStr">
        <is>
          <t>Maintain the rule set that determines which role and service combinations are incompatible on the same customer scope.</t>
        </is>
      </c>
      <c r="F5" t="inlineStr">
        <is>
          <t>Duy trì bộ rule xác định tổ hợp vai trò và dịch vụ nào không tương thích trên cùng một scope của khách hàng.</t>
        </is>
      </c>
      <c r="G5" t="inlineStr">
        <is>
          <t>Implicit — CP-48 rule engine (P1) — no rule configuration UI priced; PRD NFR-MNT-03 says 'where feasible'</t>
        </is>
      </c>
      <c r="H5" t="inlineStr">
        <is>
          <t>Explicitly removed from the MVP together with COI controls by customer confirmation Q&amp;A #56.</t>
        </is>
      </c>
      <c r="I5" s="2" t="inlineStr">
        <is>
          <t>SGS Portal</t>
        </is>
      </c>
    </row>
    <row r="6">
      <c r="A6" t="inlineStr">
        <is>
          <t>UC-COI-004</t>
        </is>
      </c>
      <c r="B6" t="inlineStr">
        <is>
          <t>View Conflict-of-Interest Check History</t>
        </is>
      </c>
      <c r="C6" t="inlineStr">
        <is>
          <t>SGS Admin</t>
        </is>
      </c>
      <c r="D6" t="inlineStr">
        <is>
          <t>Impartiality Control</t>
        </is>
      </c>
      <c r="E6" t="inlineStr">
        <is>
          <t>Review past conflict checks, warnings, overrides and assignment decisions for accreditation and internal audit purposes.</t>
        </is>
      </c>
      <c r="F6" t="inlineStr">
        <is>
          <t>Xem lại các lần kiểm tra xung đột, cảnh báo, override và quyết định phân công trước đây, phục vụ công nhận (accreditation) và kiểm toán nội bộ.</t>
        </is>
      </c>
      <c r="G6" t="inlineStr">
        <is>
          <t>Implicit — CP-48 'Log checks/overrides' (P1) + CP-47 Audit Log UI (P1) — no dedicated COI history view</t>
        </is>
      </c>
      <c r="H6" t="inlineStr">
        <is>
          <t>Explicitly removed from the MVP together with COI controls by customer confirmation Q&amp;A #56.</t>
        </is>
      </c>
      <c r="I6" s="2" t="inlineStr">
        <is>
          <t>SGS Portal</t>
        </is>
      </c>
    </row>
    <row r="7">
      <c r="A7" s="3" t="inlineStr">
        <is>
          <t>7. Framework Content Management</t>
        </is>
      </c>
      <c r="B7" s="3" t="n"/>
      <c r="C7" s="3" t="n"/>
      <c r="D7" s="3" t="n"/>
      <c r="E7" s="3" t="n"/>
      <c r="F7" s="3" t="n"/>
      <c r="G7" s="3" t="n"/>
      <c r="H7" s="3" t="n"/>
      <c r="I7" s="2" t="n"/>
    </row>
    <row r="8">
      <c r="A8" t="inlineStr">
        <is>
          <t>UC-FWK-012</t>
        </is>
      </c>
      <c r="B8" t="inlineStr">
        <is>
          <t>Map Controls Across Frameworks</t>
        </is>
      </c>
      <c r="C8" t="inlineStr">
        <is>
          <t>SGS Admin</t>
        </is>
      </c>
      <c r="D8" t="inlineStr">
        <is>
          <t>Framework Content</t>
        </is>
      </c>
      <c r="E8" t="inlineStr">
        <is>
          <t>Maintain equivalence mappings between controls of different frameworks so that shared evidence and shared controls can be recognised.</t>
        </is>
      </c>
      <c r="F8" t="inlineStr">
        <is>
          <t>Duy trì các ánh xạ tương đương giữa control của các framework khác nhau, để nhận biết được bằng chứng dùng chung và control dùng chung.</t>
        </is>
      </c>
      <c r="G8" t="inlineStr">
        <is>
          <t>NOT DEFINED — Cross-framework control equivalence mapping is not priced anywhere</t>
        </is>
      </c>
      <c r="H8" t="inlineStr">
        <is>
          <t>Explicitly OUT OF MVP by customer confirmation Q&amp;A #18: ISO 27001 / ISO 42001 requirement cross-mapping is excluded from the MVP.</t>
        </is>
      </c>
      <c r="I8" s="2" t="inlineStr">
        <is>
          <t>SGS Portal</t>
        </is>
      </c>
    </row>
    <row r="9">
      <c r="H9" s="2" t="n"/>
    </row>
    <row r="10">
      <c r="H10" s="2" t="n"/>
    </row>
    <row r="11">
      <c r="H11" s="2" t="n"/>
    </row>
    <row r="12">
      <c r="H12" s="2" t="n"/>
    </row>
    <row r="13">
      <c r="H13" s="2" t="n"/>
    </row>
    <row r="14">
      <c r="H14" s="2" t="n"/>
    </row>
    <row r="15">
      <c r="H15" s="2" t="n"/>
    </row>
    <row r="16">
      <c r="H16" s="2" t="n"/>
    </row>
    <row r="17">
      <c r="H17" s="2" t="n"/>
    </row>
    <row r="18">
      <c r="H18" s="2" t="n"/>
    </row>
    <row r="19">
      <c r="H19" s="2" t="n"/>
    </row>
    <row r="20">
      <c r="H20" s="2" t="n"/>
    </row>
    <row r="21">
      <c r="H21" s="2" t="n"/>
    </row>
    <row r="22">
      <c r="H22" s="2" t="n"/>
    </row>
    <row r="23">
      <c r="H23" s="2" t="n"/>
    </row>
    <row r="24">
      <c r="H24" s="2" t="n"/>
    </row>
    <row r="25">
      <c r="H25" s="2" t="n"/>
    </row>
    <row r="26">
      <c r="H26" s="2" t="n"/>
    </row>
    <row r="27">
      <c r="H27" s="2" t="n"/>
    </row>
    <row r="28">
      <c r="H28" s="2" t="n"/>
    </row>
    <row r="29">
      <c r="H29" s="2" t="n"/>
    </row>
    <row r="30">
      <c r="H30" s="2" t="n"/>
    </row>
    <row r="31">
      <c r="H31" s="2" t="n"/>
    </row>
    <row r="32">
      <c r="H32" s="2" t="n"/>
    </row>
    <row r="33">
      <c r="H33" s="2" t="n"/>
    </row>
    <row r="34">
      <c r="H34" s="2" t="n"/>
    </row>
    <row r="35">
      <c r="H35" s="2" t="n"/>
    </row>
    <row r="36">
      <c r="H36" s="2" t="n"/>
    </row>
    <row r="37">
      <c r="H37" s="2" t="n"/>
    </row>
    <row r="38">
      <c r="H38" s="2" t="n"/>
    </row>
    <row r="39">
      <c r="H39" s="2" t="n"/>
    </row>
    <row r="40">
      <c r="H40" s="2" t="n"/>
    </row>
    <row r="41">
      <c r="H41" s="2" t="n"/>
    </row>
    <row r="42">
      <c r="H42" s="2" t="n"/>
    </row>
    <row r="43">
      <c r="H43" s="2" t="n"/>
    </row>
    <row r="44">
      <c r="H44" s="2" t="n"/>
    </row>
    <row r="45">
      <c r="H45" s="2" t="n"/>
    </row>
  </sheetData>
  <pageMargins left="0.7" right="0.7" top="0.75" bottom="0.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2"/>
  <sheetViews>
    <sheetView workbookViewId="0">
      <selection activeCell="K82" sqref="K82"/>
    </sheetView>
  </sheetViews>
  <sheetFormatPr baseColWidth="8" defaultColWidth="8.625" defaultRowHeight="15.75"/>
  <cols>
    <col width="13.375" customWidth="1" min="1" max="1"/>
    <col width="32.375" customWidth="1" min="2" max="2"/>
    <col width="25.125" customWidth="1" min="3" max="3"/>
    <col width="18.375" customWidth="1" min="4" max="4"/>
    <col width="92.875" customWidth="1" min="5" max="5"/>
    <col width="92.875" customWidth="1" min="6" max="6"/>
    <col width="93.375" customWidth="1" min="7" max="7"/>
    <col width="24" customWidth="1" min="8" max="8"/>
  </cols>
  <sheetData>
    <row r="1">
      <c r="A1" t="inlineStr">
        <is>
          <t>UC ID</t>
        </is>
      </c>
      <c r="B1" t="inlineStr">
        <is>
          <t>Use Case Name</t>
        </is>
      </c>
      <c r="C1" t="inlineStr">
        <is>
          <t>Actor</t>
        </is>
      </c>
      <c r="D1" t="inlineStr">
        <is>
          <t>Module/Feature</t>
        </is>
      </c>
      <c r="E1" t="inlineStr">
        <is>
          <t>Description</t>
        </is>
      </c>
      <c r="F1" t="inlineStr">
        <is>
          <t>Description (Tiếng Việt)</t>
        </is>
      </c>
      <c r="G1" t="inlineStr">
        <is>
          <t>WBS Reference</t>
        </is>
      </c>
      <c r="H1" t="inlineStr">
        <is>
          <t>Portal</t>
        </is>
      </c>
    </row>
    <row r="2">
      <c r="A2" t="inlineStr">
        <is>
          <t>No pending clarification use cases currently tracked</t>
        </is>
      </c>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Valero Gonzalez, Xavier (Madrid)</dc:creator>
  <dcterms:created xmlns:dcterms="http://purl.org/dc/terms/" xmlns:xsi="http://www.w3.org/2001/XMLSchema-instance" xsi:type="dcterms:W3CDTF">2026-09-06T15:05:00Z</dcterms:created>
  <dcterms:modified xmlns:dcterms="http://purl.org/dc/terms/" xmlns:xsi="http://www.w3.org/2001/XMLSchema-instance" xsi:type="dcterms:W3CDTF">2026-10-02T03:27:00Z</dcterms:modified>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0x01010070D591A69FDD1044BE298EB952D21E4F</vt:lpwstr>
  </property>
  <property name="MediaServiceImageTags" fmtid="{D5CDD505-2E9C-101B-9397-08002B2CF9AE}" pid="3">
    <vt:lpwstr xmlns:vt="http://schemas.openxmlformats.org/officeDocument/2006/docPropsVTypes"/>
  </property>
  <property name="ICV" fmtid="{D5CDD505-2E9C-101B-9397-08002B2CF9AE}" pid="4">
    <vt:lpwstr xmlns:vt="http://schemas.openxmlformats.org/officeDocument/2006/docPropsVTypes">63770C4A100C46588DBAC21F01490833_12</vt:lpwstr>
  </property>
  <property name="KSOProductBuildVer" fmtid="{D5CDD505-2E9C-101B-9397-08002B2CF9AE}" pid="5">
    <vt:lpwstr xmlns:vt="http://schemas.openxmlformats.org/officeDocument/2006/docPropsVTypes">1033-12.1.0.28485</vt:lpwstr>
  </property>
  <property name="CalculationRule" fmtid="{D5CDD505-2E9C-101B-9397-08002B2CF9AE}" pid="6">
    <vt:i4 xmlns:vt="http://schemas.openxmlformats.org/officeDocument/2006/docPropsVTypes">0</vt:i4>
  </property>
</Properties>
</file>