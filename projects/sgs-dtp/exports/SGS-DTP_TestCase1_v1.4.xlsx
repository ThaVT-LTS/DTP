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Users" sheetId="5" state="visible" r:id="rId5"/>
    <sheet name="Profile" sheetId="6" state="visible" r:id="rId6"/>
    <sheet name="Cần xác nhận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<sst xmlns="http://schemas.openxmlformats.org/spreadsheetml/2006/main" count="1673" uniqueCount="1673">
  <si>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</si>
  <si>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</si>
  <si>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</si>
  <si>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</si>
  <si>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</si>
  <si>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</si>
  <si>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</si>
  <si>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</si>
  <si>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</si>
  <si>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1.3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</si>
  <si>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</si>
  <si>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</si>
  <si>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</si>
  <si>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</si>
  <si>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</si>
  <si>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</si>
  <si>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</si>
  <si>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</si>
  <si>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</si>
  <si>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</si>
  <si>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</si>
  <si>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</si>
  <si>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</si>
  <si>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</si>
  <si>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</si>
  <si>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</si>
  <si>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</si>
  <si>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</si>
  <si>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</si>
  <si>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</si>
  <si>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</si>
  <si>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</si>
  <si>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</si>
  <si>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</si>
  <si>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</si>
  <si>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</si>
  <si>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</si>
  <si>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</si>
  <si>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</si>
  <si>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</si>
  <si>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</si>
  <si>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</si>
  <si>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</si>
  <si>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</si>
  <si>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</si>
  <si>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</si>
  <si>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</si>
  <si>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</si>
  <si>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</si>
  <si>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</si>
  <si>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</si>
  <si>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</si>
  <si>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</si>
  <si>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</si>
  <si>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</si>
  <si>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</si>
  <si>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</si>
  <si>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</si>
  <si>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</si>
  <si>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</si>
  <si>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</si>
  <si>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</si>
  <si>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</si>
  <si>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</si>
  <si>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</si>
  <si>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</si>
  <si>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</si>
  <si>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</si>
  <si>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</si>
  <si>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</si>
  <si>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</si>
  <si>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</si>
  <si>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</si>
  <si>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</si>
  <si>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</si>
  <si>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</si>
  <si>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</si>
  <si>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</si>
  <si>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</si>
  <si>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</si>
  <si>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</si>
  <si>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</si>
  <si>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</si>
  <si>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</si>
  <si>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Trạng thái rỗng - Empty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</si>
  <si>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</si>
  <si>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</si>
  <si>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</si>
  <si>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</si>
  <si>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</si>
  <si>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</si>
  <si>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</si>
  <si>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Gỡ framework - Unlink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</si>
  <si>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</si>
  <si>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</si>
  <si>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</si>
  <si>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</si>
  <si>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</si>
  <si>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</si>
  <si>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</si>
  <si>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</si>
  <si>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</si>
  <si>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</si>
  <si>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</si>
  <si>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</si>
  <si>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</si>
  <si>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</si>
  <si>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</si>
  <si>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</si>
  <si>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</si>
  <si>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</si>
  <si>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</si>
  <si>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</si>
  <si>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</si>
  <si>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</si>
  <si>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</si>
  <si>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</si>
  <si>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</si>
  <si>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</si>
  <si>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</si>
  <si>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</si>
  <si>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</si>
  <si>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</si>
  <si>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</si>
  <si>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</si>
  <si>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</si>
  <si>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</si>
  <si>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</si>
  <si>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</si>
  <si>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</si>
  <si>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</si>
  <si>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</si>
  <si>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</si>
  <si>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</si>
  <si>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</si>
  <si>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</si>
  <si>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</si>
  <si>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</si>
  <si>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</si>
  <si>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</si>
  <si>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</si>
  <si>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</si>
  <si>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</si>
  <si>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</si>
  <si>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</si>
  <si>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</si>
  <si>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</si>
  <si>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</si>
  <si>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</si>
  <si>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</si>
  <si>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</si>
  <si>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</si>
  <si>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</si>
  <si>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</si>
  <si>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</si>
  <si>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</si>
  <si>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</si>
  <si>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</si>
  <si>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</si>
  <si>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</si>
  <si>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</si>
  <si>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</si>
  <si>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</si>
  <si>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</si>
  <si>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</si>
  <si>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</si>
  <si>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</si>
  <si>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</si>
  <si>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</si>
  <si>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</si>
  <si>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</si>
  <si>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</si>
  <si>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</si>
  <si>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</si>
  <si>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</si>
  <si>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</si>
  <si>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</si>
  <si>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</si>
  <si>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</si>
  <si>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</si>
  <si>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</si>
  <si>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</si>
  <si>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</si>
  <si>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</si>
  <si>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</si>
  <si>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</si>
  <si>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</si>
  <si>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</si>
  <si>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</si>
  <si>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</si>
  <si>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</si>
  <si>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</si>
  <si>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</si>
  <si>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</si>
  <si>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</si>
  <si>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</si>
  <si>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</si>
  <si>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</si>
  <si>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</si>
  <si>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</si>
  <si>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</si>
  <si>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</si>
  <si>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</si>
  <si>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</si>
  <si>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</si>
  <si>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</si>
  <si>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</si>
  <si>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</si>
  <si>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</si>
  <si>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</si>
  <si>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</si>
  <si>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</si>
  <si>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</si>
  <si>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</si>
  <si>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</si>
  <si>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</si>
  <si>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</si>
  <si>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</si>
  <si>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</si>
  <si>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</si>
  <si>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</si>
  <si>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</si>
  <si>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</si>
  <si>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</si>
  <si>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</si>
  <si>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</si>
  <si>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</si>
  <si>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</si>
  <si>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</si>
  <si>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</si>
  <si>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</si>
  <si>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</si>
  <si>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</si>
  <si>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</si>
  <si>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</si>
  <si>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</si>
  <si>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</si>
  <si>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</si>
  <si>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</si>
  <si>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</si>
  <si>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</si>
  <si>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</si>
  <si>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</si>
  <si>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</si>
  <si>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</si>
  <si>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</si>
  <si>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</si>
  <si>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</si>
  <si>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</si>
  <si>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</si>
  <si>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</si>
  <si>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</si>
  <si>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</si>
  <si>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</si>
  <si>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</si>
  <si>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</si>
  <si>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</si>
  <si>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</si>
  <si>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</si>
  <si>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</si>
  <si>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</si>
  <si>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</si>
  <si>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</si>
  <si>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</si>
  <si>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</si>
  <si>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</si>
  <si>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</si>
  <si>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</si>
  <si>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</si>
  <si>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</si>
  <si>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</si>
  <si>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</si>
  <si>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</si>
  <si>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</si>
  <si>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</si>
  <si>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</si>
  <si>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</si>
  <si>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</si>
  <si>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</si>
  <si>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</si>
  <si>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</si>
  <si>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</si>
  <si>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</si>
  <si>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</si>
  <si>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</si>
  <si>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</si>
  <si>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</si>
  <si>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</si>
  <si>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</si>
  <si>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</si>
  <si>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</si>
  <si>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</si>
  <si>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</si>
  <si>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</si>
  <si>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</si>
  <si>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</si>
  <si>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</si>
  <si>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</si>
  <si>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</si>
  <si>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</si>
  <si>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</si>
  <si>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</si>
  <si>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</si>
  <si>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</si>
  <si>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</si>
  <si>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</si>
  <si>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</si>
  <si>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</si>
  <si>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</si>
  <si>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</si>
  <si>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</si>
  <si>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</si>
  <si>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</si>
  <si>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</si>
  <si>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</si>
  <si>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</si>
  <si>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</si>
  <si>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</si>
  <si>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</si>
  <si>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</si>
  <si>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</si>
  <si>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</si>
  <si>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</si>
  <si>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</si>
  <si>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</si>
  <si>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</si>
  <si>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</si>
  <si>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</si>
  <si>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</si>
  <si>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</si>
  <si>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</si>
  <si>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</si>
  <si>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</si>
  <si>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</si>
  <si>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</si>
  <si>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</si>
  <si>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</si>
  <si>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</si>
  <si>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</si>
  <si>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</si>
  <si>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</si>
  <si>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</si>
  <si>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</si>
  <si>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</si>
  <si>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</si>
  <si>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</si>
  <si>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</si>
  <si>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</si>
  <si>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</si>
  <si>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</si>
  <si>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</si>
  <si>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</si>
  <si>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</si>
  <si>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</si>
  <si>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</si>
  <si>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</si>
  <si>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</si>
  <si>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</si>
  <si>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</si>
  <si>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</si>
  <si>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</si>
  <si>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</si>
  <si>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</si>
  <si>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</si>
  <si>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</si>
  <si>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</si>
  <si>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</si>
  <si>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</si>
  <si>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</si>
  <si>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</si>
  <si>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</si>
  <si>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</si>
  <si>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</si>
  <si>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</si>
  <si>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</si>
  <si>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</si>
  <si>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</si>
  <si>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</si>
  <si>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</si>
  <si>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</si>
  <si>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</si>
  <si>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</si>
  <si>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</si>
  <si>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</si>
  <si>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</si>
  <si>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</si>
  <si>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</si>
  <si>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</si>
  <si>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</si>
  <si>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</si>
  <si>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</si>
  <si>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</si>
  <si>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</si>
  <si>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</si>
  <si>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</si>
  <si>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</si>
  <si>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</si>
  <si>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</si>
  <si>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</si>
  <si>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</si>
  <si>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</si>
  <si>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</si>
  <si>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</si>
  <si>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</si>
  <si>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</si>
  <si>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</si>
  <si>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</si>
  <si>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</si>
  <si>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</si>
  <si>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</si>
  <si>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</si>
  <si>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</si>
  <si>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</si>
  <si>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</si>
  <si>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</si>
  <si>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</si>
  <si>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</si>
  <si>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</si>
  <si>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</si>
  <si>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</si>
  <si>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</si>
  <si>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</si>
  <si>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</si>
  <si>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</si>
  <si>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</si>
  <si>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</si>
  <si>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</si>
  <si>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</si>
  <si>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</si>
  <si>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</si>
  <si>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</si>
  <si>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</si>
  <si>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</si>
  <si>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</si>
  <si>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</si>
  <si>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</si>
  <si>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</si>
  <si>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</si>
  <si>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</si>
  <si>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</si>
  <si>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</si>
  <si>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</si>
  <si>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</si>
  <si>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</si>
  <si>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</si>
  <si>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</si>
  <si>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</si>
  <si>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</si>
  <si>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</si>
  <si>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</si>
  <si>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</si>
  <si>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</si>
  <si>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</si>
  <si>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</si>
  <si>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</si>
  <si>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</si>
  <si>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</si>
  <si>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</si>
  <si>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</si>
  <si>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</si>
  <si>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</si>
  <si>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</si>
  <si>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</si>
  <si>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</si>
  <si>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</si>
  <si>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</si>
  <si>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</si>
  <si>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</si>
  <si>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</si>
  <si>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</si>
  <si>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</si>
  <si>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</si>
  <si>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</si>
  <si>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</si>
  <si>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</si>
  <si>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</si>
  <si>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</si>
  <si>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</si>
  <si>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đúng dạng URL 
- Tiêu đề trang đúng định dạng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</si>
  <si>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</si>
  <si>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</si>
  <si>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</si>
  <si>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</si>
  <si>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đúng định dạng</t>
  </si>
  <si>
    <t xml:space="preserve">- Hiển thị màn chi tiết của màn hình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</si>
  <si>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</si>
  <si>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</si>
  <si>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</si>
  <si>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định dạng</t>
  </si>
  <si>
    <t xml:space="preserve">- Hiển thị lỗi: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</si>
  <si>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</si>
  <si>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</si>
  <si>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</si>
  <si>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</si>
  <si>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</si>
  <si>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system.J18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</si>
  <si>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</si>
  <si>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</si>
  <si>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</si>
  <si>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Scope_052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</si>
  <si>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</si>
  <si>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</si>
  <si>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</si>
  <si>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Hiển thị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</si>
  <si>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</si>
  <si>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</si>
  <si>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Scope_007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</si>
  <si>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</si>
  <si>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</si>
  <si>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</si>
  <si>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</si>
  <si>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</si>
  <si>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</si>
  <si>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</si>
  <si>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Scope_008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</si>
  <si>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</si>
  <si>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</si>
  <si>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</si>
  <si>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</si>
  <si>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Scope_009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</si>
  <si>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</si>
  <si>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</si>
  <si>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</si>
  <si>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</si>
  <si>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</si>
  <si>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Scope_010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</si>
  <si>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</si>
  <si>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</si>
  <si>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</si>
  <si>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</si>
  <si>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</si>
  <si>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Scope_011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</si>
  <si>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</si>
  <si>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</si>
  <si>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</si>
  <si>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</si>
  <si>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</si>
  <si>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</si>
  <si>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Scope_012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</si>
  <si>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</si>
  <si>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</si>
  <si>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</si>
  <si>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</si>
  <si>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Scope_013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</si>
  <si>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</si>
  <si>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</si>
  <si>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</si>
  <si>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thành công</t>
  </si>
  <si>
    <t xml:space="preserve">Không chọn Type</t>
  </si>
  <si>
    <t>Scope_014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</si>
  <si>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</si>
  <si>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</si>
  <si>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</si>
  <si>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</si>
  <si>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</si>
  <si>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Scope_015</t>
  </si>
  <si>
    <t xml:space="preserve">Kiểm tra tạo scope khi bỏ trống Name</t>
  </si>
  <si>
    <t xml:space="preserve">1. Mở màn Scopes
2. Mở hộp thoại
3. Chọn Organization, nhập Name, để trống What is in scope
4. Bấm Create scope</t>
  </si>
  <si>
    <t xml:space="preserve">- Không tạo scope, hộp thoại vẫn mở
- Hiện lỗi tại Name:
"Enter a name."</t>
  </si>
  <si>
    <t xml:space="preserve">Name chỉ có khoảng trắng</t>
  </si>
  <si>
    <t>Scope_016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</si>
  <si>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</si>
  <si>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</si>
  <si>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</si>
  <si>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</si>
  <si>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Scope_017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</si>
  <si>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</si>
  <si>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</si>
  <si>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</si>
  <si>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</si>
  <si>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</si>
  <si>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Trường này bắt buộc hay không → Q-S-04</t>
  </si>
  <si>
    <t xml:space="preserve">Trùng tên</t>
  </si>
  <si>
    <t>Scope_019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</si>
  <si>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</si>
  <si>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</si>
  <si>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</si>
  <si>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</si>
  <si>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</si>
  <si>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Scope_020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</si>
  <si>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</si>
  <si>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</si>
  <si>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</si>
  <si>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Scope_028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</si>
  <si>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</si>
  <si>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</si>
  <si>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</si>
  <si>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</si>
  <si>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</si>
  <si>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Scope_029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</si>
  <si>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</si>
  <si>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</si>
  <si>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</si>
  <si>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</si>
  <si>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Scope_030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</si>
  <si>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</si>
  <si>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</si>
  <si>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</si>
  <si>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</si>
  <si>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Scope_021</t>
  </si>
  <si>
    <t xml:space="preserve">Kiểm tra thông tin vừa tạo</t>
  </si>
  <si>
    <t xml:space="preserve">1. Mở màn Scopes
2. Bấm nút tạo scope để mở hộp thoại Create scope
3. Chọn Type: Organization
4. Nhập
- Name: abc 
- What is in scope: abc 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</si>
  <si>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</si>
  <si>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</si>
  <si>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</si>
  <si>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Scope_022</t>
  </si>
  <si>
    <t xml:space="preserve">1. Mở màn Scopes
2. Bấm nút tạo scope để mở hộp thoại Create scope
3. Chọn Type: Product
4. Nhập
- Name: abc 
- What is in scope: abc 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</si>
  <si>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</si>
  <si>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Khối Frameworks khi chưa gắn framework hiển thị gì → Q-S-13</t>
  </si>
  <si>
    <t xml:space="preserve">System — hiện ở danh sách</t>
  </si>
  <si>
    <t>Scope_025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</si>
  <si>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</si>
  <si>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 
- What is in scope: abc 
- What is out of scope (optional): abc
5. Chọn 
- Belongs to organisation: [Organisation]
- Belongs to product (optional): [Production]
6. Bấm Create scope, tạo thành công
7. Kiểm tra dòng vừa tạo trong danh sách</t>
  </si>
  <si>
    <t xml:space="preserve">- Hộp thoại đóng, tạo thành công
- Danh sách có dòng với
+ Name: abc
+ Nhãn loại: Product
- Cột Belongs to: [Organisation], [Production]
- Dòng đếm tăng 1</t>
  </si>
  <si>
    <t xml:space="preserve">Dòng đếm</t>
  </si>
  <si>
    <t xml:space="preserve">Tổng số scope</t>
  </si>
  <si>
    <t>Scope_031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</si>
  <si>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</si>
  <si>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</si>
  <si>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</si>
  <si>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</si>
  <si>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</si>
  <si>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Scope_032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</si>
  <si>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</si>
  <si>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</si>
  <si>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</si>
  <si>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</si>
  <si>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Scope_033</t>
  </si>
  <si>
    <t xml:space="preserve">Kiểm tra tìm theo một phần tên scope</t>
  </si>
  <si>
    <t xml:space="preserve">1. Mở màn Scopes
2. Nhập {{text.partial}} vào ô tìm kiếm</t>
  </si>
  <si>
    <t xml:space="preserve">- Bảng chỉ còn các scope có tên chứa {{text.partial}}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</si>
  <si>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</si>
  <si>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</si>
  <si>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Scope_034</t>
  </si>
  <si>
    <t xml:space="preserve">Kiểm tra tìm kiếm khi nhập chữ hoa</t>
  </si>
  <si>
    <t xml:space="preserve">1. Mở màn Scopes
2. Nhập {{text.partial_upper}} vào ô tìm kiếm</t>
  </si>
  <si>
    <t xml:space="preserve">Có phân biệt hoa thường không (prototype không phân biệt) → Q-S-07</t>
  </si>
  <si>
    <t xml:space="preserve">Không có kết quả</t>
  </si>
  <si>
    <t>Scope_035</t>
  </si>
  <si>
    <t xml:space="preserve">Kiểm tra tìm kiếm không ra kết quả</t>
  </si>
  <si>
    <t xml:space="preserve">1. Mở màn Scopes
2. Nhập {{text.nomatch}} vào ô tìm kiếm</t>
  </si>
  <si>
    <t xml:space="preserve">- Bảng và dòng phân trang ẩn
- Thông báo: No results for “{{text.nomatch}}”
- Dòng phụ: Try a different search term.</t>
  </si>
  <si>
    <t xml:space="preserve">Text lấy từ prototype, Figma chưa có trạng thái này → Q-S-07</t>
  </si>
  <si>
    <t xml:space="preserve">Ký tự đặc biệt</t>
  </si>
  <si>
    <t>Scope_036</t>
  </si>
  <si>
    <t xml:space="preserve">Kiểm tra nhập ký tự đặc biệt vào ô tìm kiếm</t>
  </si>
  <si>
    <t xml:space="preserve">1. Mở màn Scopes
2. Nhập {{text.sql}}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</si>
  <si>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</si>
  <si>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</si>
  <si>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Scope_037</t>
  </si>
  <si>
    <t xml:space="preserve">Kiểm tra xoá từ khoá tìm kiếm</t>
  </si>
  <si>
    <t xml:space="preserve">1. Mở màn Scopes
2. Nhập từ khóa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</si>
  <si>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</si>
  <si>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</si>
  <si>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Scope_038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</si>
  <si>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</si>
  <si>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</si>
  <si>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</si>
  <si>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</si>
  <si>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</si>
  <si>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Scope_039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</si>
  <si>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</si>
  <si>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</si>
  <si>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</si>
  <si>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</si>
  <si>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Scope_040</t>
  </si>
  <si>
    <t xml:space="preserve">Kiểm tra cột Belongs to với scope Organization </t>
  </si>
  <si>
    <t xml:space="preserve">1. Mở màn Scopes
2. Kiểm tra cột Belongs to của type: Organization</t>
  </si>
  <si>
    <t xml:space="preserve">- Hiển thị Belongs to: —</t>
  </si>
  <si>
    <t>Scope_041</t>
  </si>
  <si>
    <t xml:space="preserve">Kiểm tra cột Belongs to với scope Product </t>
  </si>
  <si>
    <t xml:space="preserve">1. Mở màn Scopes
2. Kiểm tra cột Belongs to của type: Product</t>
  </si>
  <si>
    <t xml:space="preserve">Kiểm tra cột Belongs to với scope System</t>
  </si>
  <si>
    <t xml:space="preserve">1. Tạo scope với type: System chọn
- Belongs to organisation: [Organization]
- Belongs to product (optional): [Product]
2. Tạo thành công Scope
3. Kiểm tra cột Belongs to của type: System </t>
  </si>
  <si>
    <t xml:space="preserve">- Hiển thị Belongs to đúng thông tin đã chọn  Belongs to organisation và Belongs to product (optional), phân cách nhau bởi dấu phẩy</t>
  </si>
  <si>
    <t>Scope_042</t>
  </si>
  <si>
    <t xml:space="preserve">Kiểm tra cột Belongs to với scope System và bỏ trống lựa chọn Belongs to organisation và Belongs to product (optional)</t>
  </si>
  <si>
    <t xml:space="preserve">1. Tạo scope với type: System bỏ trống
- Belongs to organisation: 
- Belongs to product (optional): 
2. Tạo thành công Scope
3. Kiểm tra cột Belongs to của type: System </t>
  </si>
  <si>
    <t xml:space="preserve">Cột Frameworks — đã gắn</t>
  </si>
  <si>
    <t>Scope_043</t>
  </si>
  <si>
    <t xml:space="preserve">Kiểm tra cột Frameworks của scope đã gắn framework</t>
  </si>
  <si>
    <t xml:space="preserve">1. Mở màn Scopes
2. Đã gắn link Frameworks
3. Kiểm tra cột Frameworks 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</si>
  <si>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</si>
  <si>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</si>
  <si>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Scope_044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</si>
  <si>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</si>
  <si>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</si>
  <si>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gắn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</si>
  <si>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</si>
  <si>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</si>
  <si>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</si>
  <si>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Scope_045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</si>
  <si>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</si>
  <si>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</si>
  <si>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</si>
  <si>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</si>
  <si>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</si>
  <si>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 xml:space="preserve">Calculate Evidence coverage with multiple frameworks</t>
  </si>
  <si>
    <t xml:space="preserve">1. Mở màn hình Scopes
2. Tạo Frameworks với:
- Framework A: 74/116; 
- Framework B: 6/31; 
- Framework C: 0/78</t>
  </si>
  <si>
    <t xml:space="preserve">- Hiển thị Evidence coverage = (74+6+0)/(116+31+78) × 100 = 35.56% → 36%</t>
  </si>
  <si>
    <t xml:space="preserve">Calculate Evidence coverage with 2 frameworks</t>
  </si>
  <si>
    <t xml:space="preserve">1. Mở màn hình Scopes
2. Tạo Frameworks với:
- Framework A: 16/40; 
- Framework B: 38/61; </t>
  </si>
  <si>
    <t xml:space="preserve">- Hiển thị Evidence coverage = (16+38)/(40+61) × 100 = 53.47% → 53%</t>
  </si>
  <si>
    <t xml:space="preserve">All requirements have mandatory evidence</t>
  </si>
  <si>
    <t xml:space="preserve">1. Mở màn hình Scopes
2. Tạo Frameworks với:
- Framework A: 40/40; 
- Framework B: 61/61; </t>
  </si>
  <si>
    <t xml:space="preserve">- Hiển thị Evidence coverage = 101/101 × 100 = 100%</t>
  </si>
  <si>
    <t xml:space="preserve">No requirements have mandatory evidence</t>
  </si>
  <si>
    <t xml:space="preserve">1. Mở màn hình Scopes
2. Tạo Frameworks với:
- Framework A: 0/116; 
- Framework B: 0/31; </t>
  </si>
  <si>
    <t xml:space="preserve">- Hiển thị Evidence coverage = 0/101 × 100 = 0%</t>
  </si>
  <si>
    <t xml:space="preserve">Only one framework is linked</t>
  </si>
  <si>
    <t xml:space="preserve">1. Mở màn hình Scopes
2. Tạo Frameworks với:
- Framework A: 16/40; </t>
  </si>
  <si>
    <t xml:space="preserve">- Hiển thị Evidence coverage = 16/40 × 100 = 40%</t>
  </si>
  <si>
    <t>Scope_046</t>
  </si>
  <si>
    <t xml:space="preserve">One framework has 100% and another has 0%</t>
  </si>
  <si>
    <t xml:space="preserve">1. Mở màn hình Scopes
2. Tạo Frameworks với:
- Framework A: 40/40; 
- Framework B: 0/60; </t>
  </si>
  <si>
    <t xml:space="preserve">- Hiển thị Evidence coverage = 40/100 × 100 = 40%</t>
  </si>
  <si>
    <t xml:space="preserve">[ĐỀ XUẤT LÙI] RDN-004 0 giờ, LTS đề xuất Phase 2. Prototype: 54% = (74+6)/(116+31) → Q-S-11</t>
  </si>
  <si>
    <t>UC-RDN-004</t>
  </si>
  <si>
    <t xml:space="preserve">Sắp xếp</t>
  </si>
  <si>
    <t xml:space="preserve">Thứ tự mặc định</t>
  </si>
  <si>
    <t>Scope_047</t>
  </si>
  <si>
    <t xml:space="preserve">Kiểm tra thứ tự mặc định của danh sách</t>
  </si>
  <si>
    <t xml:space="preserve">1. Mở màn Scopes, kiểm tra thứ tự các dòng</t>
  </si>
  <si>
    <t xml:space="preserve">- Hiển thị theo thứ tự thời gian cũ nhất xuống mới nhất</t>
  </si>
  <si>
    <t xml:space="preserve">Mặc định sắp theo gì (prototype không theo tên) → Q-S-08</t>
  </si>
  <si>
    <t xml:space="preserve">Bấm lần 1</t>
  </si>
  <si>
    <t>Scope_048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</si>
  <si>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</si>
  <si>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</si>
  <si>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</si>
  <si>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</si>
  <si>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</si>
  <si>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Scope_049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</si>
  <si>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</si>
  <si>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</si>
  <si>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</si>
  <si>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Scope_050</t>
  </si>
  <si>
    <t xml:space="preserve">Kiểm tra dòng phân trang mặc định</t>
  </si>
  <si>
    <t xml:space="preserve">1. Mở màn Scopes
2. Kiểm tra thông tin: Items per page</t>
  </si>
  <si>
    <t xml:space="preserve">- Hiển thị mặc định là 10 items</t>
  </si>
  <si>
    <t xml:space="preserve">Figma: 1–4 of 4 items · Page 1 of 1. Prototype: Items per page 10 · 1–4 of 4 items · [1] of 1 page · ‹ › → Q-S-09</t>
  </si>
  <si>
    <t xml:space="preserve">Các giá trị khác</t>
  </si>
  <si>
    <t xml:space="preserve">Kiểm tra các giá trị trong Items per page</t>
  </si>
  <si>
    <t xml:space="preserve">1. Mở màn Scopes
2. Click vào Items per page
3. Kiểm tra hiển thị</t>
  </si>
  <si>
    <t xml:space="preserve">- Hiển thị các giá trị:
+ 10 items
+ 25 items
+ 50 items
+ 100 items</t>
  </si>
  <si>
    <t xml:space="preserve">Đổi số dòng</t>
  </si>
  <si>
    <t xml:space="preserve">Chọn giá trị khác</t>
  </si>
  <si>
    <t>Scope_051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</si>
  <si>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</si>
  <si>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</si>
  <si>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</si>
  <si>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Hiển thị đủ 11 items trên bảng dữ liệu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</si>
  <si>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</si>
  <si>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</si>
  <si>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</si>
  <si>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</si>
  <si>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</si>
  <si>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</si>
  <si>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</si>
  <si>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Scope_053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</si>
  <si>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</si>
  <si>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</si>
  <si>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</si>
  <si>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</si>
  <si>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</si>
  <si>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Scope_054</t>
  </si>
  <si>
    <t xml:space="preserve">Kiểm tra phần đầu màn chi tiết</t>
  </si>
  <si>
    <t xml:space="preserve">1. Mở chi tiết (bấm tên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</si>
  <si>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</si>
  <si>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</si>
  <si>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</si>
  <si>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 xml:space="preserve">Kiểm tra dòng phụ theo loại scope Organization</t>
  </si>
  <si>
    <t xml:space="preserve">1. Mở chi tiết scope Organization</t>
  </si>
  <si>
    <t xml:space="preserve">- Hiển thị title: Organization scope · [Tên Organization]</t>
  </si>
  <si>
    <t xml:space="preserve">Kiểm tra dòng phụ theo loại scope Product</t>
  </si>
  <si>
    <t xml:space="preserve">1. Mở chi tiết scope Product</t>
  </si>
  <si>
    <t xml:space="preserve">- Hiển thị title: Product scope · [Tên Organization]</t>
  </si>
  <si>
    <t>Scope_055</t>
  </si>
  <si>
    <t xml:space="preserve">Kiểm tra dòng phụ theo loại scope System </t>
  </si>
  <si>
    <t xml:space="preserve">1. Mở chi tiết scope System </t>
  </si>
  <si>
    <t xml:space="preserve">- Hiển thị title: System scope · [Tên Organization]</t>
  </si>
  <si>
    <t xml:space="preserve">Nút quay lại</t>
  </si>
  <si>
    <t xml:space="preserve">Bấm ←</t>
  </si>
  <si>
    <t>Scope_056</t>
  </si>
  <si>
    <t xml:space="preserve">Kiểm tra nút quay lại</t>
  </si>
  <si>
    <t xml:space="preserve">1. Mở chi tiết (bấm tên ở màn Scopes)
2. Bấm nút ←</t>
  </si>
  <si>
    <t xml:space="preserve">- Quay về màn Scopes</t>
  </si>
  <si>
    <t xml:space="preserve">Menu ⋮</t>
  </si>
  <si>
    <t xml:space="preserve">Các mục</t>
  </si>
  <si>
    <t>Scope_057</t>
  </si>
  <si>
    <t xml:space="preserve">Kiểm tra menu ⋮ của scope</t>
  </si>
  <si>
    <t xml:space="preserve">1. Mở chi tiết (bấm tên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</si>
  <si>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</si>
  <si>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</si>
  <si>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</si>
  <si>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</si>
  <si>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Scope_058</t>
  </si>
  <si>
    <t xml:space="preserve">Kiểm tra mục Edit scope trong menu ⋮</t>
  </si>
  <si>
    <t xml:space="preserve">1. Mở chi tiết (bấm tên ở màn Scopes)
2. Bấm nút ⋮
3. Bấm Edit scope</t>
  </si>
  <si>
    <t xml:space="preserve">- Mở hộp thoại Edit scope, giống khi bấm nút Edit ở khối Overview</t>
  </si>
  <si>
    <t xml:space="preserve">Figma không có frame sửa scope → Q-S-15</t>
  </si>
  <si>
    <t xml:space="preserve">Ba mục</t>
  </si>
  <si>
    <t>Scope_059</t>
  </si>
  <si>
    <t xml:space="preserve">Kiểm tra cột điều hướng bên trái</t>
  </si>
  <si>
    <t xml:space="preserve">1. Mở chi tiết (bấm tên ở màn Scopes)
2. Kiểm tra cột bên trái</t>
  </si>
  <si>
    <t xml:space="preserve">- Ba mục theo thứ tự: Overview · Frameworks · Users
- Mục Overview được tô nền khi mới mở</t>
  </si>
  <si>
    <t xml:space="preserve">Bấm mục</t>
  </si>
  <si>
    <t xml:space="preserve">Frameworks, Users</t>
  </si>
  <si>
    <t>Scope_060</t>
  </si>
  <si>
    <t xml:space="preserve">Kiểm tra bấm mục trong cột điều hướng</t>
  </si>
  <si>
    <t xml:space="preserve">1. Mở chi tiết (bấm tên ở màn Scopes)
2. Bấm Frameworks
3. Bấm Users</t>
  </si>
  <si>
    <t xml:space="preserve">- Bước 1: trang cuộn tới khối Frameworks
- Bước 2: trang cuộn tới khối Users</t>
  </si>
  <si>
    <t xml:space="preserve">Scope Organization</t>
  </si>
  <si>
    <t>Scope_061</t>
  </si>
  <si>
    <t xml:space="preserve">Kiểm tra khối Overview của scope Organization</t>
  </si>
  <si>
    <t xml:space="preserve">1. Mở chi tiết của scope Organization
2. Kiểm tra khối số 1 Overview</t>
  </si>
  <si>
    <t xml:space="preserve">- Tiêu đề khối: Overview, có nút Edit
- Type: Organization
- Contains: các scope con, mỗi scope dạng &lt;tên&gt; (system)
- In scope, Out of scope: đúng nội dung đã lưu</t>
  </si>
  <si>
    <t xml:space="preserve">Scope Product</t>
  </si>
  <si>
    <t>Scope_062</t>
  </si>
  <si>
    <t xml:space="preserve">Kiểm tra khối Overview của scope Product</t>
  </si>
  <si>
    <t xml:space="preserve">1. Mở chi tiết scope Product
2. Kiểm tra khối số 1 Overview</t>
  </si>
  <si>
    <t xml:space="preserve">- Type: Product
- Contains: các scope System thuộc về product này</t>
  </si>
  <si>
    <t xml:space="preserve">Scope System</t>
  </si>
  <si>
    <t>Scope_063</t>
  </si>
  <si>
    <t xml:space="preserve">Kiểm tra khối Overview của scope System</t>
  </si>
  <si>
    <t xml:space="preserve">1. Mở chi tiết scope System
2. Kiểm tra khối số 1 Overview</t>
  </si>
  <si>
    <t xml:space="preserve">- Type: System
- Thay cho Contains là trường Belongs to: tên scope Organization và Product, cách nhau bằng dấu phẩy</t>
  </si>
  <si>
    <t xml:space="preserve">Trường không có dữ liệu</t>
  </si>
  <si>
    <t>Scope_064</t>
  </si>
  <si>
    <t xml:space="preserve">Kiểm tra trường không có dữ liệu</t>
  </si>
  <si>
    <t xml:space="preserve">1. Mở chi tiết {{scope.prd_empty}} (bấm tên {{scope.prd_empty}} ở màn Scopes)
2. Kiểm tra khối số 1 Overview</t>
  </si>
  <si>
    <t xml:space="preserve">- Contains: —
- Out of scope: —</t>
  </si>
  <si>
    <t xml:space="preserve">Bấm Edit</t>
  </si>
  <si>
    <t>Scope_065</t>
  </si>
  <si>
    <t xml:space="preserve">Kiểm tra mở hộp thoại Edit scope</t>
  </si>
  <si>
    <t xml:space="preserve">1. Mở chi tiết (bấm tên ở màn Scopes)
2. Bấm nút Edit ở khối Overview</t>
  </si>
  <si>
    <t xml:space="preserve">- Mở hộp thoại Edit scope, có nút đóng ×
- Name *, What is in scope *, What is out of scope (optional) điền sẵn giá trị hiện tại
- Không có trường Type, Belongs to
- Có nút Cancel và Save</t>
  </si>
  <si>
    <t xml:space="preserve">Figma không có frame sửa scope; không cho đổi Type, Belongs to có đúng chủ ý → Q-S-15</t>
  </si>
  <si>
    <t xml:space="preserve">Xoá trống Name</t>
  </si>
  <si>
    <t>Scope_066</t>
  </si>
  <si>
    <t xml:space="preserve">Kiểm tra lưu khi xoá trống Name</t>
  </si>
  <si>
    <t xml:space="preserve">1. Mở chi tiết (bấm tên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</si>
  <si>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</si>
  <si>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</si>
  <si>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Scope_067</t>
  </si>
  <si>
    <t xml:space="preserve">Kiểm tra lưu khi xoá trống What is in scope</t>
  </si>
  <si>
    <t xml:space="preserve">1. Mở chi tiết (bấm tên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</si>
  <si>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</si>
  <si>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</si>
  <si>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Scope_068</t>
  </si>
  <si>
    <t xml:space="preserve">Kiểm tra đổi Name trùng tên scope khác</t>
  </si>
  <si>
    <t xml:space="preserve">1. Mở chi tiết (bấm tên ở màn Scopes)
2. Mở Edit scope
3. Đổi Name thành tên đã tồn tại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</si>
  <si>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</si>
  <si>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</si>
  <si>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 xml:space="preserve">Đổi Name — tiêu đề chi tiết</t>
  </si>
  <si>
    <t>Scope_069</t>
  </si>
  <si>
    <t xml:space="preserve">Kiểm tra tên mới ở màn chi tiết sau khi sửa</t>
  </si>
  <si>
    <t xml:space="preserve">1. Mở chi tiết (bấm tên ở màn Scopes)
2. Mở Edit scope
3. Đổi Name thành Tên hợp lệ
4. Bấm Save</t>
  </si>
  <si>
    <t xml:space="preserve">- Hộp thoại đóng
- Tiêu đề trang đổi thành {{scope.renamed}}</t>
  </si>
  <si>
    <t xml:space="preserve">Đổi Name — danh sách</t>
  </si>
  <si>
    <t>Scope_070</t>
  </si>
  <si>
    <t xml:space="preserve">Kiểm tra tên mới ở màn danh sách</t>
  </si>
  <si>
    <t xml:space="preserve">Đăng nhập account Customer Admin; trên Scopes đã đổi tên thành {{scope.renamed}}</t>
  </si>
  <si>
    <t xml:space="preserve">- Dòng của scope hiển thị {{scope.renamed}}</t>
  </si>
  <si>
    <t xml:space="preserve">Đổi Name — Overview của scope con</t>
  </si>
  <si>
    <t>Scope_071</t>
  </si>
  <si>
    <t xml:space="preserve">Kiểm tra tên mới ở Overview của scope con</t>
  </si>
  <si>
    <t xml:space="preserve">1. Mở chi tiết {{scope.sys}}</t>
  </si>
  <si>
    <t xml:space="preserve">- Trường Belongs to ở khối Overview hiển thị {{scope.renamed}}</t>
  </si>
  <si>
    <t xml:space="preserve">Đổi Name — cột Belongs to</t>
  </si>
  <si>
    <t>Scope_072</t>
  </si>
  <si>
    <t xml:space="preserve">Kiểm tra tên mới ở cột Belongs to của danh sách</t>
  </si>
  <si>
    <t xml:space="preserve">1. Mở màn Scopes
2. Kiểm tra cột Belongs to của {{scope.sys}}</t>
  </si>
  <si>
    <t xml:space="preserve">- Cột Belongs to hiển thị {{scope.renamed}}</t>
  </si>
  <si>
    <t xml:space="preserve">Sửa In scope, Out of scope</t>
  </si>
  <si>
    <t>Scope_073</t>
  </si>
  <si>
    <t xml:space="preserve">Kiểm tra sửa In scope và Out of scope</t>
  </si>
  <si>
    <t xml:space="preserve">1. Mở chi tiết (bấm tên ở màn Scopes)
2. Mở Edit scope
3. Sửa What is in scope, xoá trống What is out of scope
4. Bấm Save</t>
  </si>
  <si>
    <t xml:space="preserve">- Overview: In scope hiển thị nội dung mới, Out of scope hiển thị —</t>
  </si>
  <si>
    <t>Scope_074</t>
  </si>
  <si>
    <t xml:space="preserve">Kiểm tra huỷ sửa scope</t>
  </si>
  <si>
    <t xml:space="preserve">1. Mở chi tiết (bấm tên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</si>
  <si>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</si>
  <si>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</si>
  <si>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Scope_075</t>
  </si>
  <si>
    <t xml:space="preserve">Kiểm tra sửa scope khi đang có audit</t>
  </si>
  <si>
    <t xml:space="preserve">Đăng nhập account Customer Admin; audit {{audit.running}} đang chạy trên {{scope.sys}}</t>
  </si>
  <si>
    <t xml:space="preserve">1. Mở chi tiết {{scope.sys}} (bấm tên {{scope.sys}} ở màn Scopes)
2. Bấm nút Edit ở khối Overview</t>
  </si>
  <si>
    <t xml:space="preserve">- Không mở hộp thoại sửa
- Thông báo: The scope can't be edited while an audit is running.</t>
  </si>
  <si>
    <t xml:space="preserve">Quy tắc và text lấy từ prototype, UC không ghi → Q-S-16</t>
  </si>
  <si>
    <t xml:space="preserve">Tiêu đề khối và cột</t>
  </si>
  <si>
    <t>Scope_076</t>
  </si>
  <si>
    <t xml:space="preserve">Kiểm tra khối Frameworks</t>
  </si>
  <si>
    <t xml:space="preserve">1. Mở chi tiết (bấm tên ở màn Scopes)
2. Kiểm tra khối số 2 Frameworks</t>
  </si>
  <si>
    <t xml:space="preserve">- Tiêu đề: Frameworks, mô tả: Each framework gets its own workspace
- Nút gắn framework
- Bảng 4 cột: Framework · version · Tier · Coverage · Status</t>
  </si>
  <si>
    <t xml:space="preserve">Nhãn nút: Figma 'Link framework', prototype '+ Link framework' → Q-S-03</t>
  </si>
  <si>
    <t xml:space="preserve">Cột Framework · version</t>
  </si>
  <si>
    <t>Scope_077</t>
  </si>
  <si>
    <t xml:space="preserve">Kiểm tra cột Framework · version</t>
  </si>
  <si>
    <t xml:space="preserve">1. Mở chi tiết (bấm tên ở màn Scopes)
2. Kiểm tra cột đầu của bảng</t>
  </si>
  <si>
    <t xml:space="preserve">- Mỗi dòng dạng &lt;tên framework&gt; · &lt;phiên bản&gt;, ví dụ ISO/IEC 27001 · 2022
- Tên framework dạng liên kết</t>
  </si>
  <si>
    <t xml:space="preserve">Cột Tier</t>
  </si>
  <si>
    <t>Scope_078</t>
  </si>
  <si>
    <t xml:space="preserve">Kiểm tra cột Tier</t>
  </si>
  <si>
    <t xml:space="preserve">1. Mở chi tiết {{scope.sys}} (bấm tên {{scope.sys}} ở màn Scopes)
2. Kiểm tra cột Tier của framework không phân tier và framework có tier</t>
  </si>
  <si>
    <t xml:space="preserve">- Framework không phân tier: No tiers
- Framework có tier: tier hiện tại</t>
  </si>
  <si>
    <t xml:space="preserve">Prototype ghi 'Medium · 中' ở đây nhưng 'Medium' ở danh sách và Summary; tier có phải 'obligation level' của SCP-002 → Q-S-17</t>
  </si>
  <si>
    <t xml:space="preserve">Cột Coverage</t>
  </si>
  <si>
    <t>Scope_079</t>
  </si>
  <si>
    <t xml:space="preserve">Kiểm tra cột Coverage</t>
  </si>
  <si>
    <t xml:space="preserve">1. Mở chi tiết (bấm tên ở màn Scopes)
2. Kiểm tra cột Coverage</t>
  </si>
  <si>
    <t xml:space="preserve">[ĐỀ XUẤT LÙI] RDN-004. Prototype: &lt;%&gt; + thanh tiến trình + &lt;đã có&gt;/&lt;tổng&gt; → Q-S-11</t>
  </si>
  <si>
    <t xml:space="preserve">Cột Status</t>
  </si>
  <si>
    <t>Scope_080</t>
  </si>
  <si>
    <t xml:space="preserve">Kiểm tra cột Status</t>
  </si>
  <si>
    <t xml:space="preserve">1. Mở chi tiết {{scope.sys}} (bấm tên {{scope.sys}} ở màn Scopes)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</si>
  <si>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</si>
  <si>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</si>
  <si>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</si>
  <si>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Scope_081</t>
  </si>
  <si>
    <t xml:space="preserve">Kiểm tra nút Change tier trên từng dòng</t>
  </si>
  <si>
    <t xml:space="preserve">1. Mở chi tiết {{scope.sys}} (bấm tên {{scope.sys}} ở màn Scopes)
2. Kiểm tra cuối mỗi dòng của bảng</t>
  </si>
  <si>
    <t xml:space="preserve">- Dòng framework có tier có nút Change tier
- Dòng framework không phân tier không có nút này</t>
  </si>
  <si>
    <t xml:space="preserve">Bấm tên framework</t>
  </si>
  <si>
    <t>Scope_082</t>
  </si>
  <si>
    <t xml:space="preserve">Kiểm tra mở workspace từ tên framework</t>
  </si>
  <si>
    <t xml:space="preserve">1. Mở chi tiết (bấm tên ở màn Scopes)
2. Bấm tên một framework trong bảng</t>
  </si>
  <si>
    <t xml:space="preserve">- Chuyển sang màn workspace của framework đó trong scope đang xem</t>
  </si>
  <si>
    <t xml:space="preserve">Bấm nút gắn framework</t>
  </si>
  <si>
    <t>Scope_083</t>
  </si>
  <si>
    <t xml:space="preserve">Kiểm tra mở hộp thoại gắn framework</t>
  </si>
  <si>
    <t xml:space="preserve">1. Mở chi tiết (bấm tên ở màn Scopes)
2. Bấm nút gắn framework ở khối Frameworks</t>
  </si>
  <si>
    <t xml:space="preserve">- Mở hộp thoại Link a framework, có nút đóng ×
- Trường Framework *, placeholder: Choose a framework
- Ghi chú: A workspace is created for this scope with the requirements of the chosen tier. You can change the tier later; uploaded evidence stays.
- Nút Cancel và Link and create workspace</t>
  </si>
  <si>
    <t>UC-SCP-006</t>
  </si>
  <si>
    <t xml:space="preserve">Danh sách framework</t>
  </si>
  <si>
    <t xml:space="preserve">Các lựa chọn</t>
  </si>
  <si>
    <t>Scope_084</t>
  </si>
  <si>
    <t xml:space="preserve">Kiểm tra danh sách framework</t>
  </si>
  <si>
    <t xml:space="preserve">1. Mở chi tiết (bấm tên ở màn Scopes)
2. Mở hộp thoại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</si>
  <si>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</si>
  <si>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</si>
  <si>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Scope_085</t>
  </si>
  <si>
    <t xml:space="preserve">Kiểm tra framework đã gắn vào scope có trong danh sách không</t>
  </si>
  <si>
    <t xml:space="preserve">1. Mở chi tiết (bấm tên ở màn Scopes)
2. Mở hộp thoại
3. Mở danh sách Framework
4. Tìm {{fw.linked}}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</si>
  <si>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</si>
  <si>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</si>
  <si>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</si>
  <si>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Scope_086</t>
  </si>
  <si>
    <t xml:space="preserve">Kiểm tra chọn framework có phân tier</t>
  </si>
  <si>
    <t xml:space="preserve">1. Mở chi tiết (bấm tên ở màn Scopes)
2. Mở hộp thoại
3. Chọn {{fw.tiered}}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</si>
  <si>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</si>
  <si>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</si>
  <si>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</si>
  <si>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Scope_087</t>
  </si>
  <si>
    <t xml:space="preserve">Kiểm tra chọn framework không phân tier</t>
  </si>
  <si>
    <t xml:space="preserve">1. Mở chi tiết (bấm tên ở màn Scopes)
2. Mở hộp thoại
3. Chọn {{fw.untiered}}</t>
  </si>
  <si>
    <t xml:space="preserve">Phần chọn tier ẩn đi hay hiện No tiers → Q-S-17</t>
  </si>
  <si>
    <t xml:space="preserve">Chưa chọn framework</t>
  </si>
  <si>
    <t>Scope_088</t>
  </si>
  <si>
    <t xml:space="preserve">Kiểm tra bấm gắn khi chưa chọn framework</t>
  </si>
  <si>
    <t xml:space="preserve">1. Mở chi tiết (bấm tên ở màn Scopes)
2. Mở hộp thoại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</si>
  <si>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</si>
  <si>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</si>
  <si>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</si>
  <si>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Scope_089</t>
  </si>
  <si>
    <t xml:space="preserve">Kiểm tra bấm gắn khi chưa chọn tier</t>
  </si>
  <si>
    <t xml:space="preserve">1. Mở chi tiết (bấm tên ở màn Scopes)
2. Mở hộp thoại, chọn {{fw.tiered}}
3. Không chọn tier
4. Bấm Link and create workspace</t>
  </si>
  <si>
    <t xml:space="preserve">Hiện lỗi hay khoá nút; text lỗi → Q-S-05</t>
  </si>
  <si>
    <t xml:space="preserve">Hiện ở khối Frameworks</t>
  </si>
  <si>
    <t>Scope_090</t>
  </si>
  <si>
    <t xml:space="preserve">Kiểm tra framework vừa gắn hiện ở khối Frameworks</t>
  </si>
  <si>
    <t xml:space="preserve">1. Mở chi tiết (bấm tên ở màn Scopes)
2. Mở hộp thoại
3. Chọn {{fw.tiered}}, giữ Version, chọn tier Medium
4. Bấm Link and create workspace</t>
  </si>
  <si>
    <t xml:space="preserve">- Hộp thoại đóng
- Bảng Frameworks có thêm dòng &lt;framework&gt; · &lt;phiên bản&gt;, cột Tier là tier đã chọn</t>
  </si>
  <si>
    <t xml:space="preserve">Trạng thái ban đầu của workspace → Q-S-20</t>
  </si>
  <si>
    <t xml:space="preserve">Hiện ở danh sách Scopes</t>
  </si>
  <si>
    <t>Scope_091</t>
  </si>
  <si>
    <t xml:space="preserve">Kiểm tra framework vừa gắn hiện ở cột Frameworks của danh sách</t>
  </si>
  <si>
    <t xml:space="preserve">Đăng nhập account Customer Admin; trên Scopes đã gắn {{fw.tiered}} tier Medium vào</t>
  </si>
  <si>
    <t xml:space="preserve">- Cột Frameworks của có thêm dòng &lt;framework&gt; · &lt;phiên bản&gt; · Medium</t>
  </si>
  <si>
    <t xml:space="preserve">Hiện ở màn Workspaces</t>
  </si>
  <si>
    <t>Scope_092</t>
  </si>
  <si>
    <t xml:space="preserve">Kiểm tra workspace mới hiện ở màn Workspaces</t>
  </si>
  <si>
    <t xml:space="preserve">1. Mở màn Workspaces</t>
  </si>
  <si>
    <t xml:space="preserve">- Có workspace mới của với framework vừa gắn</t>
  </si>
  <si>
    <t xml:space="preserve">Workspace tạo ngay hay sau một khoảng → Q-S-20</t>
  </si>
  <si>
    <t>UC-EVD-003</t>
  </si>
  <si>
    <t xml:space="preserve">Hiện ở khối Summary</t>
  </si>
  <si>
    <t>Scope_093</t>
  </si>
  <si>
    <t xml:space="preserve">Kiểm tra framework vừa gắn hiện ở khối Summary</t>
  </si>
  <si>
    <t xml:space="preserve">1. Mở màn Scopes
2. Kiểm tra khối Summary bên phải</t>
  </si>
  <si>
    <t xml:space="preserve">[ĐỀ XUẤT LÙI] RDN-004 → Q-S-11</t>
  </si>
  <si>
    <t>Scope_094</t>
  </si>
  <si>
    <t xml:space="preserve">Kiểm tra huỷ gắn framework</t>
  </si>
  <si>
    <t xml:space="preserve">1. Mở chi tiết (bấm tên ở màn Scopes)
2. Mở hộp thoại, chọn framework
3. Bấm Cancel</t>
  </si>
  <si>
    <t xml:space="preserve">- Hộp thoại đóng
- Bảng Frameworks không có dòng mới</t>
  </si>
  <si>
    <t>Scope_095</t>
  </si>
  <si>
    <t xml:space="preserve">Kiểm tra gắn thêm framework khi scope đang có audit</t>
  </si>
  <si>
    <t xml:space="preserve">1. Mở chi tiết {{scope.sys}} (bấm tên {{scope.sys}} ở màn Scopes)
2. Bấm nút gắn framework</t>
  </si>
  <si>
    <t xml:space="preserve">Text khoá chỉ nói sửa scope và gỡ framework bị chặn; gắn thêm có bị chặn → Q-S-16</t>
  </si>
  <si>
    <t xml:space="preserve">Tìm chức năng gỡ</t>
  </si>
  <si>
    <t>Scope_096</t>
  </si>
  <si>
    <t xml:space="preserve">Kiểm tra lối vào gỡ framework khỏi scope</t>
  </si>
  <si>
    <t xml:space="preserve">1. Mở chi tiết (bấm tên ở màn Scopes)
2. Tìm chức năng gỡ framework ở khối Frameworks và menu ⋮</t>
  </si>
  <si>
    <t xml:space="preserve">Không có lối vào ở Figma lẫn prototype dù SCP-007 có 8 giờ → Q-S-21</t>
  </si>
  <si>
    <t>UC-SCP-007</t>
  </si>
  <si>
    <t xml:space="preserve">Không có audit</t>
  </si>
  <si>
    <t>Scope_097</t>
  </si>
  <si>
    <t xml:space="preserve">Kiểm tra hộp thoại đổi tier</t>
  </si>
  <si>
    <t xml:space="preserve">1. Mở chi tiết {{scope.tier_open}} (bấm tên {{scope.tier_open}} ở màn Scopes)
2. Bấm Change tier ở dòng framework có tier</t>
  </si>
  <si>
    <t xml:space="preserve">- Mở hộp thoại Change tier
- Dòng mô tả ghi framework, phiên bản và tier hiện tại
- 3 lựa chọn tier kèm số requirement, tier hiện tại được đánh dấu
-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</si>
  <si>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</si>
  <si>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</si>
  <si>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</si>
  <si>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Scope_098</t>
  </si>
  <si>
    <t xml:space="preserve">Kiểm tra hộp thoại đổi tier khi đang có audit</t>
  </si>
  <si>
    <t xml:space="preserve">1. Mở chi tiết {{scope.sys}} (bấm tên {{scope.sys}} ở màn Scopes)
2. Bấm Change tier ở dòng {{fw.tiered}}</t>
  </si>
  <si>
    <t xml:space="preserve">- Dòng mô tả: {{scope.sys}} · &lt;framework&gt; · &lt;phiên bản&gt; · &lt;tier&gt;
- Khung cảnh báo: Tier can't be changed during an audit
- Nội dung: Audit {{audit.running}} is reviewing this workspace against tier &lt;tier&gt; (&lt;n&gt; requirements). You can change the tier after the review closes. Unlinking the framework and editing the scope are blocked for the same reason.
- Nút Close; nút Change tier bị khoá</t>
  </si>
  <si>
    <t xml:space="preserve">Text lấy từ prototype, chưa đối chiếu frame Change tier locked → Q-S-16</t>
  </si>
  <si>
    <t xml:space="preserve">Nâng tier</t>
  </si>
  <si>
    <t>Scope_099</t>
  </si>
  <si>
    <t xml:space="preserve">Kiểm tra nâng tier</t>
  </si>
  <si>
    <t xml:space="preserve">1. Mở chi tiết {{scope.tier_open}} (bấm tên {{scope.tier_open}} ở màn Scopes)
2. Mở Change tier của framework đang ở Medium
3. Chọn High
4. Kiểm tra khung cảnh báo
5. Bấm Change to High</t>
  </si>
  <si>
    <t xml:space="preserve">- Sau bước 2: có cảnh báo số requirement tăng và độ phủ sẽ giảm
- Sau bước 4: hộp thoại đóng, cột Tier đổi thành High</t>
  </si>
  <si>
    <t xml:space="preserve">Bằng chứng đã tải có giữ nguyên → Q-S-22</t>
  </si>
  <si>
    <t xml:space="preserve">Hạ tier</t>
  </si>
  <si>
    <t>Scope_100</t>
  </si>
  <si>
    <t xml:space="preserve">Kiểm tra hạ tier</t>
  </si>
  <si>
    <t xml:space="preserve">1. Mở chi tiết {{scope.tier_open}} (bấm tên {{scope.tier_open}} ở màn Scopes)
2. Mở Change tier của framework đang ở High
3. Chọn Medium
4. Xác nhận</t>
  </si>
  <si>
    <t xml:space="preserve">Hạ tier có cảnh báo gì; bằng chứng của requirement bị bỏ ra sao → Q-S-22</t>
  </si>
  <si>
    <t>Scope_101</t>
  </si>
  <si>
    <t xml:space="preserve">Kiểm tra huỷ đổi tier</t>
  </si>
  <si>
    <t xml:space="preserve">1. Mở chi tiết {{scope.tier_open}} (bấm tên {{scope.tier_open}} ở màn Scopes)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</si>
  <si>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</si>
  <si>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</si>
  <si>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</si>
  <si>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Scope_102</t>
  </si>
  <si>
    <t xml:space="preserve">Kiểm tra đóng hộp thoại khoá bằng Close</t>
  </si>
  <si>
    <t xml:space="preserve">1. Mở chi tiết {{scope.sys}} (bấm tên {{scope.sys}} ở màn Scopes)
2. Mở Change tier của {{fw.tiered}}
3. Bấm Close</t>
  </si>
  <si>
    <t>Scope_103</t>
  </si>
  <si>
    <t xml:space="preserve">Kiểm tra khối Users</t>
  </si>
  <si>
    <t xml:space="preserve">1. Mở chi tiết (bấm tên ở màn Scopes)
2. Kiểm tra khối số 3 Users</t>
  </si>
  <si>
    <t xml:space="preserve">- Tiêu đề: Users, mô tả: Can work in every workspace of this scope
- Nút Assign users
- F106</t>
  </si>
  <si>
    <t>UC-USR-006</t>
  </si>
  <si>
    <t xml:space="preserve">Dòng Customer Admin</t>
  </si>
  <si>
    <t>Scope_104</t>
  </si>
  <si>
    <t xml:space="preserve">Kiểm tra dòng của Customer Admin</t>
  </si>
  <si>
    <t xml:space="preserve">1. Mở chi tiết (bấm tên ở màn Scopes)
2. Kiểm tra dòng của account</t>
  </si>
  <si>
    <t xml:space="preserve">- Role: Customer Admin · sees every scope
- Given: —</t>
  </si>
  <si>
    <t xml:space="preserve">Dòng người được gán</t>
  </si>
  <si>
    <t>Scope_105</t>
  </si>
  <si>
    <t xml:space="preserve">Kiểm tra dòng của người được gán</t>
  </si>
  <si>
    <t xml:space="preserve">1. Mở chi tiết (bấm tên ở màn Scopes)
2. Kiểm tra dòng của {{user.cust_user_org}}</t>
  </si>
  <si>
    <t xml:space="preserve">- Role: Customer User
- Given: ngày được gán, dạng DD Mon YYYY, ví dụ 21 Sep 2026</t>
  </si>
  <si>
    <t xml:space="preserve">Bấm Assign users</t>
  </si>
  <si>
    <t>Scope_106</t>
  </si>
  <si>
    <t xml:space="preserve">Kiểm tra mở hộp thoại Assign users</t>
  </si>
  <si>
    <t xml:space="preserve">1. Mở chi tiết (bấm tên ở màn Scopes)
2. Bấm nút Assign users</t>
  </si>
  <si>
    <t xml:space="preserve">- Mở hộp thoại Assign users, có nút đóng ×
- Mô tả: Users you tick can work in every workspace of &lt;tên scope&gt;. Customer Admins always have access.
- Mỗi người một dòng: ô tick, tên, email; người chưa kích hoạt có thêm · invitation pending
- Người đang được gán đã tick sẵn; không có Customer Admin trong danh sách
- Nút Cancel và Save</t>
  </si>
  <si>
    <t xml:space="preserve">Vai trò trong danh sách</t>
  </si>
  <si>
    <t>Scope_107</t>
  </si>
  <si>
    <t xml:space="preserve">Kiểm tra những vai trò có trong danh sách gán</t>
  </si>
  <si>
    <t xml:space="preserve">1. Mở chi tiết (bấm tên ở màn Scopes)
2. Mở Assign users
3. Đối chiếu vai trò của từng người trong danh sách</t>
  </si>
  <si>
    <t xml:space="preserve">USR-006 chỉ nói Customer User; prototype có cả Customer Viewer và người chưa kích hoạt → Q-S-23</t>
  </si>
  <si>
    <t xml:space="preserve">Tick thêm — khối Users</t>
  </si>
  <si>
    <t>Scope_108</t>
  </si>
  <si>
    <t xml:space="preserve">Kiểm tra người vừa gán hiện ở khối Users</t>
  </si>
  <si>
    <t xml:space="preserve">1. Mở chi tiết (bấm tên ở màn Scopes)
2. Mở Assign users
3. Tick {{user.cust_user_new}}
4. Bấm Save</t>
  </si>
  <si>
    <t xml:space="preserve">- Hộp thoại đóng
- Khối Users có dòng {{user.cust_user_new}}, Role Customer User, Given là ngày hôm nay</t>
  </si>
  <si>
    <t xml:space="preserve">Tick thêm — cột Users ở danh sách</t>
  </si>
  <si>
    <t>Scope_109</t>
  </si>
  <si>
    <t xml:space="preserve">Kiểm tra cột Users ở danh sách sau khi gán</t>
  </si>
  <si>
    <t xml:space="preserve">Đăng nhập account Customer Admin; trên Scopes đã gán {{user.cust_user_new}} vào</t>
  </si>
  <si>
    <t xml:space="preserve">- Cột Users của tăng 1 so với trước khi gán</t>
  </si>
  <si>
    <t xml:space="preserve">Tick thêm — người được gán thấy scope</t>
  </si>
  <si>
    <t>Scope_110</t>
  </si>
  <si>
    <t xml:space="preserve">Kiểm tra người vừa được gán thấy scope</t>
  </si>
  <si>
    <t xml:space="preserve">1. Mở màn Scopes
2. Đăng nhập {{user.cust_user_new}}
3. Mở màn Scopes</t>
  </si>
  <si>
    <t xml:space="preserve">- Danh sách có</t>
  </si>
  <si>
    <t xml:space="preserve">Tick thêm — chi tiết người dùng</t>
  </si>
  <si>
    <t>Scope_111</t>
  </si>
  <si>
    <t xml:space="preserve">Kiểm tra scope hiện ở chi tiết người dùng</t>
  </si>
  <si>
    <t xml:space="preserve">1. Mở màn Scopes
2. Mở Users ở mục Administration
3. Mở chi tiết {{user.cust_user_new}}</t>
  </si>
  <si>
    <t xml:space="preserve">- Phần scope được gán có</t>
  </si>
  <si>
    <t>UC-USR-002</t>
  </si>
  <si>
    <t xml:space="preserve">Bỏ tick — khối Users</t>
  </si>
  <si>
    <t>Scope_112</t>
  </si>
  <si>
    <t xml:space="preserve">Kiểm tra bỏ gán người dùng</t>
  </si>
  <si>
    <t xml:space="preserve">1. Mở chi tiết (bấm tên ở màn Scopes)
2. Mở Assign users
3. Bỏ tick {{user.cust_user_org}}
4. Bấm Save</t>
  </si>
  <si>
    <t xml:space="preserve">- Hộp thoại đóng
- Khối Users không còn dòng {{user.cust_user_org}}</t>
  </si>
  <si>
    <t xml:space="preserve">Thu hồi có thuộc USR-006, có hỏi xác nhận → Q-S-23</t>
  </si>
  <si>
    <t xml:space="preserve">Bỏ tick — người bị bỏ gán</t>
  </si>
  <si>
    <t>Scope_113</t>
  </si>
  <si>
    <t xml:space="preserve">Kiểm tra người bị bỏ gán không còn thấy scope</t>
  </si>
  <si>
    <t xml:space="preserve">Đăng nhập account Customer Admin; trên Scopes đã bỏ gán {{user.cust_user_org}} khỏi</t>
  </si>
  <si>
    <t xml:space="preserve">1. Mở màn Scopes
2. Đăng nhập {{user.cust_user_org}}
3. Mở màn Scopes
4. Mở {{url.app}}/scopes/&lt;mã của&gt;</t>
  </si>
  <si>
    <t xml:space="preserve">- Danh sách không có
- Bước 3 không hiển thị nội dung của</t>
  </si>
  <si>
    <t xml:space="preserve">Thu hồi có thuộc USR-006 → Q-S-23</t>
  </si>
  <si>
    <t>Scope_114</t>
  </si>
  <si>
    <t xml:space="preserve">Kiểm tra huỷ gán người dùng</t>
  </si>
  <si>
    <t xml:space="preserve">1. Mở chi tiết (bấm tên ở màn Scopes)
2. Mở Assign users, tick thêm một người
3. Bấm Cancel</t>
  </si>
  <si>
    <t xml:space="preserve">- Hộp thoại đóng, khối Users không đổi</t>
  </si>
  <si>
    <t xml:space="preserve">Evidence coverage</t>
  </si>
  <si>
    <t>Scope_115</t>
  </si>
  <si>
    <t xml:space="preserve">Kiểm tra khối Summary</t>
  </si>
  <si>
    <t xml:space="preserve">1. Mở chi tiết (bấm tên ở màn Scopes)
2. Kiểm tra khối Summary bên phải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</si>
  <si>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</si>
  <si>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</si>
  <si>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</si>
  <si>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Scope_116</t>
  </si>
  <si>
    <t xml:space="preserve">Kiểm tra màn Scopes với Customer User</t>
  </si>
  <si>
    <t xml:space="preserve">Đăng nhập {{user.cust_user}} (được gán {{scope.sys}}, không được gán)</t>
  </si>
  <si>
    <t xml:space="preserve">- Chỉ hiển thị scope được gán cho người dùng này
- Không có nút tạo scope</t>
  </si>
  <si>
    <t xml:space="preserve">Mô tả trang</t>
  </si>
  <si>
    <t>Scope_117</t>
  </si>
  <si>
    <t xml:space="preserve">Kiểm tra mô tả trang với Customer User</t>
  </si>
  <si>
    <t xml:space="preserve">1. Mở màn Scopes
2. Kiểm tra dòng mô tả dưới tiêu đề</t>
  </si>
  <si>
    <t xml:space="preserve">- Mô tả: Scopes assigned to you. Only scopes assigned to you are listed.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</si>
  <si>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</si>
  <si>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</si>
  <si>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</si>
  <si>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Scope_118</t>
  </si>
  <si>
    <t xml:space="preserve">Kiểm tra màn chi tiết với Customer User</t>
  </si>
  <si>
    <t xml:space="preserve">- Không có nút Edit, mục Edit scope, nút gắn framework, nút Change tier, nút Assign users</t>
  </si>
  <si>
    <t xml:space="preserve">Scope không được gán, mở bằng URL</t>
  </si>
  <si>
    <t>Scope_119</t>
  </si>
  <si>
    <t xml:space="preserve">Kiểm tra Customer User mở scope không được gán bằng URL</t>
  </si>
  <si>
    <t xml:space="preserve">1. Mở {{url.app}}/scopes/&lt;mã của&gt;</t>
  </si>
  <si>
    <t xml:space="preserve">- Không hiển thị nội dung của</t>
  </si>
  <si>
    <t xml:space="preserve">Hiện trang gì → Q-S-26</t>
  </si>
  <si>
    <t>API</t>
  </si>
  <si>
    <t xml:space="preserve">Tạo scope</t>
  </si>
  <si>
    <t>Scope_120</t>
  </si>
  <si>
    <t xml:space="preserve">Kiểm tra Customer User gọi API tạo scope</t>
  </si>
  <si>
    <t xml:space="preserve">1. Gọi thẳng API tạo scope bằng phiên của {{user.cust_user}}</t>
  </si>
  <si>
    <t xml:space="preserve">- Bị từ chối (403), không tạo scope</t>
  </si>
  <si>
    <t xml:space="preserve">Sửa, gắn framework, gán người dùng</t>
  </si>
  <si>
    <t>Scope_121</t>
  </si>
  <si>
    <t xml:space="preserve">Kiểm tra Customer User gọi API sửa scope, gắn framework, gán người dùng</t>
  </si>
  <si>
    <t xml:space="preserve">1. Gọi API sửa {{scope.sys}}
2. Gọi API gắn framework vào {{scope.sys}}
3. Gọi API gán người dùng vào {{scope.sys}}</t>
  </si>
  <si>
    <t xml:space="preserve">- Cả ba bị từ chối (403), dữ liệu không đổi</t>
  </si>
  <si>
    <t xml:space="preserve">Danh sách và chi tiết</t>
  </si>
  <si>
    <t xml:space="preserve">Quyền xem</t>
  </si>
  <si>
    <t>Scope_122</t>
  </si>
  <si>
    <t xml:space="preserve">Kiểm tra màn Scopes với Customer Viewer</t>
  </si>
  <si>
    <t xml:space="preserve">Đăng nhập {{user.cust_viewer}}</t>
  </si>
  <si>
    <t xml:space="preserve">1. Mở màn Scopes
2. Mở chi tiết một scope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</si>
  <si>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</si>
  <si>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</si>
  <si>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</si>
  <si>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Scope_123</t>
  </si>
  <si>
    <t xml:space="preserve">Kiểm tra SGS Consultant xem scope của khách được phân công</t>
  </si>
  <si>
    <t xml:space="preserve">Đăng nhập {{user.consultant}} ở SGS Portal, đã được phân công tenant A</t>
  </si>
  <si>
    <t xml:space="preserve">1. Mở danh sách scope của tenant A
2. Mở chi tiết một scope</t>
  </si>
  <si>
    <t xml:space="preserve">- Xem được danh sách và chi tiết
- Không có nút tạo, sửa, gắn framework, đổi tier, gán người dùng</t>
  </si>
  <si>
    <t xml:space="preserve">Lối vào từ SGS Portal ở đâu → Q-S-25</t>
  </si>
  <si>
    <t xml:space="preserve">Không được phân công</t>
  </si>
  <si>
    <t xml:space="preserve">Không thấy scope</t>
  </si>
  <si>
    <t>Scope_124</t>
  </si>
  <si>
    <t xml:space="preserve">Kiểm tra người dùng SGS không được phân công tenant A</t>
  </si>
  <si>
    <t xml:space="preserve">Đăng nhập {{user.sgs_other}}</t>
  </si>
  <si>
    <t xml:space="preserve">1. Tìm scope của tenant A trên SGS Portal
2. Gọi API danh sách scope của tenant A</t>
  </si>
  <si>
    <t xml:space="preserve">- Không thấy scope của tenant A
- API bị từ chối</t>
  </si>
  <si>
    <t xml:space="preserve">Scope của tenant khác</t>
  </si>
  <si>
    <t>Scope_125</t>
  </si>
  <si>
    <t xml:space="preserve">Kiểm tra cách ly danh sách scope giữa hai tenant</t>
  </si>
  <si>
    <t xml:space="preserve">Đăng nhập {{user.tenantB_admin}}</t>
  </si>
  <si>
    <t xml:space="preserve">- Chỉ thấy scope của tenant B, không có scope nào của tenant A</t>
  </si>
  <si>
    <t>URL</t>
  </si>
  <si>
    <t xml:space="preserve">Chi tiết scope tenant khác</t>
  </si>
  <si>
    <t>Scope_126</t>
  </si>
  <si>
    <t xml:space="preserve">Kiểm tra mở chi tiết scope của tenant khác bằng URL</t>
  </si>
  <si>
    <t xml:space="preserve">- Không hiển thị dữ liệu của tenant A</t>
  </si>
  <si>
    <t>Scope_127</t>
  </si>
  <si>
    <t xml:space="preserve">Kiểm tra gọi API chi tiết scope của tenant khác</t>
  </si>
  <si>
    <t xml:space="preserve">1. Gọi API chi tiết của tenant A</t>
  </si>
  <si>
    <t xml:space="preserve">- Bị từ chối (403 hoặc 404), không trả dữ liệu</t>
  </si>
  <si>
    <t xml:space="preserve">Gán người của tenant khác</t>
  </si>
  <si>
    <t>Scope_128</t>
  </si>
  <si>
    <t xml:space="preserve">Kiểm tra gán người dùng của tenant khác vào scope</t>
  </si>
  <si>
    <t xml:space="preserve">1. Gọi API gán {{user.tenantB_admin}} vào</t>
  </si>
  <si>
    <t xml:space="preserve">- Bị từ chối, khối Users của không đổi</t>
  </si>
  <si>
    <t xml:space="preserve">Mã độc</t>
  </si>
  <si>
    <t xml:space="preserve">Name chứa thẻ script</t>
  </si>
  <si>
    <t>Scope_129</t>
  </si>
  <si>
    <t xml:space="preserve">Kiểm tra tạo scope có Name chứa mã độc</t>
  </si>
  <si>
    <t xml:space="preserve">1. Mở màn Scopes
2. Tạo scope loại Organization, Name là {{text.xss}}
3. Xem scope đó ở danh sách và màn chi tiết</t>
  </si>
  <si>
    <t xml:space="preserve">- Name hiển thị nguyên chuỗi dưới dạng chữ
- Không có hộp thoại hay đoạn mã nào được chạy</t>
  </si>
  <si>
    <t xml:space="preserve">Thao tác ghi</t>
  </si>
  <si>
    <t xml:space="preserve">Tạo, sửa, gắn, gán</t>
  </si>
  <si>
    <t>Scope_130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</si>
  <si>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</si>
  <si>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</si>
  <si>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</si>
  <si>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</si>
  <si>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</si>
  <si>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</si>
  <si>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</si>
  <si>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</si>
  <si>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</si>
  <si>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</si>
  <si>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</si>
  <si>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</si>
  <si>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TC_110),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</si>
  <si>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</si>
  <si>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</si>
  <si>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</si>
  <si>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</si>
  <si>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</si>
  <si>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</si>
  <si>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</si>
  <si>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</si>
  <si>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</si>
  <si>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</si>
  <si>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</si>
  <si>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</si>
  <si>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</si>
  <si>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</si>
  <si>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</si>
  <si>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</si>
  <si>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</si>
  <si>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</si>
  <si>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SGS Admin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</si>
  <si>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</si>
  <si>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</si>
  <si>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</si>
  <si>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</si>
  <si>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</si>
  <si>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</si>
  <si>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</si>
  <si>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</si>
  <si>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</si>
  <si>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</si>
  <si>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</si>
  <si>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</si>
  <si>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</si>
  <si>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</si>
  <si>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</si>
  <si>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</si>
  <si>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</si>
  <si>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</si>
  <si>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</si>
  <si>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</si>
  <si>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</si>
  <si>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</si>
  <si>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</si>
  <si>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</si>
  <si>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</si>
  <si>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</si>
  <si>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</si>
  <si>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</si>
  <si>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</si>
  <si>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</si>
  <si>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</si>
  <si>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</si>
  <si>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</si>
  <si>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</si>
  <si>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</si>
  <si>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</si>
  <si>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</si>
  <si>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</si>
  <si>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</si>
  <si>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</si>
  <si>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</si>
  <si>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</si>
  <si>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</si>
  <si>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</si>
  <si>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</si>
  <si>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</si>
  <si>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</si>
  <si>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</si>
  <si>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</si>
  <si>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</si>
  <si>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</si>
  <si>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</si>
  <si>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</si>
  <si>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</si>
  <si>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</si>
  <si>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</si>
  <si>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</si>
  <si>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</si>
  <si>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SGS Consultant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</si>
  <si>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</si>
  <si>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</si>
  <si>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</si>
  <si>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</si>
  <si>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</si>
  <si>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</si>
  <si>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</si>
  <si>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</si>
  <si>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</si>
  <si>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</si>
  <si>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</si>
  <si>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</si>
  <si>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</si>
  <si>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</si>
  <si>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</si>
  <si>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</si>
  <si>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</si>
  <si>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</si>
  <si>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</si>
  <si>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</si>
  <si>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</si>
  <si>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</si>
  <si>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</si>
  <si>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</si>
  <si>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</si>
  <si>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</si>
  <si>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</si>
  <si>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</si>
  <si>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</si>
  <si>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</si>
  <si>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</si>
  <si>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</si>
  <si>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</si>
  <si>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</si>
  <si>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</si>
  <si>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</si>
  <si>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</si>
  <si>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</si>
  <si>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</si>
  <si>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</si>
  <si>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</si>
  <si>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</si>
  <si>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</si>
  <si>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</si>
  <si>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</si>
  <si>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</si>
  <si>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</si>
  <si>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</si>
  <si>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</si>
  <si>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</si>
  <si>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</si>
  <si>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</si>
  <si>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</si>
  <si>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</si>
  <si>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</si>
  <si>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</si>
  <si>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</si>
  <si>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</si>
  <si>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</si>
  <si>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</si>
  <si>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</si>
  <si>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</si>
  <si>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</si>
  <si>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</si>
  <si>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</si>
  <si>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</si>
  <si>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</si>
  <si>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</si>
  <si>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</si>
  <si>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</si>
  <si>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</si>
  <si>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</si>
  <si>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</si>
  <si>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</si>
  <si>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</si>
  <si>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</si>
  <si>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</si>
  <si>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</si>
  <si>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</si>
  <si>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</si>
  <si>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</si>
  <si>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</si>
  <si>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</si>
  <si>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</si>
  <si>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</si>
  <si>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</si>
  <si>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</si>
  <si>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</si>
  <si>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</si>
  <si>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</si>
  <si>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</si>
  <si>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</si>
  <si>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</si>
  <si>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</si>
  <si>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</si>
  <si>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</si>
  <si>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</si>
  <si>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</si>
  <si>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</si>
  <si>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</si>
  <si>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</si>
  <si>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</si>
  <si>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</si>
  <si>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</si>
  <si>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</si>
  <si>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</si>
  <si>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</si>
  <si>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</si>
  <si>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</si>
  <si>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</si>
  <si>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</si>
  <si>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</si>
  <si>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</si>
  <si>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</si>
  <si>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</si>
  <si>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</si>
  <si>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</si>
  <si>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</si>
  <si>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</si>
  <si>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</si>
  <si>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</si>
  <si>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</si>
  <si>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</si>
  <si>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</si>
  <si>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</si>
  <si>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</si>
  <si>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</si>
  <si>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</si>
  <si>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</si>
  <si>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</si>
  <si>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</si>
  <si>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</si>
  <si>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</si>
  <si>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</si>
  <si>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</si>
  <si>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</si>
  <si>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</si>
  <si>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</si>
  <si>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</si>
  <si>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</si>
  <si>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</si>
  <si>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</si>
  <si>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</si>
  <si>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</si>
  <si>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</si>
  <si>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</si>
  <si>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</si>
  <si>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</si>
  <si>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</si>
  <si>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</si>
  <si>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</si>
  <si>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</si>
  <si>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</si>
  <si>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</si>
  <si>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</si>
  <si>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</si>
  <si>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</si>
  <si>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</si>
  <si>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</si>
  <si>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</si>
  <si>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</si>
  <si>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</si>
  <si>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</si>
  <si>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</si>
  <si>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</si>
  <si>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</si>
  <si>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</si>
  <si>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</si>
  <si>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</si>
  <si>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</si>
  <si>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</si>
  <si>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</si>
  <si>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</si>
  <si>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</si>
  <si>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</si>
  <si>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</si>
  <si>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</si>
  <si>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</si>
  <si>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</si>
  <si>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</si>
  <si>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</si>
  <si>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</si>
  <si>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</si>
  <si>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</si>
  <si>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</si>
  <si>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</si>
  <si>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</si>
  <si>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</si>
  <si>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</si>
  <si>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</si>
  <si>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</si>
  <si>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</si>
  <si>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</si>
  <si>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</si>
  <si>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</si>
  <si>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</si>
  <si>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</si>
  <si>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</si>
  <si>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</si>
  <si>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</si>
  <si>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</si>
  <si>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</si>
  <si>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</si>
  <si>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</si>
  <si>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</si>
  <si>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</si>
  <si>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</si>
  <si>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</si>
  <si>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</si>
  <si>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</si>
  <si>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</si>
  <si>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</si>
  <si>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</si>
  <si>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</si>
  <si>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</si>
  <si>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</si>
  <si>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</si>
  <si>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</si>
  <si>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</si>
  <si>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</si>
  <si>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</si>
  <si>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</si>
  <si>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</si>
  <si>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</si>
  <si>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</si>
  <si>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</si>
  <si>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</si>
  <si>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</si>
  <si>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</si>
  <si>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</si>
  <si>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</si>
  <si>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</si>
  <si>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</si>
  <si>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</si>
  <si>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</si>
  <si>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</si>
  <si>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</si>
  <si>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</si>
  <si>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</si>
  <si>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</si>
  <si>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</si>
  <si>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</si>
  <si>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</si>
  <si>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</si>
  <si>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</si>
  <si>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</si>
  <si>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</si>
  <si>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</si>
  <si>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</si>
  <si>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</si>
  <si>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</si>
  <si>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</si>
  <si>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</si>
  <si>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</si>
  <si>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</si>
  <si>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</si>
  <si>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</si>
  <si>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</si>
  <si>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</si>
  <si>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</si>
  <si>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</si>
  <si>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</si>
  <si>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</si>
  <si>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</si>
  <si>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</si>
  <si>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</si>
  <si>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</si>
  <si>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</si>
  <si>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</si>
  <si>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</si>
  <si>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</si>
  <si>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</si>
  <si>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</si>
  <si>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</si>
  <si>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</si>
  <si>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</si>
  <si>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</si>
  <si>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</si>
  <si>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</si>
  <si>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</si>
  <si>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</si>
  <si>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</si>
  <si>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</si>
  <si>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</si>
  <si>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</si>
  <si>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</si>
  <si>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</si>
  <si>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</si>
  <si>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</si>
  <si>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</si>
  <si>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</si>
  <si>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</si>
  <si>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</si>
  <si>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</si>
  <si>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</si>
  <si>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</si>
  <si>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</si>
  <si>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TC_110: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</si>
  <si>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</si>
  <si>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</si>
  <si>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</si>
  <si>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</si>
  <si>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</si>
  <si>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</si>
  <si>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</si>
  <si>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</si>
  <si>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</si>
  <si>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</si>
  <si>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</si>
  <si>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</si>
  <si>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</si>
  <si>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</si>
  <si>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</si>
  <si>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</si>
  <si>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</si>
  <si>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</si>
  <si>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</si>
  <si>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</si>
  <si>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</si>
  <si>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</si>
  <si>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</si>
  <si>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</si>
  <si>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</si>
  <si>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</si>
  <si>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</si>
  <si>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</si>
  <si>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</si>
  <si>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</si>
  <si>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</si>
  <si>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</si>
  <si>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</si>
  <si>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</si>
  <si>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</si>
  <si>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</si>
  <si>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</si>
  <si>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</si>
  <si>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</si>
  <si>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</si>
  <si>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</si>
  <si>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</si>
  <si>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</si>
  <si>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</si>
  <si>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</si>
  <si>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</si>
  <si>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</si>
  <si>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</si>
  <si>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</si>
  <si>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</si>
  <si>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</si>
  <si>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</si>
  <si>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</si>
  <si>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</si>
  <si>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</si>
  <si>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</si>
  <si>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</si>
  <si>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</si>
  <si>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</si>
  <si>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</si>
  <si>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</si>
  <si>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</si>
  <si>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</si>
  <si>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</si>
  <si>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</si>
  <si>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</si>
  <si>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</si>
  <si>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</si>
  <si>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</si>
  <si>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</si>
  <si>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</si>
  <si>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</si>
  <si>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</si>
  <si>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</si>
  <si>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</si>
  <si>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</si>
  <si>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</si>
  <si>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</si>
  <si>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</si>
  <si>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</si>
  <si>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</si>
  <si>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</si>
  <si>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</si>
  <si>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</si>
  <si>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</si>
  <si>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</si>
  <si>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</si>
  <si>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</si>
  <si>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</si>
  <si>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</si>
  <si>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</si>
  <si>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</si>
  <si>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Scope_021, Scope_025, Scope_131</t>
  </si>
  <si>
    <t xml:space="preserve">Danh sách chỉ hiển thị Type và Name; In scope / Out of scope xem ở màn chi tiết.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</si>
</sst>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/>
      </patternFill>
    </fill>
    <fill>
      <patternFill patternType="solid">
        <fgColor indexed="5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93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0" fillId="0" borderId="2" numFmtId="0" xfId="0" applyBorder="1"/>
    <xf fontId="0" fillId="0" borderId="3" numFmtId="0" xfId="0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0" fillId="0" borderId="4" numFmtId="0" xfId="0" applyBorder="1"/>
    <xf fontId="0" fillId="0" borderId="5" numFmtId="0" xfId="0" applyBorder="1"/>
    <xf fontId="1" fillId="0" borderId="1" numFmtId="164" xfId="0" applyNumberFormat="1" applyFont="1" applyBorder="1"/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0" xfId="0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5" numFmtId="0" xfId="0" applyFont="1" applyBorder="1" applyAlignment="1">
      <alignment vertical="top"/>
    </xf>
    <xf fontId="1" fillId="0" borderId="14" numFmtId="0" xfId="0" applyFont="1" applyBorder="1"/>
    <xf fontId="1" fillId="0" borderId="15" numFmtId="0" xfId="0" applyFont="1" applyBorder="1"/>
    <xf fontId="1" fillId="0" borderId="6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0" fillId="0" borderId="17" numFmtId="0" xfId="0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0" fillId="0" borderId="20" numFmtId="0" xfId="0" applyBorder="1" applyAlignment="1">
      <alignment horizontal="left"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0" fillId="0" borderId="22" numFmtId="0" xfId="0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0" fillId="0" borderId="25" numFmtId="0" xfId="0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0" fillId="0" borderId="20" numFmtId="0" xfId="0" applyBorder="1"/>
    <xf fontId="1" fillId="0" borderId="0" numFmtId="0" xfId="0" applyFont="1" applyAlignment="1">
      <alignment horizontal="center"/>
    </xf>
    <xf fontId="1" fillId="0" borderId="20" numFmtId="0" xfId="0" applyFont="1" applyBorder="1" applyAlignment="1" quotePrefix="1">
      <alignment horizontal="left" vertical="center" wrapText="1"/>
    </xf>
    <xf fontId="1" fillId="0" borderId="26" numFmtId="0" xfId="0" applyFont="1" applyBorder="1" applyAlignment="1">
      <alignment horizontal="left" vertical="center" wrapText="1"/>
    </xf>
    <xf fontId="1" fillId="0" borderId="27" numFmtId="0" xfId="0" applyFont="1" applyBorder="1" applyAlignment="1">
      <alignment horizontal="left" vertical="center" wrapText="1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0" fillId="0" borderId="27" numFmtId="0" xfId="0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9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15.7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15.7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15.7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15.75" customHeight="1">
      <c r="A17" s="18"/>
      <c r="B17" s="28"/>
      <c r="C17" s="28"/>
      <c r="D17" s="28"/>
      <c r="E17" s="28"/>
      <c r="F17" s="28"/>
      <c r="G17" s="32"/>
      <c r="H17" s="20"/>
    </row>
    <row r="18" ht="15.75" customHeight="1">
      <c r="A18" s="18"/>
      <c r="B18" s="33"/>
      <c r="C18" s="33"/>
      <c r="D18" s="33"/>
      <c r="E18" s="33"/>
      <c r="F18" s="33"/>
      <c r="G18" s="34"/>
      <c r="H18" s="20"/>
    </row>
    <row r="19" ht="15.75" customHeight="1">
      <c r="A19" s="18"/>
      <c r="B19" s="33"/>
      <c r="C19" s="33"/>
      <c r="D19" s="33"/>
      <c r="E19" s="33"/>
      <c r="F19" s="33"/>
      <c r="G19" s="34"/>
      <c r="H19" s="20"/>
    </row>
    <row r="20" ht="15.75" customHeight="1">
      <c r="A20" s="18"/>
      <c r="B20" s="33"/>
      <c r="C20" s="33"/>
      <c r="D20" s="33"/>
      <c r="E20" s="33"/>
      <c r="F20" s="33"/>
      <c r="G20" s="34"/>
      <c r="H20" s="20"/>
    </row>
    <row r="21" ht="15.75" customHeight="1">
      <c r="A21" s="18"/>
      <c r="B21" s="33"/>
      <c r="C21" s="33"/>
      <c r="D21" s="33"/>
      <c r="E21" s="33"/>
      <c r="F21" s="33"/>
      <c r="G21" s="34"/>
      <c r="H21" s="20"/>
    </row>
    <row r="22" ht="15.75" customHeight="1">
      <c r="A22" s="18"/>
      <c r="B22" s="33"/>
      <c r="C22" s="33"/>
      <c r="D22" s="33"/>
      <c r="E22" s="33"/>
      <c r="F22" s="33"/>
      <c r="G22" s="34"/>
      <c r="H22" s="20"/>
    </row>
    <row r="23" ht="15.75" customHeight="1">
      <c r="A23" s="18"/>
      <c r="B23" s="33"/>
      <c r="C23" s="33"/>
      <c r="D23" s="33"/>
      <c r="E23" s="33"/>
      <c r="F23" s="33"/>
      <c r="G23" s="34"/>
      <c r="H23" s="20"/>
    </row>
    <row r="24" ht="15.75" customHeight="1">
      <c r="B24" s="35"/>
      <c r="C24" s="35"/>
      <c r="D24" s="35"/>
      <c r="E24" s="35"/>
      <c r="F24" s="35"/>
      <c r="G24" s="35"/>
    </row>
    <row r="25" ht="15.75" customHeight="1">
      <c r="B25" s="36" t="s">
        <v>46</v>
      </c>
    </row>
    <row r="26" ht="15.75" customHeight="1">
      <c r="B26" s="1" t="s">
        <v>47</v>
      </c>
    </row>
    <row r="27" ht="15.75" customHeight="1">
      <c r="B27" s="1" t="s">
        <v>48</v>
      </c>
    </row>
    <row r="28" ht="15.75" customHeight="1">
      <c r="B28" s="1" t="s">
        <v>49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7"/>
      <c r="C2" s="37"/>
      <c r="D2" s="37"/>
      <c r="E2" s="38" t="s">
        <v>50</v>
      </c>
      <c r="F2" s="14"/>
      <c r="G2" s="14"/>
      <c r="H2" s="14"/>
      <c r="I2" s="14"/>
      <c r="J2" s="14"/>
      <c r="K2" s="14"/>
      <c r="L2" s="14"/>
      <c r="M2" s="15"/>
      <c r="N2" s="39" t="s">
        <v>51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40"/>
      <c r="B3" s="41" t="s">
        <v>52</v>
      </c>
      <c r="C3" s="39" t="s">
        <v>53</v>
      </c>
      <c r="D3" s="39" t="s">
        <v>54</v>
      </c>
      <c r="E3" s="42" t="s">
        <v>55</v>
      </c>
      <c r="F3" s="39" t="s">
        <v>56</v>
      </c>
      <c r="G3" s="39" t="s">
        <v>57</v>
      </c>
      <c r="H3" s="39" t="s">
        <v>58</v>
      </c>
      <c r="I3" s="39" t="s">
        <v>59</v>
      </c>
      <c r="J3" s="39" t="s">
        <v>60</v>
      </c>
      <c r="K3" s="39" t="s">
        <v>61</v>
      </c>
      <c r="L3" s="39" t="s">
        <v>62</v>
      </c>
      <c r="M3" s="42" t="s">
        <v>63</v>
      </c>
      <c r="N3" s="39" t="s">
        <v>64</v>
      </c>
      <c r="O3" s="39" t="s">
        <v>56</v>
      </c>
      <c r="P3" s="39" t="s">
        <v>57</v>
      </c>
      <c r="Q3" s="39" t="s">
        <v>58</v>
      </c>
      <c r="R3" s="39" t="s">
        <v>59</v>
      </c>
      <c r="S3" s="39" t="s">
        <v>60</v>
      </c>
      <c r="T3" s="39" t="s">
        <v>61</v>
      </c>
      <c r="U3" s="39" t="s">
        <v>62</v>
      </c>
      <c r="V3" s="42" t="s">
        <v>63</v>
      </c>
      <c r="W3" s="40"/>
      <c r="X3" s="40"/>
      <c r="Y3" s="40"/>
      <c r="Z3" s="40"/>
      <c r="AA3" s="40"/>
    </row>
    <row r="4" ht="15.75" customHeight="1">
      <c r="B4" s="43" t="s">
        <v>30</v>
      </c>
      <c r="C4" s="44" t="s">
        <v>65</v>
      </c>
      <c r="D4" s="44" t="s">
        <v>66</v>
      </c>
      <c r="E4" s="45">
        <f t="shared" ref="E4:E9" si="0">F4/G4</f>
        <v>0</v>
      </c>
      <c r="F4" s="46">
        <f t="shared" ref="F4:F9" si="1">SUM(H4:L4)</f>
        <v>0</v>
      </c>
      <c r="G4" s="46">
        <f t="shared" ref="G4:G9" si="2">SUM(H4:M4)</f>
        <v>3</v>
      </c>
      <c r="H4" s="46">
        <f>COUNTIF(Login!$M$13:$M$15,H$3)</f>
        <v>0</v>
      </c>
      <c r="I4" s="46">
        <f>COUNTIF(Login!$M$13:$M$15,I$3)</f>
        <v>0</v>
      </c>
      <c r="J4" s="46">
        <f>COUNTIF(Login!$M$13:$M$15,J$3)</f>
        <v>0</v>
      </c>
      <c r="K4" s="46">
        <f>COUNTIF(Login!$M$13:$M$15,K$3)</f>
        <v>0</v>
      </c>
      <c r="L4" s="46">
        <f>COUNTIF(Login!$M$13:$M$15,L$3)</f>
        <v>0</v>
      </c>
      <c r="M4" s="46">
        <f>COUNTA(Login!$G$13:$G$15)-SUM(H4:L4)</f>
        <v>3</v>
      </c>
      <c r="N4" s="45">
        <f t="shared" ref="N4:N9" si="3">O4/P4</f>
        <v>0</v>
      </c>
      <c r="O4" s="46">
        <f t="shared" ref="O4:O9" si="4">SUM(Q4:U4)</f>
        <v>0</v>
      </c>
      <c r="P4" s="46">
        <f t="shared" ref="P4:P9" si="5">SUM(Q4:V4)</f>
        <v>3</v>
      </c>
      <c r="Q4" s="46">
        <f>COUNTIF(Login!$R$13:$R$15,Q$3)</f>
        <v>0</v>
      </c>
      <c r="R4" s="46">
        <f>COUNTIF(Login!$R$13:$R$15,R$3)</f>
        <v>0</v>
      </c>
      <c r="S4" s="46">
        <f>COUNTIF(Login!$R$13:$R$15,S$3)</f>
        <v>0</v>
      </c>
      <c r="T4" s="46">
        <f>COUNTIF(Login!$R$13:$R$15,T$3)</f>
        <v>0</v>
      </c>
      <c r="U4" s="46">
        <f>COUNTIF(Login!$R$13:$R$15,U$3)</f>
        <v>0</v>
      </c>
      <c r="V4" s="46">
        <f>COUNTA(Login!$G$13:$G$15)-SUM(Q4:U4)</f>
        <v>3</v>
      </c>
    </row>
    <row r="5" ht="15.75" customHeight="1">
      <c r="B5" s="47"/>
      <c r="C5" s="44" t="s">
        <v>65</v>
      </c>
      <c r="D5" s="44" t="s">
        <v>67</v>
      </c>
      <c r="E5" s="45">
        <f t="shared" si="0"/>
        <v>0</v>
      </c>
      <c r="F5" s="46">
        <f t="shared" si="1"/>
        <v>0</v>
      </c>
      <c r="G5" s="46">
        <f t="shared" si="2"/>
        <v>4</v>
      </c>
      <c r="H5" s="46">
        <f>COUNTIF(Login!$M$16:$M$19,H$3)</f>
        <v>0</v>
      </c>
      <c r="I5" s="46">
        <f>COUNTIF(Login!$M$16:$M$19,I$3)</f>
        <v>0</v>
      </c>
      <c r="J5" s="46">
        <f>COUNTIF(Login!$M$16:$M$19,J$3)</f>
        <v>0</v>
      </c>
      <c r="K5" s="46">
        <f>COUNTIF(Login!$M$16:$M$19,K$3)</f>
        <v>0</v>
      </c>
      <c r="L5" s="46">
        <f>COUNTIF(Login!$M$16:$M$19,L$3)</f>
        <v>0</v>
      </c>
      <c r="M5" s="46">
        <f>COUNTA(Login!$G$16:$G$19)-SUM(H5:L5)</f>
        <v>4</v>
      </c>
      <c r="N5" s="45">
        <f t="shared" si="3"/>
        <v>0</v>
      </c>
      <c r="O5" s="46">
        <f t="shared" si="4"/>
        <v>0</v>
      </c>
      <c r="P5" s="46">
        <f t="shared" si="5"/>
        <v>4</v>
      </c>
      <c r="Q5" s="46">
        <f>COUNTIF(Login!$R$16:$R$19,Q$3)</f>
        <v>0</v>
      </c>
      <c r="R5" s="46">
        <f>COUNTIF(Login!$R$16:$R$19,R$3)</f>
        <v>0</v>
      </c>
      <c r="S5" s="46">
        <f>COUNTIF(Login!$R$16:$R$19,S$3)</f>
        <v>0</v>
      </c>
      <c r="T5" s="46">
        <f>COUNTIF(Login!$R$16:$R$19,T$3)</f>
        <v>0</v>
      </c>
      <c r="U5" s="46">
        <f>COUNTIF(Login!$R$16:$R$19,U$3)</f>
        <v>0</v>
      </c>
      <c r="V5" s="46">
        <f>COUNTA(Login!$G$16:$G$19)-SUM(Q5:U5)</f>
        <v>4</v>
      </c>
    </row>
    <row r="6" ht="15.75" customHeight="1">
      <c r="B6" s="47"/>
      <c r="C6" s="44" t="s">
        <v>65</v>
      </c>
      <c r="D6" s="44" t="s">
        <v>68</v>
      </c>
      <c r="E6" s="45">
        <f t="shared" si="0"/>
        <v>0</v>
      </c>
      <c r="F6" s="46">
        <f t="shared" si="1"/>
        <v>0</v>
      </c>
      <c r="G6" s="46">
        <f t="shared" si="2"/>
        <v>4</v>
      </c>
      <c r="H6" s="46">
        <f>COUNTIF(Login!$M$20:$M$23,H$3)</f>
        <v>0</v>
      </c>
      <c r="I6" s="46">
        <f>COUNTIF(Login!$M$20:$M$23,I$3)</f>
        <v>0</v>
      </c>
      <c r="J6" s="46">
        <f>COUNTIF(Login!$M$20:$M$23,J$3)</f>
        <v>0</v>
      </c>
      <c r="K6" s="46">
        <f>COUNTIF(Login!$M$20:$M$23,K$3)</f>
        <v>0</v>
      </c>
      <c r="L6" s="46">
        <f>COUNTIF(Login!$M$20:$M$23,L$3)</f>
        <v>0</v>
      </c>
      <c r="M6" s="46">
        <f>COUNTA(Login!$G$20:$G$23)-SUM(H6:L6)</f>
        <v>4</v>
      </c>
      <c r="N6" s="45">
        <f t="shared" si="3"/>
        <v>0</v>
      </c>
      <c r="O6" s="46">
        <f t="shared" si="4"/>
        <v>0</v>
      </c>
      <c r="P6" s="46">
        <f t="shared" si="5"/>
        <v>4</v>
      </c>
      <c r="Q6" s="46">
        <f>COUNTIF(Login!$R$20:$R$23,Q$3)</f>
        <v>0</v>
      </c>
      <c r="R6" s="46">
        <f>COUNTIF(Login!$R$20:$R$23,R$3)</f>
        <v>0</v>
      </c>
      <c r="S6" s="46">
        <f>COUNTIF(Login!$R$20:$R$23,S$3)</f>
        <v>0</v>
      </c>
      <c r="T6" s="46">
        <f>COUNTIF(Login!$R$20:$R$23,T$3)</f>
        <v>0</v>
      </c>
      <c r="U6" s="46">
        <f>COUNTIF(Login!$R$20:$R$23,U$3)</f>
        <v>0</v>
      </c>
      <c r="V6" s="46">
        <f>COUNTA(Login!$G$20:$G$23)-SUM(Q6:U6)</f>
        <v>4</v>
      </c>
    </row>
    <row r="7" ht="15.75" customHeight="1">
      <c r="B7" s="47"/>
      <c r="C7" s="44" t="s">
        <v>65</v>
      </c>
      <c r="D7" s="44" t="s">
        <v>69</v>
      </c>
      <c r="E7" s="45">
        <f t="shared" si="0"/>
        <v>0</v>
      </c>
      <c r="F7" s="46">
        <f t="shared" si="1"/>
        <v>0</v>
      </c>
      <c r="G7" s="46">
        <f t="shared" si="2"/>
        <v>9</v>
      </c>
      <c r="H7" s="46">
        <f>COUNTIF(Login!$M$24:$M$32,H$3)</f>
        <v>0</v>
      </c>
      <c r="I7" s="46">
        <f>COUNTIF(Login!$M$24:$M$32,I$3)</f>
        <v>0</v>
      </c>
      <c r="J7" s="46">
        <f>COUNTIF(Login!$M$24:$M$32,J$3)</f>
        <v>0</v>
      </c>
      <c r="K7" s="46">
        <f>COUNTIF(Login!$M$24:$M$32,K$3)</f>
        <v>0</v>
      </c>
      <c r="L7" s="46">
        <f>COUNTIF(Login!$M$24:$M$32,L$3)</f>
        <v>0</v>
      </c>
      <c r="M7" s="46">
        <f>COUNTA(Login!$G$24:$G$32)-SUM(H7:L7)</f>
        <v>9</v>
      </c>
      <c r="N7" s="45">
        <f t="shared" si="3"/>
        <v>0</v>
      </c>
      <c r="O7" s="46">
        <f t="shared" si="4"/>
        <v>0</v>
      </c>
      <c r="P7" s="46">
        <f t="shared" si="5"/>
        <v>9</v>
      </c>
      <c r="Q7" s="46">
        <f>COUNTIF(Login!$R$24:$R$32,Q$3)</f>
        <v>0</v>
      </c>
      <c r="R7" s="46">
        <f>COUNTIF(Login!$R$24:$R$32,R$3)</f>
        <v>0</v>
      </c>
      <c r="S7" s="46">
        <f>COUNTIF(Login!$R$24:$R$32,S$3)</f>
        <v>0</v>
      </c>
      <c r="T7" s="46">
        <f>COUNTIF(Login!$R$24:$R$32,T$3)</f>
        <v>0</v>
      </c>
      <c r="U7" s="46">
        <f>COUNTIF(Login!$R$24:$R$32,U$3)</f>
        <v>0</v>
      </c>
      <c r="V7" s="46">
        <f>COUNTA(Login!$G$24:$G$32)-SUM(Q7:U7)</f>
        <v>9</v>
      </c>
    </row>
    <row r="8" ht="15.75" customHeight="1">
      <c r="B8" s="47"/>
      <c r="C8" s="44" t="s">
        <v>65</v>
      </c>
      <c r="D8" s="44" t="s">
        <v>70</v>
      </c>
      <c r="E8" s="45">
        <f t="shared" si="0"/>
        <v>0</v>
      </c>
      <c r="F8" s="46">
        <f t="shared" si="1"/>
        <v>0</v>
      </c>
      <c r="G8" s="46">
        <f t="shared" si="2"/>
        <v>7</v>
      </c>
      <c r="H8" s="46">
        <f>COUNTIF(Login!$M$33:$M$39,H$3)</f>
        <v>0</v>
      </c>
      <c r="I8" s="46">
        <f>COUNTIF(Login!$M$33:$M$39,I$3)</f>
        <v>0</v>
      </c>
      <c r="J8" s="46">
        <f>COUNTIF(Login!$M$33:$M$39,J$3)</f>
        <v>0</v>
      </c>
      <c r="K8" s="46">
        <f>COUNTIF(Login!$M$33:$M$39,K$3)</f>
        <v>0</v>
      </c>
      <c r="L8" s="46">
        <f>COUNTIF(Login!$M$33:$M$39,L$3)</f>
        <v>0</v>
      </c>
      <c r="M8" s="46">
        <f>COUNTA(Login!$G$33:$G$39)-SUM(H8:L8)</f>
        <v>7</v>
      </c>
      <c r="N8" s="45">
        <f t="shared" si="3"/>
        <v>0</v>
      </c>
      <c r="O8" s="46">
        <f t="shared" si="4"/>
        <v>0</v>
      </c>
      <c r="P8" s="46">
        <f t="shared" si="5"/>
        <v>7</v>
      </c>
      <c r="Q8" s="46">
        <f>COUNTIF(Login!$R$33:$R$39,Q$3)</f>
        <v>0</v>
      </c>
      <c r="R8" s="46">
        <f>COUNTIF(Login!$R$33:$R$39,R$3)</f>
        <v>0</v>
      </c>
      <c r="S8" s="46">
        <f>COUNTIF(Login!$R$33:$R$39,S$3)</f>
        <v>0</v>
      </c>
      <c r="T8" s="46">
        <f>COUNTIF(Login!$R$33:$R$39,T$3)</f>
        <v>0</v>
      </c>
      <c r="U8" s="46">
        <f>COUNTIF(Login!$R$33:$R$39,U$3)</f>
        <v>0</v>
      </c>
      <c r="V8" s="46">
        <f>COUNTA(Login!$G$33:$G$39)-SUM(Q8:U8)</f>
        <v>7</v>
      </c>
    </row>
    <row r="9" ht="15.75" customHeight="1">
      <c r="B9" s="47"/>
      <c r="C9" s="44" t="s">
        <v>65</v>
      </c>
      <c r="D9" s="44" t="s">
        <v>71</v>
      </c>
      <c r="E9" s="45">
        <f t="shared" si="0"/>
        <v>0</v>
      </c>
      <c r="F9" s="46">
        <f t="shared" si="1"/>
        <v>0</v>
      </c>
      <c r="G9" s="46">
        <f t="shared" si="2"/>
        <v>4</v>
      </c>
      <c r="H9" s="46">
        <f>COUNTIF(Login!$M$40:$M$43,H$3)</f>
        <v>0</v>
      </c>
      <c r="I9" s="46">
        <f>COUNTIF(Login!$M$40:$M$43,I$3)</f>
        <v>0</v>
      </c>
      <c r="J9" s="46">
        <f>COUNTIF(Login!$M$40:$M$43,J$3)</f>
        <v>0</v>
      </c>
      <c r="K9" s="46">
        <f>COUNTIF(Login!$M$40:$M$43,K$3)</f>
        <v>0</v>
      </c>
      <c r="L9" s="46">
        <f>COUNTIF(Login!$M$40:$M$43,L$3)</f>
        <v>0</v>
      </c>
      <c r="M9" s="46">
        <f>COUNTA(Login!$G$40:$G$43)-SUM(H9:L9)</f>
        <v>4</v>
      </c>
      <c r="N9" s="45">
        <f t="shared" si="3"/>
        <v>0</v>
      </c>
      <c r="O9" s="46">
        <f t="shared" si="4"/>
        <v>0</v>
      </c>
      <c r="P9" s="46">
        <f t="shared" si="5"/>
        <v>4</v>
      </c>
      <c r="Q9" s="46">
        <f>COUNTIF(Login!$R$40:$R$43,Q$3)</f>
        <v>0</v>
      </c>
      <c r="R9" s="46">
        <f>COUNTIF(Login!$R$40:$R$43,R$3)</f>
        <v>0</v>
      </c>
      <c r="S9" s="46">
        <f>COUNTIF(Login!$R$40:$R$43,S$3)</f>
        <v>0</v>
      </c>
      <c r="T9" s="46">
        <f>COUNTIF(Login!$R$40:$R$43,T$3)</f>
        <v>0</v>
      </c>
      <c r="U9" s="46">
        <f>COUNTIF(Login!$R$40:$R$43,U$3)</f>
        <v>0</v>
      </c>
      <c r="V9" s="46">
        <f>COUNTA(Login!$G$40:$G$43)-SUM(Q9:U9)</f>
        <v>4</v>
      </c>
    </row>
    <row r="10" ht="15.75" customHeight="1">
      <c r="B10" s="47"/>
      <c r="C10" s="44" t="s">
        <v>65</v>
      </c>
      <c r="D10" s="44" t="s">
        <v>72</v>
      </c>
      <c r="E10" s="45">
        <f t="shared" ref="E10:E69" si="6">F10/G10</f>
        <v>0</v>
      </c>
      <c r="F10" s="46">
        <f t="shared" ref="F10:F68" si="7">SUM(H10:L10)</f>
        <v>0</v>
      </c>
      <c r="G10" s="46">
        <f t="shared" ref="G10:G68" si="8">SUM(H10:M10)</f>
        <v>10</v>
      </c>
      <c r="H10" s="46">
        <f>COUNTIF(Login!$M$44:$M$53,H$3)</f>
        <v>0</v>
      </c>
      <c r="I10" s="46">
        <f>COUNTIF(Login!$M$44:$M$53,I$3)</f>
        <v>0</v>
      </c>
      <c r="J10" s="46">
        <f>COUNTIF(Login!$M$44:$M$53,J$3)</f>
        <v>0</v>
      </c>
      <c r="K10" s="46">
        <f>COUNTIF(Login!$M$44:$M$53,K$3)</f>
        <v>0</v>
      </c>
      <c r="L10" s="46">
        <f>COUNTIF(Login!$M$44:$M$53,L$3)</f>
        <v>0</v>
      </c>
      <c r="M10" s="46">
        <f>COUNTA(Login!$G$44:$G$53)-SUM(H10:L10)</f>
        <v>10</v>
      </c>
      <c r="N10" s="45">
        <f t="shared" ref="N10:N69" si="9">O10/P10</f>
        <v>0</v>
      </c>
      <c r="O10" s="46">
        <f t="shared" ref="O10:O68" si="10">SUM(Q10:U10)</f>
        <v>0</v>
      </c>
      <c r="P10" s="46">
        <f t="shared" ref="P10:P68" si="11">SUM(Q10:V10)</f>
        <v>10</v>
      </c>
      <c r="Q10" s="46">
        <f>COUNTIF(Login!$R$44:$R$53,Q$3)</f>
        <v>0</v>
      </c>
      <c r="R10" s="46">
        <f>COUNTIF(Login!$R$44:$R$53,R$3)</f>
        <v>0</v>
      </c>
      <c r="S10" s="46">
        <f>COUNTIF(Login!$R$44:$R$53,S$3)</f>
        <v>0</v>
      </c>
      <c r="T10" s="46">
        <f>COUNTIF(Login!$R$44:$R$53,T$3)</f>
        <v>0</v>
      </c>
      <c r="U10" s="46">
        <f>COUNTIF(Login!$R$44:$R$53,U$3)</f>
        <v>0</v>
      </c>
      <c r="V10" s="46">
        <f>COUNTA(Login!$G$44:$G$53)-SUM(Q10:U10)</f>
        <v>10</v>
      </c>
    </row>
    <row r="11" ht="15.75" customHeight="1">
      <c r="B11" s="47"/>
      <c r="C11" s="44" t="s">
        <v>65</v>
      </c>
      <c r="D11" s="44" t="s">
        <v>73</v>
      </c>
      <c r="E11" s="45">
        <f t="shared" si="6"/>
        <v>0</v>
      </c>
      <c r="F11" s="46">
        <f t="shared" si="7"/>
        <v>0</v>
      </c>
      <c r="G11" s="46">
        <f t="shared" si="8"/>
        <v>3</v>
      </c>
      <c r="H11" s="46">
        <f>COUNTIF(Login!$M$54:$M$56,H$3)</f>
        <v>0</v>
      </c>
      <c r="I11" s="46">
        <f>COUNTIF(Login!$M$54:$M$56,I$3)</f>
        <v>0</v>
      </c>
      <c r="J11" s="46">
        <f>COUNTIF(Login!$M$54:$M$56,J$3)</f>
        <v>0</v>
      </c>
      <c r="K11" s="46">
        <f>COUNTIF(Login!$M$54:$M$56,K$3)</f>
        <v>0</v>
      </c>
      <c r="L11" s="46">
        <f>COUNTIF(Login!$M$54:$M$56,L$3)</f>
        <v>0</v>
      </c>
      <c r="M11" s="46">
        <f>COUNTA(Login!$G$54:$G$56)-SUM(H11:L11)</f>
        <v>3</v>
      </c>
      <c r="N11" s="45">
        <f t="shared" si="9"/>
        <v>0</v>
      </c>
      <c r="O11" s="46">
        <f t="shared" si="10"/>
        <v>0</v>
      </c>
      <c r="P11" s="46">
        <f t="shared" si="11"/>
        <v>3</v>
      </c>
      <c r="Q11" s="46">
        <f>COUNTIF(Login!$R$54:$R$56,Q$3)</f>
        <v>0</v>
      </c>
      <c r="R11" s="46">
        <f>COUNTIF(Login!$R$54:$R$56,R$3)</f>
        <v>0</v>
      </c>
      <c r="S11" s="46">
        <f>COUNTIF(Login!$R$54:$R$56,S$3)</f>
        <v>0</v>
      </c>
      <c r="T11" s="46">
        <f>COUNTIF(Login!$R$54:$R$56,T$3)</f>
        <v>0</v>
      </c>
      <c r="U11" s="46">
        <f>COUNTIF(Login!$R$54:$R$56,U$3)</f>
        <v>0</v>
      </c>
      <c r="V11" s="46">
        <f>COUNTA(Login!$G$54:$G$56)-SUM(Q11:U11)</f>
        <v>3</v>
      </c>
    </row>
    <row r="12" ht="15.75" customHeight="1">
      <c r="B12" s="47"/>
      <c r="C12" s="44" t="s">
        <v>65</v>
      </c>
      <c r="D12" s="44" t="s">
        <v>74</v>
      </c>
      <c r="E12" s="45">
        <f t="shared" si="6"/>
        <v>0</v>
      </c>
      <c r="F12" s="46">
        <f t="shared" si="7"/>
        <v>0</v>
      </c>
      <c r="G12" s="46">
        <f t="shared" si="8"/>
        <v>3</v>
      </c>
      <c r="H12" s="46">
        <f>COUNTIF(Login!$M$57:$M$59,H$3)</f>
        <v>0</v>
      </c>
      <c r="I12" s="46">
        <f>COUNTIF(Login!$M$57:$M$59,I$3)</f>
        <v>0</v>
      </c>
      <c r="J12" s="46">
        <f>COUNTIF(Login!$M$57:$M$59,J$3)</f>
        <v>0</v>
      </c>
      <c r="K12" s="46">
        <f>COUNTIF(Login!$M$57:$M$59,K$3)</f>
        <v>0</v>
      </c>
      <c r="L12" s="46">
        <f>COUNTIF(Login!$M$57:$M$59,L$3)</f>
        <v>0</v>
      </c>
      <c r="M12" s="46">
        <f>COUNTA(Login!$G$57:$G$59)-SUM(H12:L12)</f>
        <v>3</v>
      </c>
      <c r="N12" s="45">
        <f t="shared" si="9"/>
        <v>0</v>
      </c>
      <c r="O12" s="46">
        <f t="shared" si="10"/>
        <v>0</v>
      </c>
      <c r="P12" s="46">
        <f t="shared" si="11"/>
        <v>3</v>
      </c>
      <c r="Q12" s="46">
        <f>COUNTIF(Login!$R$57:$R$59,Q$3)</f>
        <v>0</v>
      </c>
      <c r="R12" s="46">
        <f>COUNTIF(Login!$R$57:$R$59,R$3)</f>
        <v>0</v>
      </c>
      <c r="S12" s="46">
        <f>COUNTIF(Login!$R$57:$R$59,S$3)</f>
        <v>0</v>
      </c>
      <c r="T12" s="46">
        <f>COUNTIF(Login!$R$57:$R$59,T$3)</f>
        <v>0</v>
      </c>
      <c r="U12" s="46">
        <f>COUNTIF(Login!$R$57:$R$59,U$3)</f>
        <v>0</v>
      </c>
      <c r="V12" s="46">
        <f>COUNTA(Login!$G$57:$G$59)-SUM(Q12:U12)</f>
        <v>3</v>
      </c>
    </row>
    <row r="13" ht="15.75" customHeight="1">
      <c r="B13" s="47"/>
      <c r="C13" s="44" t="s">
        <v>65</v>
      </c>
      <c r="D13" s="44" t="s">
        <v>75</v>
      </c>
      <c r="E13" s="45">
        <f t="shared" si="6"/>
        <v>0</v>
      </c>
      <c r="F13" s="46">
        <f t="shared" si="7"/>
        <v>0</v>
      </c>
      <c r="G13" s="46">
        <f t="shared" si="8"/>
        <v>5</v>
      </c>
      <c r="H13" s="46">
        <f>COUNTIF(Login!$M$60:$M$64,H$3)</f>
        <v>0</v>
      </c>
      <c r="I13" s="46">
        <f>COUNTIF(Login!$M$60:$M$64,I$3)</f>
        <v>0</v>
      </c>
      <c r="J13" s="46">
        <f>COUNTIF(Login!$M$60:$M$64,J$3)</f>
        <v>0</v>
      </c>
      <c r="K13" s="46">
        <f>COUNTIF(Login!$M$60:$M$64,K$3)</f>
        <v>0</v>
      </c>
      <c r="L13" s="46">
        <f>COUNTIF(Login!$M$60:$M$64,L$3)</f>
        <v>0</v>
      </c>
      <c r="M13" s="46">
        <f>COUNTA(Login!$G$60:$G$64)-SUM(H13:L13)</f>
        <v>5</v>
      </c>
      <c r="N13" s="45">
        <f t="shared" si="9"/>
        <v>0</v>
      </c>
      <c r="O13" s="46">
        <f t="shared" si="10"/>
        <v>0</v>
      </c>
      <c r="P13" s="46">
        <f t="shared" si="11"/>
        <v>5</v>
      </c>
      <c r="Q13" s="46">
        <f>COUNTIF(Login!$R$60:$R$64,Q$3)</f>
        <v>0</v>
      </c>
      <c r="R13" s="46">
        <f>COUNTIF(Login!$R$60:$R$64,R$3)</f>
        <v>0</v>
      </c>
      <c r="S13" s="46">
        <f>COUNTIF(Login!$R$60:$R$64,S$3)</f>
        <v>0</v>
      </c>
      <c r="T13" s="46">
        <f>COUNTIF(Login!$R$60:$R$64,T$3)</f>
        <v>0</v>
      </c>
      <c r="U13" s="46">
        <f>COUNTIF(Login!$R$60:$R$64,U$3)</f>
        <v>0</v>
      </c>
      <c r="V13" s="46">
        <f>COUNTA(Login!$G$60:$G$64)-SUM(Q13:U13)</f>
        <v>5</v>
      </c>
    </row>
    <row r="14" ht="15.75" customHeight="1">
      <c r="B14" s="12"/>
      <c r="C14" s="48" t="s">
        <v>57</v>
      </c>
      <c r="D14" s="48"/>
      <c r="E14" s="49">
        <f t="shared" si="6"/>
        <v>0</v>
      </c>
      <c r="F14" s="50">
        <f t="shared" si="7"/>
        <v>0</v>
      </c>
      <c r="G14" s="50">
        <f t="shared" si="8"/>
        <v>52</v>
      </c>
      <c r="H14" s="50">
        <f t="shared" ref="H14:M14" si="12">SUM(H4:H13)</f>
        <v>0</v>
      </c>
      <c r="I14" s="50">
        <f t="shared" si="12"/>
        <v>0</v>
      </c>
      <c r="J14" s="50">
        <f t="shared" si="12"/>
        <v>0</v>
      </c>
      <c r="K14" s="50">
        <f t="shared" si="12"/>
        <v>0</v>
      </c>
      <c r="L14" s="50">
        <f t="shared" si="12"/>
        <v>0</v>
      </c>
      <c r="M14" s="50">
        <f t="shared" si="12"/>
        <v>52</v>
      </c>
      <c r="N14" s="49">
        <f t="shared" si="9"/>
        <v>0</v>
      </c>
      <c r="O14" s="50">
        <f t="shared" si="10"/>
        <v>0</v>
      </c>
      <c r="P14" s="50">
        <f t="shared" si="11"/>
        <v>52</v>
      </c>
      <c r="Q14" s="50">
        <f t="shared" ref="Q14:V14" si="13">SUM(Q4:Q13)</f>
        <v>0</v>
      </c>
      <c r="R14" s="50">
        <f t="shared" si="13"/>
        <v>0</v>
      </c>
      <c r="S14" s="50">
        <f t="shared" si="13"/>
        <v>0</v>
      </c>
      <c r="T14" s="50">
        <f t="shared" si="13"/>
        <v>0</v>
      </c>
      <c r="U14" s="50">
        <f t="shared" si="13"/>
        <v>0</v>
      </c>
      <c r="V14" s="50">
        <f t="shared" si="13"/>
        <v>52</v>
      </c>
    </row>
    <row r="15" ht="15.75" customHeight="1">
      <c r="B15" s="43" t="s">
        <v>43</v>
      </c>
      <c r="C15" s="44" t="s">
        <v>66</v>
      </c>
      <c r="D15" s="44" t="s">
        <v>76</v>
      </c>
      <c r="E15" s="45">
        <f t="shared" si="6"/>
        <v>0</v>
      </c>
      <c r="F15" s="46">
        <f t="shared" si="7"/>
        <v>0</v>
      </c>
      <c r="G15" s="46">
        <f t="shared" si="8"/>
        <v>2</v>
      </c>
      <c r="H15" s="46">
        <f>COUNTIF(Scopes!$M$13:$M$14,H$3)</f>
        <v>0</v>
      </c>
      <c r="I15" s="46">
        <f>COUNTIF(Scopes!$M$13:$M$14,I$3)</f>
        <v>0</v>
      </c>
      <c r="J15" s="46">
        <f>COUNTIF(Scopes!$M$13:$M$14,J$3)</f>
        <v>0</v>
      </c>
      <c r="K15" s="46">
        <f>COUNTIF(Scopes!$M$13:$M$14,K$3)</f>
        <v>0</v>
      </c>
      <c r="L15" s="46">
        <f>COUNTIF(Scopes!$M$13:$M$14,L$3)</f>
        <v>0</v>
      </c>
      <c r="M15" s="46">
        <f>COUNTA(Scopes!$G$13:$G$14)-SUM(H15:L15)</f>
        <v>2</v>
      </c>
      <c r="N15" s="45">
        <f t="shared" si="9"/>
        <v>0</v>
      </c>
      <c r="O15" s="46">
        <f t="shared" si="10"/>
        <v>0</v>
      </c>
      <c r="P15" s="46">
        <f t="shared" si="11"/>
        <v>2</v>
      </c>
      <c r="Q15" s="46">
        <f>COUNTIF(Scopes!$R$13:$R$14,Q$3)</f>
        <v>0</v>
      </c>
      <c r="R15" s="46">
        <f>COUNTIF(Scopes!$R$13:$R$14,R$3)</f>
        <v>0</v>
      </c>
      <c r="S15" s="46">
        <f>COUNTIF(Scopes!$R$13:$R$14,S$3)</f>
        <v>0</v>
      </c>
      <c r="T15" s="46">
        <f>COUNTIF(Scopes!$R$13:$R$14,T$3)</f>
        <v>0</v>
      </c>
      <c r="U15" s="46">
        <f>COUNTIF(Scopes!$R$13:$R$14,U$3)</f>
        <v>0</v>
      </c>
      <c r="V15" s="46">
        <f>COUNTA(Scopes!$G$13:$G$14)-SUM(Q15:U15)</f>
        <v>2</v>
      </c>
    </row>
    <row r="16" ht="15.75" customHeight="1">
      <c r="B16" s="47"/>
      <c r="C16" s="44" t="s">
        <v>66</v>
      </c>
      <c r="D16" s="44" t="s">
        <v>77</v>
      </c>
      <c r="E16" s="45">
        <f t="shared" si="6"/>
        <v>0</v>
      </c>
      <c r="F16" s="46">
        <f t="shared" si="7"/>
        <v>0</v>
      </c>
      <c r="G16" s="46">
        <f t="shared" si="8"/>
        <v>3</v>
      </c>
      <c r="H16" s="46">
        <f>COUNTIF(Scopes!$M$15:$M$17,H$3)</f>
        <v>0</v>
      </c>
      <c r="I16" s="46">
        <f>COUNTIF(Scopes!$M$15:$M$17,I$3)</f>
        <v>0</v>
      </c>
      <c r="J16" s="46">
        <f>COUNTIF(Scopes!$M$15:$M$17,J$3)</f>
        <v>0</v>
      </c>
      <c r="K16" s="46">
        <f>COUNTIF(Scopes!$M$15:$M$17,K$3)</f>
        <v>0</v>
      </c>
      <c r="L16" s="46">
        <f>COUNTIF(Scopes!$M$15:$M$17,L$3)</f>
        <v>0</v>
      </c>
      <c r="M16" s="46">
        <f>COUNTA(Scopes!$G$15:$G$17)-SUM(H16:L16)</f>
        <v>3</v>
      </c>
      <c r="N16" s="45">
        <f t="shared" si="9"/>
        <v>0</v>
      </c>
      <c r="O16" s="46">
        <f t="shared" si="10"/>
        <v>0</v>
      </c>
      <c r="P16" s="46">
        <f t="shared" si="11"/>
        <v>3</v>
      </c>
      <c r="Q16" s="46">
        <f>COUNTIF(Scopes!$R$15:$R$17,Q$3)</f>
        <v>0</v>
      </c>
      <c r="R16" s="46">
        <f>COUNTIF(Scopes!$R$15:$R$17,R$3)</f>
        <v>0</v>
      </c>
      <c r="S16" s="46">
        <f>COUNTIF(Scopes!$R$15:$R$17,S$3)</f>
        <v>0</v>
      </c>
      <c r="T16" s="46">
        <f>COUNTIF(Scopes!$R$15:$R$17,T$3)</f>
        <v>0</v>
      </c>
      <c r="U16" s="46">
        <f>COUNTIF(Scopes!$R$15:$R$17,U$3)</f>
        <v>0</v>
      </c>
      <c r="V16" s="46">
        <f>COUNTA(Scopes!$G$15:$G$17)-SUM(Q16:U16)</f>
        <v>3</v>
      </c>
    </row>
    <row r="17" ht="15.75" customHeight="1">
      <c r="B17" s="47"/>
      <c r="C17" s="44" t="s">
        <v>78</v>
      </c>
      <c r="D17" s="44" t="s">
        <v>79</v>
      </c>
      <c r="E17" s="45">
        <f t="shared" si="6"/>
        <v>0</v>
      </c>
      <c r="F17" s="46">
        <f t="shared" si="7"/>
        <v>0</v>
      </c>
      <c r="G17" s="46">
        <f t="shared" si="8"/>
        <v>1</v>
      </c>
      <c r="H17" s="46">
        <f>COUNTIF(Scopes!$M$18:$M$18,H$3)</f>
        <v>0</v>
      </c>
      <c r="I17" s="46">
        <f>COUNTIF(Scopes!$M$18:$M$18,I$3)</f>
        <v>0</v>
      </c>
      <c r="J17" s="46">
        <f>COUNTIF(Scopes!$M$18:$M$18,J$3)</f>
        <v>0</v>
      </c>
      <c r="K17" s="46">
        <f>COUNTIF(Scopes!$M$18:$M$18,K$3)</f>
        <v>0</v>
      </c>
      <c r="L17" s="46">
        <f>COUNTIF(Scopes!$M$18:$M$18,L$3)</f>
        <v>0</v>
      </c>
      <c r="M17" s="46">
        <f>COUNTA(Scopes!$G$18:$G$18)-SUM(H17:L17)</f>
        <v>1</v>
      </c>
      <c r="N17" s="45">
        <f t="shared" si="9"/>
        <v>0</v>
      </c>
      <c r="O17" s="46">
        <f t="shared" si="10"/>
        <v>0</v>
      </c>
      <c r="P17" s="46">
        <f t="shared" si="11"/>
        <v>1</v>
      </c>
      <c r="Q17" s="46">
        <f>COUNTIF(Scopes!$R$18:$R$18,Q$3)</f>
        <v>0</v>
      </c>
      <c r="R17" s="46">
        <f>COUNTIF(Scopes!$R$18:$R$18,R$3)</f>
        <v>0</v>
      </c>
      <c r="S17" s="46">
        <f>COUNTIF(Scopes!$R$18:$R$18,S$3)</f>
        <v>0</v>
      </c>
      <c r="T17" s="46">
        <f>COUNTIF(Scopes!$R$18:$R$18,T$3)</f>
        <v>0</v>
      </c>
      <c r="U17" s="46">
        <f>COUNTIF(Scopes!$R$18:$R$18,U$3)</f>
        <v>0</v>
      </c>
      <c r="V17" s="46">
        <f>COUNTA(Scopes!$G$18:$G$18)-SUM(Q17:U17)</f>
        <v>1</v>
      </c>
    </row>
    <row r="18" ht="15.75" customHeight="1">
      <c r="B18" s="47"/>
      <c r="C18" s="44" t="s">
        <v>78</v>
      </c>
      <c r="D18" s="44" t="s">
        <v>80</v>
      </c>
      <c r="E18" s="45">
        <f t="shared" si="6"/>
        <v>0</v>
      </c>
      <c r="F18" s="46">
        <f t="shared" si="7"/>
        <v>0</v>
      </c>
      <c r="G18" s="46">
        <f t="shared" si="8"/>
        <v>20</v>
      </c>
      <c r="H18" s="46">
        <f>COUNTIF(Scopes!$M$20:$M$39,H$3)</f>
        <v>0</v>
      </c>
      <c r="I18" s="46">
        <f>COUNTIF(Scopes!$M$20:$M$39,I$3)</f>
        <v>0</v>
      </c>
      <c r="J18" s="46">
        <f>COUNTIF(Scopes!$M$20:$M$39,J$3)</f>
        <v>0</v>
      </c>
      <c r="K18" s="46">
        <f>COUNTIF(Scopes!$M$20:$M$39,K$3)</f>
        <v>0</v>
      </c>
      <c r="L18" s="46">
        <f>COUNTIF(Scopes!$M$20:$M$39,L$3)</f>
        <v>0</v>
      </c>
      <c r="M18" s="46">
        <f>COUNTA(Scopes!$G$20:$G$39)-SUM(H18:L18)</f>
        <v>20</v>
      </c>
      <c r="N18" s="45">
        <f t="shared" si="9"/>
        <v>0</v>
      </c>
      <c r="O18" s="46">
        <f t="shared" si="10"/>
        <v>0</v>
      </c>
      <c r="P18" s="46">
        <f t="shared" si="11"/>
        <v>20</v>
      </c>
      <c r="Q18" s="46">
        <f>COUNTIF(Scopes!$R$20:$R$39,Q$3)</f>
        <v>0</v>
      </c>
      <c r="R18" s="46">
        <f>COUNTIF(Scopes!$R$20:$R$39,R$3)</f>
        <v>0</v>
      </c>
      <c r="S18" s="46">
        <f>COUNTIF(Scopes!$R$20:$R$39,S$3)</f>
        <v>0</v>
      </c>
      <c r="T18" s="46">
        <f>COUNTIF(Scopes!$R$20:$R$39,T$3)</f>
        <v>0</v>
      </c>
      <c r="U18" s="46">
        <f>COUNTIF(Scopes!$R$20:$R$39,U$3)</f>
        <v>0</v>
      </c>
      <c r="V18" s="46">
        <f>COUNTA(Scopes!$G$20:$G$39)-SUM(Q18:U18)</f>
        <v>20</v>
      </c>
    </row>
    <row r="19" ht="15.75" customHeight="1">
      <c r="B19" s="47"/>
      <c r="C19" s="44" t="s">
        <v>78</v>
      </c>
      <c r="D19" s="44" t="s">
        <v>81</v>
      </c>
      <c r="E19" s="45">
        <f t="shared" si="6"/>
        <v>0</v>
      </c>
      <c r="F19" s="46">
        <f t="shared" si="7"/>
        <v>0</v>
      </c>
      <c r="G19" s="46">
        <f t="shared" si="8"/>
        <v>7</v>
      </c>
      <c r="H19" s="46">
        <f>COUNTIF(Scopes!$M$40:$M$46,H$3)</f>
        <v>0</v>
      </c>
      <c r="I19" s="46">
        <f>COUNTIF(Scopes!$M$40:$M$46,I$3)</f>
        <v>0</v>
      </c>
      <c r="J19" s="46">
        <f>COUNTIF(Scopes!$M$40:$M$46,J$3)</f>
        <v>0</v>
      </c>
      <c r="K19" s="46">
        <f>COUNTIF(Scopes!$M$40:$M$46,K$3)</f>
        <v>0</v>
      </c>
      <c r="L19" s="46">
        <f>COUNTIF(Scopes!$M$40:$M$46,L$3)</f>
        <v>0</v>
      </c>
      <c r="M19" s="46">
        <f>COUNTA(Scopes!$G$40:$G$46)-SUM(H19:L19)</f>
        <v>7</v>
      </c>
      <c r="N19" s="45">
        <f t="shared" si="9"/>
        <v>0</v>
      </c>
      <c r="O19" s="46">
        <f t="shared" si="10"/>
        <v>0</v>
      </c>
      <c r="P19" s="46">
        <f t="shared" si="11"/>
        <v>7</v>
      </c>
      <c r="Q19" s="46">
        <f>COUNTIF(Scopes!$R$40:$R$46,Q$3)</f>
        <v>0</v>
      </c>
      <c r="R19" s="46">
        <f>COUNTIF(Scopes!$R$40:$R$46,R$3)</f>
        <v>0</v>
      </c>
      <c r="S19" s="46">
        <f>COUNTIF(Scopes!$R$40:$R$46,S$3)</f>
        <v>0</v>
      </c>
      <c r="T19" s="46">
        <f>COUNTIF(Scopes!$R$40:$R$46,T$3)</f>
        <v>0</v>
      </c>
      <c r="U19" s="46">
        <f>COUNTIF(Scopes!$R$40:$R$46,U$3)</f>
        <v>0</v>
      </c>
      <c r="V19" s="46">
        <f>COUNTA(Scopes!$G$40:$G$46)-SUM(Q19:U19)</f>
        <v>7</v>
      </c>
    </row>
    <row r="20" ht="15.75" customHeight="1">
      <c r="B20" s="47"/>
      <c r="C20" s="44" t="s">
        <v>78</v>
      </c>
      <c r="D20" s="44" t="s">
        <v>82</v>
      </c>
      <c r="E20" s="45">
        <f t="shared" si="6"/>
        <v>0</v>
      </c>
      <c r="F20" s="46">
        <f t="shared" si="7"/>
        <v>0</v>
      </c>
      <c r="G20" s="46">
        <f t="shared" si="8"/>
        <v>12</v>
      </c>
      <c r="H20" s="46">
        <f>COUNTIF(Scopes!$M$47:$M$64,H$3)</f>
        <v>0</v>
      </c>
      <c r="I20" s="46">
        <f>COUNTIF(Scopes!$M$47:$M$64,I$3)</f>
        <v>0</v>
      </c>
      <c r="J20" s="46">
        <f>COUNTIF(Scopes!$M$47:$M$64,J$3)</f>
        <v>0</v>
      </c>
      <c r="K20" s="46">
        <f>COUNTIF(Scopes!$M$47:$M$64,K$3)</f>
        <v>0</v>
      </c>
      <c r="L20" s="46">
        <f>COUNTIF(Scopes!$M$47:$M$64,L$3)</f>
        <v>0</v>
      </c>
      <c r="M20" s="46">
        <f>COUNTA(Scopes!$G$47:$G$64)-SUM(H20:L20)</f>
        <v>12</v>
      </c>
      <c r="N20" s="45">
        <f t="shared" si="9"/>
        <v>0</v>
      </c>
      <c r="O20" s="46">
        <f t="shared" si="10"/>
        <v>0</v>
      </c>
      <c r="P20" s="46">
        <f t="shared" si="11"/>
        <v>12</v>
      </c>
      <c r="Q20" s="46">
        <f>COUNTIF(Scopes!$R$47:$R$64,Q$3)</f>
        <v>0</v>
      </c>
      <c r="R20" s="46">
        <f>COUNTIF(Scopes!$R$47:$R$64,R$3)</f>
        <v>0</v>
      </c>
      <c r="S20" s="46">
        <f>COUNTIF(Scopes!$R$47:$R$64,S$3)</f>
        <v>0</v>
      </c>
      <c r="T20" s="46">
        <f>COUNTIF(Scopes!$R$47:$R$64,T$3)</f>
        <v>0</v>
      </c>
      <c r="U20" s="46">
        <f>COUNTIF(Scopes!$R$47:$R$64,U$3)</f>
        <v>0</v>
      </c>
      <c r="V20" s="46">
        <f>COUNTA(Scopes!$G$47:$G$64)-SUM(Q20:U20)</f>
        <v>12</v>
      </c>
    </row>
    <row r="21" ht="15.75" customHeight="1">
      <c r="B21" s="47"/>
      <c r="C21" s="44" t="s">
        <v>78</v>
      </c>
      <c r="D21" s="44" t="s">
        <v>83</v>
      </c>
      <c r="E21" s="45">
        <f t="shared" si="6"/>
        <v>0</v>
      </c>
      <c r="F21" s="46">
        <f t="shared" si="7"/>
        <v>0</v>
      </c>
      <c r="G21" s="46">
        <f t="shared" si="8"/>
        <v>4</v>
      </c>
      <c r="H21" s="46">
        <f>COUNTIF(Scopes!$M$65:$M$69,H$3)</f>
        <v>0</v>
      </c>
      <c r="I21" s="46">
        <f>COUNTIF(Scopes!$M$65:$M$69,I$3)</f>
        <v>0</v>
      </c>
      <c r="J21" s="46">
        <f>COUNTIF(Scopes!$M$65:$M$69,J$3)</f>
        <v>0</v>
      </c>
      <c r="K21" s="46">
        <f>COUNTIF(Scopes!$M$65:$M$69,K$3)</f>
        <v>0</v>
      </c>
      <c r="L21" s="46">
        <f>COUNTIF(Scopes!$M$65:$M$69,L$3)</f>
        <v>0</v>
      </c>
      <c r="M21" s="46">
        <f>COUNTA(Scopes!$G$65:$G$69)-SUM(H21:L21)</f>
        <v>4</v>
      </c>
      <c r="N21" s="45">
        <f t="shared" si="9"/>
        <v>0</v>
      </c>
      <c r="O21" s="46">
        <f t="shared" si="10"/>
        <v>0</v>
      </c>
      <c r="P21" s="46">
        <f t="shared" si="11"/>
        <v>4</v>
      </c>
      <c r="Q21" s="46">
        <f>COUNTIF(Scopes!$R$65:$R$69,Q$3)</f>
        <v>0</v>
      </c>
      <c r="R21" s="46">
        <f>COUNTIF(Scopes!$R$65:$R$69,R$3)</f>
        <v>0</v>
      </c>
      <c r="S21" s="46">
        <f>COUNTIF(Scopes!$R$65:$R$69,S$3)</f>
        <v>0</v>
      </c>
      <c r="T21" s="46">
        <f>COUNTIF(Scopes!$R$65:$R$69,T$3)</f>
        <v>0</v>
      </c>
      <c r="U21" s="46">
        <f>COUNTIF(Scopes!$R$65:$R$69,U$3)</f>
        <v>0</v>
      </c>
      <c r="V21" s="46">
        <f>COUNTA(Scopes!$G$65:$G$69)-SUM(Q21:U21)</f>
        <v>4</v>
      </c>
    </row>
    <row r="22" ht="15.75" customHeight="1">
      <c r="B22" s="47"/>
      <c r="C22" s="44" t="s">
        <v>78</v>
      </c>
      <c r="D22" s="44" t="s">
        <v>84</v>
      </c>
      <c r="E22" s="45">
        <f t="shared" si="6"/>
        <v>0</v>
      </c>
      <c r="F22" s="46">
        <f t="shared" si="7"/>
        <v>0</v>
      </c>
      <c r="G22" s="46">
        <f t="shared" si="8"/>
        <v>1</v>
      </c>
      <c r="H22" s="46">
        <f>COUNTIF(Scopes!$M$19,H$3)</f>
        <v>0</v>
      </c>
      <c r="I22" s="46">
        <f>COUNTIF(Scopes!$M$19,I$3)</f>
        <v>0</v>
      </c>
      <c r="J22" s="46">
        <f>COUNTIF(Scopes!$M$19,J$3)</f>
        <v>0</v>
      </c>
      <c r="K22" s="46">
        <f>COUNTIF(Scopes!$M$19,K$3)</f>
        <v>0</v>
      </c>
      <c r="L22" s="46">
        <f>COUNTIF(Scopes!$M$19,L$3)</f>
        <v>0</v>
      </c>
      <c r="M22" s="46">
        <f>COUNTA(Scopes!$G$19)-SUM(H22:L22)</f>
        <v>1</v>
      </c>
      <c r="N22" s="45">
        <f t="shared" si="9"/>
        <v>0</v>
      </c>
      <c r="O22" s="46">
        <f t="shared" si="10"/>
        <v>0</v>
      </c>
      <c r="P22" s="46">
        <f t="shared" si="11"/>
        <v>1</v>
      </c>
      <c r="Q22" s="46">
        <f>COUNTIF(Scopes!$R$19,Q$3)</f>
        <v>0</v>
      </c>
      <c r="R22" s="46">
        <f>COUNTIF(Scopes!$R$19,R$3)</f>
        <v>0</v>
      </c>
      <c r="S22" s="46">
        <f>COUNTIF(Scopes!$R$19,S$3)</f>
        <v>0</v>
      </c>
      <c r="T22" s="46">
        <f>COUNTIF(Scopes!$R$19,T$3)</f>
        <v>0</v>
      </c>
      <c r="U22" s="46">
        <f>COUNTIF(Scopes!$R$19,U$3)</f>
        <v>0</v>
      </c>
      <c r="V22" s="46">
        <f>COUNTA(Scopes!$G$19)-SUM(Q22:U22)</f>
        <v>1</v>
      </c>
    </row>
    <row r="23" ht="15.75" customHeight="1">
      <c r="B23" s="47"/>
      <c r="C23" s="44" t="s">
        <v>85</v>
      </c>
      <c r="D23" s="44" t="s">
        <v>86</v>
      </c>
      <c r="E23" s="45">
        <f t="shared" si="6"/>
        <v>0</v>
      </c>
      <c r="F23" s="46">
        <f t="shared" si="7"/>
        <v>0</v>
      </c>
      <c r="G23" s="46">
        <f t="shared" si="8"/>
        <v>5</v>
      </c>
      <c r="H23" s="46">
        <f>COUNTIF(Scopes!$M$70:$M$76,H$3)</f>
        <v>0</v>
      </c>
      <c r="I23" s="46">
        <f>COUNTIF(Scopes!$M$70:$M$76,I$3)</f>
        <v>0</v>
      </c>
      <c r="J23" s="46">
        <f>COUNTIF(Scopes!$M$70:$M$76,J$3)</f>
        <v>0</v>
      </c>
      <c r="K23" s="46">
        <f>COUNTIF(Scopes!$M$70:$M$76,K$3)</f>
        <v>0</v>
      </c>
      <c r="L23" s="46">
        <f>COUNTIF(Scopes!$M$70:$M$76,L$3)</f>
        <v>0</v>
      </c>
      <c r="M23" s="46">
        <f>COUNTA(Scopes!$G$70:$G$76)-SUM(H23:L23)</f>
        <v>5</v>
      </c>
      <c r="N23" s="45">
        <f t="shared" si="9"/>
        <v>0</v>
      </c>
      <c r="O23" s="46">
        <f t="shared" si="10"/>
        <v>0</v>
      </c>
      <c r="P23" s="46">
        <f t="shared" si="11"/>
        <v>5</v>
      </c>
      <c r="Q23" s="46">
        <f>COUNTIF(Scopes!$R$70:$R$76,Q$3)</f>
        <v>0</v>
      </c>
      <c r="R23" s="46">
        <f>COUNTIF(Scopes!$R$70:$R$76,R$3)</f>
        <v>0</v>
      </c>
      <c r="S23" s="46">
        <f>COUNTIF(Scopes!$R$70:$R$76,S$3)</f>
        <v>0</v>
      </c>
      <c r="T23" s="46">
        <f>COUNTIF(Scopes!$R$70:$R$76,T$3)</f>
        <v>0</v>
      </c>
      <c r="U23" s="46">
        <f>COUNTIF(Scopes!$R$70:$R$76,U$3)</f>
        <v>0</v>
      </c>
      <c r="V23" s="46">
        <f>COUNTA(Scopes!$G$70:$G$76)-SUM(Q23:U23)</f>
        <v>5</v>
      </c>
    </row>
    <row r="24" ht="15.75" customHeight="1">
      <c r="B24" s="47"/>
      <c r="C24" s="44" t="s">
        <v>85</v>
      </c>
      <c r="D24" s="44" t="s">
        <v>87</v>
      </c>
      <c r="E24" s="45">
        <f t="shared" si="6"/>
        <v>0</v>
      </c>
      <c r="F24" s="46">
        <f t="shared" si="7"/>
        <v>0</v>
      </c>
      <c r="G24" s="46">
        <f t="shared" si="8"/>
        <v>2</v>
      </c>
      <c r="H24" s="46">
        <f>COUNTIF(Scopes!$M$77:$M$78,H$3)</f>
        <v>0</v>
      </c>
      <c r="I24" s="46">
        <f>COUNTIF(Scopes!$M$77:$M$78,I$3)</f>
        <v>0</v>
      </c>
      <c r="J24" s="46">
        <f>COUNTIF(Scopes!$M$77:$M$78,J$3)</f>
        <v>0</v>
      </c>
      <c r="K24" s="46">
        <f>COUNTIF(Scopes!$M$77:$M$78,K$3)</f>
        <v>0</v>
      </c>
      <c r="L24" s="46">
        <f>COUNTIF(Scopes!$M$77:$M$78,L$3)</f>
        <v>0</v>
      </c>
      <c r="M24" s="46">
        <f>COUNTA(Scopes!$G$77:$G$78)-SUM(H24:L24)</f>
        <v>2</v>
      </c>
      <c r="N24" s="45">
        <f t="shared" si="9"/>
        <v>0</v>
      </c>
      <c r="O24" s="46">
        <f t="shared" si="10"/>
        <v>0</v>
      </c>
      <c r="P24" s="46">
        <f t="shared" si="11"/>
        <v>2</v>
      </c>
      <c r="Q24" s="46">
        <f>COUNTIF(Scopes!$R$77:$R$78,Q$3)</f>
        <v>0</v>
      </c>
      <c r="R24" s="46">
        <f>COUNTIF(Scopes!$R$77:$R$78,R$3)</f>
        <v>0</v>
      </c>
      <c r="S24" s="46">
        <f>COUNTIF(Scopes!$R$77:$R$78,S$3)</f>
        <v>0</v>
      </c>
      <c r="T24" s="46">
        <f>COUNTIF(Scopes!$R$77:$R$78,T$3)</f>
        <v>0</v>
      </c>
      <c r="U24" s="46">
        <f>COUNTIF(Scopes!$R$77:$R$78,U$3)</f>
        <v>0</v>
      </c>
      <c r="V24" s="46">
        <f>COUNTA(Scopes!$G$77:$G$78)-SUM(Q24:U24)</f>
        <v>2</v>
      </c>
    </row>
    <row r="25" ht="15.75" customHeight="1">
      <c r="B25" s="47"/>
      <c r="C25" s="44" t="s">
        <v>85</v>
      </c>
      <c r="D25" s="44" t="s">
        <v>88</v>
      </c>
      <c r="E25" s="45">
        <f t="shared" si="6"/>
        <v>0</v>
      </c>
      <c r="F25" s="46">
        <f t="shared" si="7"/>
        <v>0</v>
      </c>
      <c r="G25" s="46">
        <f t="shared" si="8"/>
        <v>4</v>
      </c>
      <c r="H25" s="46">
        <f>COUNTIF(Scopes!$M$79:$M$82,H$3)</f>
        <v>0</v>
      </c>
      <c r="I25" s="46">
        <f>COUNTIF(Scopes!$M$79:$M$82,I$3)</f>
        <v>0</v>
      </c>
      <c r="J25" s="46">
        <f>COUNTIF(Scopes!$M$79:$M$82,J$3)</f>
        <v>0</v>
      </c>
      <c r="K25" s="46">
        <f>COUNTIF(Scopes!$M$79:$M$82,K$3)</f>
        <v>0</v>
      </c>
      <c r="L25" s="46">
        <f>COUNTIF(Scopes!$M$79:$M$82,L$3)</f>
        <v>0</v>
      </c>
      <c r="M25" s="46">
        <f>COUNTA(Scopes!$G$79:$G$82)-SUM(H25:L25)</f>
        <v>4</v>
      </c>
      <c r="N25" s="45">
        <f t="shared" si="9"/>
        <v>0</v>
      </c>
      <c r="O25" s="46">
        <f t="shared" si="10"/>
        <v>0</v>
      </c>
      <c r="P25" s="46">
        <f t="shared" si="11"/>
        <v>4</v>
      </c>
      <c r="Q25" s="46">
        <f>COUNTIF(Scopes!$R$79:$R$82,Q$3)</f>
        <v>0</v>
      </c>
      <c r="R25" s="46">
        <f>COUNTIF(Scopes!$R$79:$R$82,R$3)</f>
        <v>0</v>
      </c>
      <c r="S25" s="46">
        <f>COUNTIF(Scopes!$R$79:$R$82,S$3)</f>
        <v>0</v>
      </c>
      <c r="T25" s="46">
        <f>COUNTIF(Scopes!$R$79:$R$82,T$3)</f>
        <v>0</v>
      </c>
      <c r="U25" s="46">
        <f>COUNTIF(Scopes!$R$79:$R$82,U$3)</f>
        <v>0</v>
      </c>
      <c r="V25" s="46">
        <f>COUNTA(Scopes!$G$79:$G$82)-SUM(Q25:U25)</f>
        <v>4</v>
      </c>
    </row>
    <row r="26" ht="15.75" customHeight="1">
      <c r="B26" s="47"/>
      <c r="C26" s="44" t="s">
        <v>85</v>
      </c>
      <c r="D26" s="44" t="s">
        <v>89</v>
      </c>
      <c r="E26" s="45">
        <f t="shared" si="6"/>
        <v>0</v>
      </c>
      <c r="F26" s="46">
        <f t="shared" si="7"/>
        <v>0</v>
      </c>
      <c r="G26" s="46">
        <f t="shared" si="8"/>
        <v>11</v>
      </c>
      <c r="H26" s="46">
        <f>COUNTIF(Scopes!$M$83:$M$93,H$3)</f>
        <v>0</v>
      </c>
      <c r="I26" s="46">
        <f>COUNTIF(Scopes!$M$83:$M$93,I$3)</f>
        <v>0</v>
      </c>
      <c r="J26" s="46">
        <f>COUNTIF(Scopes!$M$83:$M$93,J$3)</f>
        <v>0</v>
      </c>
      <c r="K26" s="46">
        <f>COUNTIF(Scopes!$M$83:$M$93,K$3)</f>
        <v>0</v>
      </c>
      <c r="L26" s="46">
        <f>COUNTIF(Scopes!$M$83:$M$93,L$3)</f>
        <v>0</v>
      </c>
      <c r="M26" s="46">
        <f>COUNTA(Scopes!$G$83:$G$93)-SUM(H26:L26)</f>
        <v>11</v>
      </c>
      <c r="N26" s="45">
        <f t="shared" si="9"/>
        <v>0</v>
      </c>
      <c r="O26" s="46">
        <f t="shared" si="10"/>
        <v>0</v>
      </c>
      <c r="P26" s="46">
        <f t="shared" si="11"/>
        <v>11</v>
      </c>
      <c r="Q26" s="46">
        <f>COUNTIF(Scopes!$R$83:$R$93,Q$3)</f>
        <v>0</v>
      </c>
      <c r="R26" s="46">
        <f>COUNTIF(Scopes!$R$83:$R$93,R$3)</f>
        <v>0</v>
      </c>
      <c r="S26" s="46">
        <f>COUNTIF(Scopes!$R$83:$R$93,S$3)</f>
        <v>0</v>
      </c>
      <c r="T26" s="46">
        <f>COUNTIF(Scopes!$R$83:$R$93,T$3)</f>
        <v>0</v>
      </c>
      <c r="U26" s="46">
        <f>COUNTIF(Scopes!$R$83:$R$93,U$3)</f>
        <v>0</v>
      </c>
      <c r="V26" s="46">
        <f>COUNTA(Scopes!$G$83:$G$93)-SUM(Q26:U26)</f>
        <v>11</v>
      </c>
    </row>
    <row r="27" ht="15.75" customHeight="1">
      <c r="B27" s="47"/>
      <c r="C27" s="44" t="s">
        <v>85</v>
      </c>
      <c r="D27" s="44" t="s">
        <v>90</v>
      </c>
      <c r="E27" s="45">
        <f t="shared" si="6"/>
        <v>0</v>
      </c>
      <c r="F27" s="46">
        <f t="shared" si="7"/>
        <v>0</v>
      </c>
      <c r="G27" s="46">
        <f t="shared" si="8"/>
        <v>7</v>
      </c>
      <c r="H27" s="46">
        <f>COUNTIF(Scopes!$M$94:$M$100,H$3)</f>
        <v>0</v>
      </c>
      <c r="I27" s="46">
        <f>COUNTIF(Scopes!$M$94:$M$100,I$3)</f>
        <v>0</v>
      </c>
      <c r="J27" s="46">
        <f>COUNTIF(Scopes!$M$94:$M$100,J$3)</f>
        <v>0</v>
      </c>
      <c r="K27" s="46">
        <f>COUNTIF(Scopes!$M$94:$M$100,K$3)</f>
        <v>0</v>
      </c>
      <c r="L27" s="46">
        <f>COUNTIF(Scopes!$M$94:$M$100,L$3)</f>
        <v>0</v>
      </c>
      <c r="M27" s="46">
        <f>COUNTA(Scopes!$G$94:$G$100)-SUM(H27:L27)</f>
        <v>7</v>
      </c>
      <c r="N27" s="45">
        <f t="shared" si="9"/>
        <v>0</v>
      </c>
      <c r="O27" s="46">
        <f t="shared" si="10"/>
        <v>0</v>
      </c>
      <c r="P27" s="46">
        <f t="shared" si="11"/>
        <v>7</v>
      </c>
      <c r="Q27" s="46">
        <f>COUNTIF(Scopes!$R$94:$R$100,Q$3)</f>
        <v>0</v>
      </c>
      <c r="R27" s="46">
        <f>COUNTIF(Scopes!$R$94:$R$100,R$3)</f>
        <v>0</v>
      </c>
      <c r="S27" s="46">
        <f>COUNTIF(Scopes!$R$94:$R$100,S$3)</f>
        <v>0</v>
      </c>
      <c r="T27" s="46">
        <f>COUNTIF(Scopes!$R$94:$R$100,T$3)</f>
        <v>0</v>
      </c>
      <c r="U27" s="46">
        <f>COUNTIF(Scopes!$R$94:$R$100,U$3)</f>
        <v>0</v>
      </c>
      <c r="V27" s="46">
        <f>COUNTA(Scopes!$G$94:$G$100)-SUM(Q27:U27)</f>
        <v>7</v>
      </c>
    </row>
    <row r="28" ht="15.75" customHeight="1">
      <c r="B28" s="47"/>
      <c r="C28" s="44" t="s">
        <v>85</v>
      </c>
      <c r="D28" s="44" t="s">
        <v>91</v>
      </c>
      <c r="E28" s="45">
        <f t="shared" si="6"/>
        <v>0</v>
      </c>
      <c r="F28" s="46">
        <f t="shared" si="7"/>
        <v>0</v>
      </c>
      <c r="G28" s="46">
        <f t="shared" si="8"/>
        <v>13</v>
      </c>
      <c r="H28" s="46">
        <f>COUNTIF(Scopes!$M$101:$M$113,H$3)</f>
        <v>0</v>
      </c>
      <c r="I28" s="46">
        <f>COUNTIF(Scopes!$M$101:$M$113,I$3)</f>
        <v>0</v>
      </c>
      <c r="J28" s="46">
        <f>COUNTIF(Scopes!$M$101:$M$113,J$3)</f>
        <v>0</v>
      </c>
      <c r="K28" s="46">
        <f>COUNTIF(Scopes!$M$101:$M$113,K$3)</f>
        <v>0</v>
      </c>
      <c r="L28" s="46">
        <f>COUNTIF(Scopes!$M$101:$M$113,L$3)</f>
        <v>0</v>
      </c>
      <c r="M28" s="46">
        <f>COUNTA(Scopes!$G$101:$G$113)-SUM(H28:L28)</f>
        <v>13</v>
      </c>
      <c r="N28" s="45">
        <f t="shared" si="9"/>
        <v>0</v>
      </c>
      <c r="O28" s="46">
        <f t="shared" si="10"/>
        <v>0</v>
      </c>
      <c r="P28" s="46">
        <f t="shared" si="11"/>
        <v>13</v>
      </c>
      <c r="Q28" s="46">
        <f>COUNTIF(Scopes!$R$101:$R$113,Q$3)</f>
        <v>0</v>
      </c>
      <c r="R28" s="46">
        <f>COUNTIF(Scopes!$R$101:$R$113,R$3)</f>
        <v>0</v>
      </c>
      <c r="S28" s="46">
        <f>COUNTIF(Scopes!$R$101:$R$113,S$3)</f>
        <v>0</v>
      </c>
      <c r="T28" s="46">
        <f>COUNTIF(Scopes!$R$101:$R$113,T$3)</f>
        <v>0</v>
      </c>
      <c r="U28" s="46">
        <f>COUNTIF(Scopes!$R$101:$R$113,U$3)</f>
        <v>0</v>
      </c>
      <c r="V28" s="46">
        <f>COUNTA(Scopes!$G$101:$G$113)-SUM(Q28:U28)</f>
        <v>13</v>
      </c>
    </row>
    <row r="29" ht="15.75" customHeight="1">
      <c r="B29" s="47"/>
      <c r="C29" s="44" t="s">
        <v>85</v>
      </c>
      <c r="D29" s="44" t="s">
        <v>92</v>
      </c>
      <c r="E29" s="45">
        <f t="shared" si="6"/>
        <v>0</v>
      </c>
      <c r="F29" s="46">
        <f t="shared" si="7"/>
        <v>0</v>
      </c>
      <c r="G29" s="46">
        <f t="shared" si="8"/>
        <v>1</v>
      </c>
      <c r="H29" s="46">
        <f>COUNTIF(Scopes!$M$114,H$3)</f>
        <v>0</v>
      </c>
      <c r="I29" s="46">
        <f>COUNTIF(Scopes!$M$114,I$3)</f>
        <v>0</v>
      </c>
      <c r="J29" s="46">
        <f>COUNTIF(Scopes!$M$114,J$3)</f>
        <v>0</v>
      </c>
      <c r="K29" s="46">
        <f>COUNTIF(Scopes!$M$114,K$3)</f>
        <v>0</v>
      </c>
      <c r="L29" s="46">
        <f>COUNTIF(Scopes!$M$114,L$3)</f>
        <v>0</v>
      </c>
      <c r="M29" s="46">
        <f>COUNTA(Scopes!$G$114)-SUM(H29:L29)</f>
        <v>1</v>
      </c>
      <c r="N29" s="45">
        <f t="shared" si="9"/>
        <v>0</v>
      </c>
      <c r="O29" s="46">
        <f t="shared" si="10"/>
        <v>0</v>
      </c>
      <c r="P29" s="46">
        <f t="shared" si="11"/>
        <v>1</v>
      </c>
      <c r="Q29" s="46">
        <f>COUNTIF(Scopes!$R$114,Q$3)</f>
        <v>0</v>
      </c>
      <c r="R29" s="46">
        <f>COUNTIF(Scopes!$R$114,R$3)</f>
        <v>0</v>
      </c>
      <c r="S29" s="46">
        <f>COUNTIF(Scopes!$R$114,S$3)</f>
        <v>0</v>
      </c>
      <c r="T29" s="46">
        <f>COUNTIF(Scopes!$R$114,T$3)</f>
        <v>0</v>
      </c>
      <c r="U29" s="46">
        <f>COUNTIF(Scopes!$R$114,U$3)</f>
        <v>0</v>
      </c>
      <c r="V29" s="46">
        <f>COUNTA(Scopes!$G$114)-SUM(Q29:U29)</f>
        <v>1</v>
      </c>
    </row>
    <row r="30" ht="15.75" customHeight="1">
      <c r="B30" s="47"/>
      <c r="C30" s="44" t="s">
        <v>85</v>
      </c>
      <c r="D30" s="44" t="s">
        <v>93</v>
      </c>
      <c r="E30" s="45">
        <f t="shared" si="6"/>
        <v>0</v>
      </c>
      <c r="F30" s="46">
        <f t="shared" si="7"/>
        <v>0</v>
      </c>
      <c r="G30" s="46">
        <f t="shared" si="8"/>
        <v>6</v>
      </c>
      <c r="H30" s="46">
        <f>COUNTIF(Scopes!$M$115:$M$120,H$3)</f>
        <v>0</v>
      </c>
      <c r="I30" s="46">
        <f>COUNTIF(Scopes!$M$115:$M$120,I$3)</f>
        <v>0</v>
      </c>
      <c r="J30" s="46">
        <f>COUNTIF(Scopes!$M$115:$M$120,J$3)</f>
        <v>0</v>
      </c>
      <c r="K30" s="46">
        <f>COUNTIF(Scopes!$M$115:$M$120,K$3)</f>
        <v>0</v>
      </c>
      <c r="L30" s="46">
        <f>COUNTIF(Scopes!$M$115:$M$120,L$3)</f>
        <v>0</v>
      </c>
      <c r="M30" s="46">
        <f>COUNTA(Scopes!$G$115:$G$120)-SUM(H30:L30)</f>
        <v>6</v>
      </c>
      <c r="N30" s="45">
        <f t="shared" si="9"/>
        <v>0</v>
      </c>
      <c r="O30" s="46">
        <f t="shared" si="10"/>
        <v>0</v>
      </c>
      <c r="P30" s="46">
        <f t="shared" si="11"/>
        <v>6</v>
      </c>
      <c r="Q30" s="46">
        <f>COUNTIF(Scopes!$R$115:$R$120,Q$3)</f>
        <v>0</v>
      </c>
      <c r="R30" s="46">
        <f>COUNTIF(Scopes!$R$115:$R$120,R$3)</f>
        <v>0</v>
      </c>
      <c r="S30" s="46">
        <f>COUNTIF(Scopes!$R$115:$R$120,S$3)</f>
        <v>0</v>
      </c>
      <c r="T30" s="46">
        <f>COUNTIF(Scopes!$R$115:$R$120,T$3)</f>
        <v>0</v>
      </c>
      <c r="U30" s="46">
        <f>COUNTIF(Scopes!$R$115:$R$120,U$3)</f>
        <v>0</v>
      </c>
      <c r="V30" s="46">
        <f>COUNTA(Scopes!$G$115:$G$120)-SUM(Q30:U30)</f>
        <v>6</v>
      </c>
    </row>
    <row r="31" ht="15.75" customHeight="1">
      <c r="B31" s="47"/>
      <c r="C31" s="44" t="s">
        <v>85</v>
      </c>
      <c r="D31" s="44" t="s">
        <v>94</v>
      </c>
      <c r="E31" s="45">
        <f t="shared" si="6"/>
        <v>0</v>
      </c>
      <c r="F31" s="46">
        <f t="shared" si="7"/>
        <v>0</v>
      </c>
      <c r="G31" s="46">
        <f t="shared" si="8"/>
        <v>3</v>
      </c>
      <c r="H31" s="46">
        <f>COUNTIF(Scopes!$M$121:$M$123,H$3)</f>
        <v>0</v>
      </c>
      <c r="I31" s="46">
        <f>COUNTIF(Scopes!$M$121:$M$123,I$3)</f>
        <v>0</v>
      </c>
      <c r="J31" s="46">
        <f>COUNTIF(Scopes!$M$121:$M$123,J$3)</f>
        <v>0</v>
      </c>
      <c r="K31" s="46">
        <f>COUNTIF(Scopes!$M$121:$M$123,K$3)</f>
        <v>0</v>
      </c>
      <c r="L31" s="46">
        <f>COUNTIF(Scopes!$M$121:$M$123,L$3)</f>
        <v>0</v>
      </c>
      <c r="M31" s="46">
        <f>COUNTA(Scopes!$G$121:$G$123)-SUM(H31:L31)</f>
        <v>3</v>
      </c>
      <c r="N31" s="45">
        <f t="shared" si="9"/>
        <v>0</v>
      </c>
      <c r="O31" s="46">
        <f t="shared" si="10"/>
        <v>0</v>
      </c>
      <c r="P31" s="46">
        <f t="shared" si="11"/>
        <v>3</v>
      </c>
      <c r="Q31" s="46">
        <f>COUNTIF(Scopes!$R$121:$R$123,Q$3)</f>
        <v>0</v>
      </c>
      <c r="R31" s="46">
        <f>COUNTIF(Scopes!$R$121:$R$123,R$3)</f>
        <v>0</v>
      </c>
      <c r="S31" s="46">
        <f>COUNTIF(Scopes!$R$121:$R$123,S$3)</f>
        <v>0</v>
      </c>
      <c r="T31" s="46">
        <f>COUNTIF(Scopes!$R$121:$R$123,T$3)</f>
        <v>0</v>
      </c>
      <c r="U31" s="46">
        <f>COUNTIF(Scopes!$R$121:$R$123,U$3)</f>
        <v>0</v>
      </c>
      <c r="V31" s="46">
        <f>COUNTA(Scopes!$G$121:$G$123)-SUM(Q31:U31)</f>
        <v>3</v>
      </c>
    </row>
    <row r="32" ht="15.75" customHeight="1">
      <c r="B32" s="47"/>
      <c r="C32" s="44" t="s">
        <v>85</v>
      </c>
      <c r="D32" s="44" t="s">
        <v>95</v>
      </c>
      <c r="E32" s="45">
        <f t="shared" si="6"/>
        <v>0</v>
      </c>
      <c r="F32" s="46">
        <f t="shared" si="7"/>
        <v>0</v>
      </c>
      <c r="G32" s="46">
        <f t="shared" si="8"/>
        <v>9</v>
      </c>
      <c r="H32" s="46">
        <f>COUNTIF(Scopes!$M$124:$M$132,H$3)</f>
        <v>0</v>
      </c>
      <c r="I32" s="46">
        <f>COUNTIF(Scopes!$M$124:$M$132,I$3)</f>
        <v>0</v>
      </c>
      <c r="J32" s="46">
        <f>COUNTIF(Scopes!$M$124:$M$132,J$3)</f>
        <v>0</v>
      </c>
      <c r="K32" s="46">
        <f>COUNTIF(Scopes!$M$124:$M$132,K$3)</f>
        <v>0</v>
      </c>
      <c r="L32" s="46">
        <f>COUNTIF(Scopes!$M$124:$M$132,L$3)</f>
        <v>0</v>
      </c>
      <c r="M32" s="46">
        <f>COUNTA(Scopes!$G$124:$G$132)-SUM(H32:L32)</f>
        <v>9</v>
      </c>
      <c r="N32" s="45">
        <f t="shared" si="9"/>
        <v>0</v>
      </c>
      <c r="O32" s="46">
        <f t="shared" si="10"/>
        <v>0</v>
      </c>
      <c r="P32" s="46">
        <f t="shared" si="11"/>
        <v>9</v>
      </c>
      <c r="Q32" s="46">
        <f>COUNTIF(Scopes!$R$124:$R$132,Q$3)</f>
        <v>0</v>
      </c>
      <c r="R32" s="46">
        <f>COUNTIF(Scopes!$R$124:$R$132,R$3)</f>
        <v>0</v>
      </c>
      <c r="S32" s="46">
        <f>COUNTIF(Scopes!$R$124:$R$132,S$3)</f>
        <v>0</v>
      </c>
      <c r="T32" s="46">
        <f>COUNTIF(Scopes!$R$124:$R$132,T$3)</f>
        <v>0</v>
      </c>
      <c r="U32" s="46">
        <f>COUNTIF(Scopes!$R$124:$R$132,U$3)</f>
        <v>0</v>
      </c>
      <c r="V32" s="46">
        <f>COUNTA(Scopes!$G$124:$G$132)-SUM(Q32:U32)</f>
        <v>9</v>
      </c>
    </row>
    <row r="33" ht="15.75" customHeight="1">
      <c r="B33" s="47"/>
      <c r="C33" s="44" t="s">
        <v>85</v>
      </c>
      <c r="D33" s="44" t="s">
        <v>96</v>
      </c>
      <c r="E33" s="45">
        <f t="shared" si="6"/>
        <v>0</v>
      </c>
      <c r="F33" s="46">
        <f t="shared" si="7"/>
        <v>0</v>
      </c>
      <c r="G33" s="46">
        <f t="shared" si="8"/>
        <v>1</v>
      </c>
      <c r="H33" s="46">
        <f>COUNTIF(Scopes!$M$133,H$3)</f>
        <v>0</v>
      </c>
      <c r="I33" s="46">
        <f>COUNTIF(Scopes!$M$133,I$3)</f>
        <v>0</v>
      </c>
      <c r="J33" s="46">
        <f>COUNTIF(Scopes!$M$133,J$3)</f>
        <v>0</v>
      </c>
      <c r="K33" s="46">
        <f>COUNTIF(Scopes!$M$133,K$3)</f>
        <v>0</v>
      </c>
      <c r="L33" s="46">
        <f>COUNTIF(Scopes!$M$133,L$3)</f>
        <v>0</v>
      </c>
      <c r="M33" s="46">
        <f>COUNTA(Scopes!$G$133)-SUM(H33:L33)</f>
        <v>1</v>
      </c>
      <c r="N33" s="45">
        <f t="shared" si="9"/>
        <v>0</v>
      </c>
      <c r="O33" s="46">
        <f t="shared" si="10"/>
        <v>0</v>
      </c>
      <c r="P33" s="46">
        <f t="shared" si="11"/>
        <v>1</v>
      </c>
      <c r="Q33" s="46">
        <f>COUNTIF(Scopes!$R$133,Q$3)</f>
        <v>0</v>
      </c>
      <c r="R33" s="46">
        <f>COUNTIF(Scopes!$R$133,R$3)</f>
        <v>0</v>
      </c>
      <c r="S33" s="46">
        <f>COUNTIF(Scopes!$R$133,S$3)</f>
        <v>0</v>
      </c>
      <c r="T33" s="46">
        <f>COUNTIF(Scopes!$R$133,T$3)</f>
        <v>0</v>
      </c>
      <c r="U33" s="46">
        <f>COUNTIF(Scopes!$R$133,U$3)</f>
        <v>0</v>
      </c>
      <c r="V33" s="46">
        <f>COUNTA(Scopes!$G$133)-SUM(Q33:U33)</f>
        <v>1</v>
      </c>
    </row>
    <row r="34" ht="15.75" customHeight="1">
      <c r="B34" s="47"/>
      <c r="C34" s="44" t="s">
        <v>97</v>
      </c>
      <c r="D34" s="44" t="s">
        <v>98</v>
      </c>
      <c r="E34" s="45">
        <f t="shared" si="6"/>
        <v>0</v>
      </c>
      <c r="F34" s="46">
        <f t="shared" si="7"/>
        <v>0</v>
      </c>
      <c r="G34" s="46">
        <f t="shared" si="8"/>
        <v>6</v>
      </c>
      <c r="H34" s="46">
        <f>COUNTIF(Scopes!$M$134:$M$139,H$3)</f>
        <v>0</v>
      </c>
      <c r="I34" s="46">
        <f>COUNTIF(Scopes!$M$134:$M$139,I$3)</f>
        <v>0</v>
      </c>
      <c r="J34" s="46">
        <f>COUNTIF(Scopes!$M$134:$M$139,J$3)</f>
        <v>0</v>
      </c>
      <c r="K34" s="46">
        <f>COUNTIF(Scopes!$M$134:$M$139,K$3)</f>
        <v>0</v>
      </c>
      <c r="L34" s="46">
        <f>COUNTIF(Scopes!$M$134:$M$139,L$3)</f>
        <v>0</v>
      </c>
      <c r="M34" s="46">
        <f>COUNTA(Scopes!$G$134:$G$139)-SUM(H34:L34)</f>
        <v>6</v>
      </c>
      <c r="N34" s="45">
        <f t="shared" si="9"/>
        <v>0</v>
      </c>
      <c r="O34" s="46">
        <f t="shared" si="10"/>
        <v>0</v>
      </c>
      <c r="P34" s="46">
        <f t="shared" si="11"/>
        <v>6</v>
      </c>
      <c r="Q34" s="46">
        <f>COUNTIF(Scopes!$R$134:$R$139,Q$3)</f>
        <v>0</v>
      </c>
      <c r="R34" s="46">
        <f>COUNTIF(Scopes!$R$134:$R$139,R$3)</f>
        <v>0</v>
      </c>
      <c r="S34" s="46">
        <f>COUNTIF(Scopes!$R$134:$R$139,S$3)</f>
        <v>0</v>
      </c>
      <c r="T34" s="46">
        <f>COUNTIF(Scopes!$R$134:$R$139,T$3)</f>
        <v>0</v>
      </c>
      <c r="U34" s="46">
        <f>COUNTIF(Scopes!$R$134:$R$139,U$3)</f>
        <v>0</v>
      </c>
      <c r="V34" s="46">
        <f>COUNTA(Scopes!$G$134:$G$139)-SUM(Q34:U34)</f>
        <v>6</v>
      </c>
    </row>
    <row r="35" ht="15.75" customHeight="1">
      <c r="B35" s="47"/>
      <c r="C35" s="44" t="s">
        <v>97</v>
      </c>
      <c r="D35" s="44" t="s">
        <v>99</v>
      </c>
      <c r="E35" s="45">
        <f t="shared" si="6"/>
        <v>0</v>
      </c>
      <c r="F35" s="46">
        <f t="shared" si="7"/>
        <v>0</v>
      </c>
      <c r="G35" s="46">
        <f t="shared" si="8"/>
        <v>1</v>
      </c>
      <c r="H35" s="46">
        <f>COUNTIF(Scopes!$M$140,H$3)</f>
        <v>0</v>
      </c>
      <c r="I35" s="46">
        <f>COUNTIF(Scopes!$M$140,I$3)</f>
        <v>0</v>
      </c>
      <c r="J35" s="46">
        <f>COUNTIF(Scopes!$M$140,J$3)</f>
        <v>0</v>
      </c>
      <c r="K35" s="46">
        <f>COUNTIF(Scopes!$M$140,K$3)</f>
        <v>0</v>
      </c>
      <c r="L35" s="46">
        <f>COUNTIF(Scopes!$M$140,L$3)</f>
        <v>0</v>
      </c>
      <c r="M35" s="46">
        <f>COUNTA(Scopes!$G$140)-SUM(H35:L35)</f>
        <v>1</v>
      </c>
      <c r="N35" s="45">
        <f t="shared" si="9"/>
        <v>0</v>
      </c>
      <c r="O35" s="46">
        <f t="shared" si="10"/>
        <v>0</v>
      </c>
      <c r="P35" s="46">
        <f t="shared" si="11"/>
        <v>1</v>
      </c>
      <c r="Q35" s="46">
        <f>COUNTIF(Scopes!$R$140,Q$3)</f>
        <v>0</v>
      </c>
      <c r="R35" s="46">
        <f>COUNTIF(Scopes!$R$140,R$3)</f>
        <v>0</v>
      </c>
      <c r="S35" s="46">
        <f>COUNTIF(Scopes!$R$140,S$3)</f>
        <v>0</v>
      </c>
      <c r="T35" s="46">
        <f>COUNTIF(Scopes!$R$140,T$3)</f>
        <v>0</v>
      </c>
      <c r="U35" s="46">
        <f>COUNTIF(Scopes!$R$140,U$3)</f>
        <v>0</v>
      </c>
      <c r="V35" s="46">
        <f>COUNTA(Scopes!$G$140)-SUM(Q35:U35)</f>
        <v>1</v>
      </c>
    </row>
    <row r="36" ht="15.75" customHeight="1">
      <c r="B36" s="47"/>
      <c r="C36" s="44" t="s">
        <v>97</v>
      </c>
      <c r="D36" s="44" t="s">
        <v>100</v>
      </c>
      <c r="E36" s="45">
        <f t="shared" si="6"/>
        <v>0</v>
      </c>
      <c r="F36" s="46">
        <f t="shared" si="7"/>
        <v>0</v>
      </c>
      <c r="G36" s="46">
        <f t="shared" si="8"/>
        <v>2</v>
      </c>
      <c r="H36" s="46">
        <f>COUNTIF(Scopes!$M$141:$M$142,H$3)</f>
        <v>0</v>
      </c>
      <c r="I36" s="46">
        <f>COUNTIF(Scopes!$M$141:$M$142,I$3)</f>
        <v>0</v>
      </c>
      <c r="J36" s="46">
        <f>COUNTIF(Scopes!$M$141:$M$142,J$3)</f>
        <v>0</v>
      </c>
      <c r="K36" s="46">
        <f>COUNTIF(Scopes!$M$141:$M$142,K$3)</f>
        <v>0</v>
      </c>
      <c r="L36" s="46">
        <f>COUNTIF(Scopes!$M$141:$M$142,L$3)</f>
        <v>0</v>
      </c>
      <c r="M36" s="46">
        <f>COUNTA(Scopes!$G$141:$G$142)-SUM(H36:L36)</f>
        <v>2</v>
      </c>
      <c r="N36" s="45">
        <f t="shared" si="9"/>
        <v>0</v>
      </c>
      <c r="O36" s="46">
        <f t="shared" si="10"/>
        <v>0</v>
      </c>
      <c r="P36" s="46">
        <f t="shared" si="11"/>
        <v>2</v>
      </c>
      <c r="Q36" s="46">
        <f>COUNTIF(Scopes!$R$141:$R$142,Q$3)</f>
        <v>0</v>
      </c>
      <c r="R36" s="46">
        <f>COUNTIF(Scopes!$R$141:$R$142,R$3)</f>
        <v>0</v>
      </c>
      <c r="S36" s="46">
        <f>COUNTIF(Scopes!$R$141:$R$142,S$3)</f>
        <v>0</v>
      </c>
      <c r="T36" s="46">
        <f>COUNTIF(Scopes!$R$141:$R$142,T$3)</f>
        <v>0</v>
      </c>
      <c r="U36" s="46">
        <f>COUNTIF(Scopes!$R$141:$R$142,U$3)</f>
        <v>0</v>
      </c>
      <c r="V36" s="46">
        <f>COUNTA(Scopes!$G$141:$G$142)-SUM(Q36:U36)</f>
        <v>2</v>
      </c>
    </row>
    <row r="37" ht="15.75" customHeight="1">
      <c r="B37" s="47"/>
      <c r="C37" s="44" t="s">
        <v>75</v>
      </c>
      <c r="D37" s="44" t="s">
        <v>101</v>
      </c>
      <c r="E37" s="45">
        <f t="shared" si="6"/>
        <v>0</v>
      </c>
      <c r="F37" s="46">
        <f t="shared" si="7"/>
        <v>0</v>
      </c>
      <c r="G37" s="46">
        <f t="shared" si="8"/>
        <v>4</v>
      </c>
      <c r="H37" s="46">
        <f>COUNTIF(Scopes!$M$143:$M$146,H$3)</f>
        <v>0</v>
      </c>
      <c r="I37" s="46">
        <f>COUNTIF(Scopes!$M$143:$M$146,I$3)</f>
        <v>0</v>
      </c>
      <c r="J37" s="46">
        <f>COUNTIF(Scopes!$M$143:$M$146,J$3)</f>
        <v>0</v>
      </c>
      <c r="K37" s="46">
        <f>COUNTIF(Scopes!$M$143:$M$146,K$3)</f>
        <v>0</v>
      </c>
      <c r="L37" s="46">
        <f>COUNTIF(Scopes!$M$143:$M$146,L$3)</f>
        <v>0</v>
      </c>
      <c r="M37" s="46">
        <f>COUNTA(Scopes!$G$143:$G$146)-SUM(H37:L37)</f>
        <v>4</v>
      </c>
      <c r="N37" s="45">
        <f t="shared" si="9"/>
        <v>0</v>
      </c>
      <c r="O37" s="46">
        <f t="shared" si="10"/>
        <v>0</v>
      </c>
      <c r="P37" s="46">
        <f t="shared" si="11"/>
        <v>4</v>
      </c>
      <c r="Q37" s="46">
        <f>COUNTIF(Scopes!$R$143:$R$146,Q$3)</f>
        <v>0</v>
      </c>
      <c r="R37" s="46">
        <f>COUNTIF(Scopes!$R$143:$R$146,R$3)</f>
        <v>0</v>
      </c>
      <c r="S37" s="46">
        <f>COUNTIF(Scopes!$R$143:$R$146,S$3)</f>
        <v>0</v>
      </c>
      <c r="T37" s="46">
        <f>COUNTIF(Scopes!$R$143:$R$146,T$3)</f>
        <v>0</v>
      </c>
      <c r="U37" s="46">
        <f>COUNTIF(Scopes!$R$143:$R$146,U$3)</f>
        <v>0</v>
      </c>
      <c r="V37" s="46">
        <f>COUNTA(Scopes!$G$143:$G$146)-SUM(Q37:U37)</f>
        <v>4</v>
      </c>
    </row>
    <row r="38" ht="15.75" customHeight="1">
      <c r="B38" s="47"/>
      <c r="C38" s="44" t="s">
        <v>75</v>
      </c>
      <c r="D38" s="44" t="s">
        <v>102</v>
      </c>
      <c r="E38" s="45">
        <f t="shared" si="6"/>
        <v>0</v>
      </c>
      <c r="F38" s="46">
        <f t="shared" si="7"/>
        <v>0</v>
      </c>
      <c r="G38" s="46">
        <f t="shared" si="8"/>
        <v>1</v>
      </c>
      <c r="H38" s="46">
        <f>COUNTIF(Scopes!$M$147,H$3)</f>
        <v>0</v>
      </c>
      <c r="I38" s="46">
        <f>COUNTIF(Scopes!$M$147,I$3)</f>
        <v>0</v>
      </c>
      <c r="J38" s="46">
        <f>COUNTIF(Scopes!$M$147,J$3)</f>
        <v>0</v>
      </c>
      <c r="K38" s="46">
        <f>COUNTIF(Scopes!$M$147,K$3)</f>
        <v>0</v>
      </c>
      <c r="L38" s="46">
        <f>COUNTIF(Scopes!$M$147,L$3)</f>
        <v>0</v>
      </c>
      <c r="M38" s="46">
        <f>COUNTA(Scopes!$G$147)-SUM(H38:L38)</f>
        <v>1</v>
      </c>
      <c r="N38" s="45">
        <f t="shared" si="9"/>
        <v>0</v>
      </c>
      <c r="O38" s="46">
        <f t="shared" si="10"/>
        <v>0</v>
      </c>
      <c r="P38" s="46">
        <f t="shared" si="11"/>
        <v>1</v>
      </c>
      <c r="Q38" s="46">
        <f>COUNTIF(Scopes!$R$147,Q$3)</f>
        <v>0</v>
      </c>
      <c r="R38" s="46">
        <f>COUNTIF(Scopes!$R$147,R$3)</f>
        <v>0</v>
      </c>
      <c r="S38" s="46">
        <f>COUNTIF(Scopes!$R$147,S$3)</f>
        <v>0</v>
      </c>
      <c r="T38" s="46">
        <f>COUNTIF(Scopes!$R$147,T$3)</f>
        <v>0</v>
      </c>
      <c r="U38" s="46">
        <f>COUNTIF(Scopes!$R$147,U$3)</f>
        <v>0</v>
      </c>
      <c r="V38" s="46">
        <f>COUNTA(Scopes!$G$147)-SUM(Q38:U38)</f>
        <v>1</v>
      </c>
    </row>
    <row r="39" ht="15.75" customHeight="1">
      <c r="B39" s="47"/>
      <c r="C39" s="44" t="s">
        <v>75</v>
      </c>
      <c r="D39" s="44" t="s">
        <v>103</v>
      </c>
      <c r="E39" s="45">
        <f t="shared" si="6"/>
        <v>0</v>
      </c>
      <c r="F39" s="46">
        <f t="shared" si="7"/>
        <v>0</v>
      </c>
      <c r="G39" s="46">
        <f t="shared" si="8"/>
        <v>1</v>
      </c>
      <c r="H39" s="46">
        <f>COUNTIF(Scopes!$M$148,H$3)</f>
        <v>0</v>
      </c>
      <c r="I39" s="46">
        <f>COUNTIF(Scopes!$M$148,I$3)</f>
        <v>0</v>
      </c>
      <c r="J39" s="46">
        <f>COUNTIF(Scopes!$M$148,J$3)</f>
        <v>0</v>
      </c>
      <c r="K39" s="46">
        <f>COUNTIF(Scopes!$M$148,K$3)</f>
        <v>0</v>
      </c>
      <c r="L39" s="46">
        <f>COUNTIF(Scopes!$M$148,L$3)</f>
        <v>0</v>
      </c>
      <c r="M39" s="46">
        <f>COUNTA(Scopes!$G$148)-SUM(H39:L39)</f>
        <v>1</v>
      </c>
      <c r="N39" s="45">
        <f t="shared" si="9"/>
        <v>0</v>
      </c>
      <c r="O39" s="46">
        <f t="shared" si="10"/>
        <v>0</v>
      </c>
      <c r="P39" s="46">
        <f t="shared" si="11"/>
        <v>1</v>
      </c>
      <c r="Q39" s="46">
        <f>COUNTIF(Scopes!$R$148,Q$3)</f>
        <v>0</v>
      </c>
      <c r="R39" s="46">
        <f>COUNTIF(Scopes!$R$148,R$3)</f>
        <v>0</v>
      </c>
      <c r="S39" s="46">
        <f>COUNTIF(Scopes!$R$148,S$3)</f>
        <v>0</v>
      </c>
      <c r="T39" s="46">
        <f>COUNTIF(Scopes!$R$148,T$3)</f>
        <v>0</v>
      </c>
      <c r="U39" s="46">
        <f>COUNTIF(Scopes!$R$148,U$3)</f>
        <v>0</v>
      </c>
      <c r="V39" s="46">
        <f>COUNTA(Scopes!$G$148)-SUM(Q39:U39)</f>
        <v>1</v>
      </c>
    </row>
    <row r="40" ht="15.75" customHeight="1">
      <c r="B40" s="12"/>
      <c r="C40" s="48" t="s">
        <v>57</v>
      </c>
      <c r="D40" s="48"/>
      <c r="E40" s="49">
        <f t="shared" si="6"/>
        <v>0</v>
      </c>
      <c r="F40" s="50">
        <f t="shared" si="7"/>
        <v>0</v>
      </c>
      <c r="G40" s="50">
        <f t="shared" si="8"/>
        <v>127</v>
      </c>
      <c r="H40" s="50">
        <f t="shared" ref="H40:M40" si="14">SUM(H15:H39)</f>
        <v>0</v>
      </c>
      <c r="I40" s="50">
        <f t="shared" si="14"/>
        <v>0</v>
      </c>
      <c r="J40" s="50">
        <f t="shared" si="14"/>
        <v>0</v>
      </c>
      <c r="K40" s="50">
        <f t="shared" si="14"/>
        <v>0</v>
      </c>
      <c r="L40" s="50">
        <f t="shared" si="14"/>
        <v>0</v>
      </c>
      <c r="M40" s="50">
        <f t="shared" si="14"/>
        <v>127</v>
      </c>
      <c r="N40" s="49">
        <f t="shared" si="9"/>
        <v>0</v>
      </c>
      <c r="O40" s="50">
        <f t="shared" si="10"/>
        <v>0</v>
      </c>
      <c r="P40" s="50">
        <f t="shared" si="11"/>
        <v>127</v>
      </c>
      <c r="Q40" s="50">
        <f t="shared" ref="Q40:V40" si="15">SUM(Q15:Q39)</f>
        <v>0</v>
      </c>
      <c r="R40" s="50">
        <f t="shared" si="15"/>
        <v>0</v>
      </c>
      <c r="S40" s="50">
        <f t="shared" si="15"/>
        <v>0</v>
      </c>
      <c r="T40" s="50">
        <f t="shared" si="15"/>
        <v>0</v>
      </c>
      <c r="U40" s="50">
        <f t="shared" si="15"/>
        <v>0</v>
      </c>
      <c r="V40" s="50">
        <f t="shared" si="15"/>
        <v>127</v>
      </c>
    </row>
    <row r="41" ht="15.75" customHeight="1">
      <c r="B41" s="43" t="s">
        <v>104</v>
      </c>
      <c r="C41" s="44" t="s">
        <v>66</v>
      </c>
      <c r="D41" s="44" t="s">
        <v>105</v>
      </c>
      <c r="E41" s="45">
        <f t="shared" si="6"/>
        <v>0</v>
      </c>
      <c r="F41" s="46">
        <f t="shared" si="7"/>
        <v>0</v>
      </c>
      <c r="G41" s="46">
        <f t="shared" si="8"/>
        <v>2</v>
      </c>
      <c r="H41" s="46">
        <f>COUNTIF(Users!$M$13:$M$14,H$3)</f>
        <v>0</v>
      </c>
      <c r="I41" s="46">
        <f>COUNTIF(Users!$M$13:$M$14,I$3)</f>
        <v>0</v>
      </c>
      <c r="J41" s="46">
        <f>COUNTIF(Users!$M$13:$M$14,J$3)</f>
        <v>0</v>
      </c>
      <c r="K41" s="46">
        <f>COUNTIF(Users!$M$13:$M$14,K$3)</f>
        <v>0</v>
      </c>
      <c r="L41" s="46">
        <f>COUNTIF(Users!$M$13:$M$14,L$3)</f>
        <v>0</v>
      </c>
      <c r="M41" s="46">
        <f>COUNTA(Users!$G$13:$G$14)-SUM(H41:L41)</f>
        <v>2</v>
      </c>
      <c r="N41" s="45">
        <f t="shared" si="9"/>
        <v>0</v>
      </c>
      <c r="O41" s="46">
        <f t="shared" si="10"/>
        <v>0</v>
      </c>
      <c r="P41" s="46">
        <f t="shared" si="11"/>
        <v>2</v>
      </c>
      <c r="Q41" s="46">
        <f>COUNTIF(Users!$R$13:$R$14,Q$3)</f>
        <v>0</v>
      </c>
      <c r="R41" s="46">
        <f>COUNTIF(Users!$R$13:$R$14,R$3)</f>
        <v>0</v>
      </c>
      <c r="S41" s="46">
        <f>COUNTIF(Users!$R$13:$R$14,S$3)</f>
        <v>0</v>
      </c>
      <c r="T41" s="46">
        <f>COUNTIF(Users!$R$13:$R$14,T$3)</f>
        <v>0</v>
      </c>
      <c r="U41" s="46">
        <f>COUNTIF(Users!$R$13:$R$14,U$3)</f>
        <v>0</v>
      </c>
      <c r="V41" s="46">
        <f>COUNTA(Users!$G$13:$G$14)-SUM(Q41:U41)</f>
        <v>2</v>
      </c>
    </row>
    <row r="42" ht="15.75" customHeight="1">
      <c r="B42" s="47"/>
      <c r="C42" s="44" t="s">
        <v>66</v>
      </c>
      <c r="D42" s="44" t="s">
        <v>106</v>
      </c>
      <c r="E42" s="45">
        <f t="shared" si="6"/>
        <v>0</v>
      </c>
      <c r="F42" s="46">
        <f t="shared" si="7"/>
        <v>0</v>
      </c>
      <c r="G42" s="46">
        <f t="shared" si="8"/>
        <v>1</v>
      </c>
      <c r="H42" s="46">
        <f>COUNTIF(Users!$M$15:$M$15,H$3)</f>
        <v>0</v>
      </c>
      <c r="I42" s="46">
        <f>COUNTIF(Users!$M$15:$M$15,I$3)</f>
        <v>0</v>
      </c>
      <c r="J42" s="46">
        <f>COUNTIF(Users!$M$15:$M$15,J$3)</f>
        <v>0</v>
      </c>
      <c r="K42" s="46">
        <f>COUNTIF(Users!$M$15:$M$15,K$3)</f>
        <v>0</v>
      </c>
      <c r="L42" s="46">
        <f>COUNTIF(Users!$M$15:$M$15,L$3)</f>
        <v>0</v>
      </c>
      <c r="M42" s="46">
        <f>COUNTA(Users!$G$15:$G$15)-SUM(H42:L42)</f>
        <v>1</v>
      </c>
      <c r="N42" s="45">
        <f t="shared" si="9"/>
        <v>0</v>
      </c>
      <c r="O42" s="46">
        <f t="shared" si="10"/>
        <v>0</v>
      </c>
      <c r="P42" s="46">
        <f t="shared" si="11"/>
        <v>1</v>
      </c>
      <c r="Q42" s="46">
        <f>COUNTIF(Users!$R$15:$R$15,Q$3)</f>
        <v>0</v>
      </c>
      <c r="R42" s="46">
        <f>COUNTIF(Users!$R$15:$R$15,R$3)</f>
        <v>0</v>
      </c>
      <c r="S42" s="46">
        <f>COUNTIF(Users!$R$15:$R$15,S$3)</f>
        <v>0</v>
      </c>
      <c r="T42" s="46">
        <f>COUNTIF(Users!$R$15:$R$15,T$3)</f>
        <v>0</v>
      </c>
      <c r="U42" s="46">
        <f>COUNTIF(Users!$R$15:$R$15,U$3)</f>
        <v>0</v>
      </c>
      <c r="V42" s="46">
        <f>COUNTA(Users!$G$15:$G$15)-SUM(Q42:U42)</f>
        <v>1</v>
      </c>
    </row>
    <row r="43" ht="15.75" customHeight="1">
      <c r="B43" s="47"/>
      <c r="C43" s="44" t="s">
        <v>107</v>
      </c>
      <c r="D43" s="44" t="s">
        <v>108</v>
      </c>
      <c r="E43" s="45">
        <f t="shared" si="6"/>
        <v>0</v>
      </c>
      <c r="F43" s="46">
        <f t="shared" si="7"/>
        <v>0</v>
      </c>
      <c r="G43" s="46">
        <f t="shared" si="8"/>
        <v>2</v>
      </c>
      <c r="H43" s="46">
        <f>COUNTIF(Users!$M$16:$M$17,H$3)</f>
        <v>0</v>
      </c>
      <c r="I43" s="46">
        <f>COUNTIF(Users!$M$16:$M$17,I$3)</f>
        <v>0</v>
      </c>
      <c r="J43" s="46">
        <f>COUNTIF(Users!$M$16:$M$17,J$3)</f>
        <v>0</v>
      </c>
      <c r="K43" s="46">
        <f>COUNTIF(Users!$M$16:$M$17,K$3)</f>
        <v>0</v>
      </c>
      <c r="L43" s="46">
        <f>COUNTIF(Users!$M$16:$M$17,L$3)</f>
        <v>0</v>
      </c>
      <c r="M43" s="46">
        <f>COUNTA(Users!$G$16:$G$17)-SUM(H43:L43)</f>
        <v>2</v>
      </c>
      <c r="N43" s="45">
        <f t="shared" si="9"/>
        <v>0</v>
      </c>
      <c r="O43" s="46">
        <f t="shared" si="10"/>
        <v>0</v>
      </c>
      <c r="P43" s="46">
        <f t="shared" si="11"/>
        <v>2</v>
      </c>
      <c r="Q43" s="46">
        <f>COUNTIF(Users!$R$16:$R$17,Q$3)</f>
        <v>0</v>
      </c>
      <c r="R43" s="46">
        <f>COUNTIF(Users!$R$16:$R$17,R$3)</f>
        <v>0</v>
      </c>
      <c r="S43" s="46">
        <f>COUNTIF(Users!$R$16:$R$17,S$3)</f>
        <v>0</v>
      </c>
      <c r="T43" s="46">
        <f>COUNTIF(Users!$R$16:$R$17,T$3)</f>
        <v>0</v>
      </c>
      <c r="U43" s="46">
        <f>COUNTIF(Users!$R$16:$R$17,U$3)</f>
        <v>0</v>
      </c>
      <c r="V43" s="46">
        <f>COUNTA(Users!$G$16:$G$17)-SUM(Q43:U43)</f>
        <v>2</v>
      </c>
    </row>
    <row r="44" ht="15.75" customHeight="1">
      <c r="B44" s="47"/>
      <c r="C44" s="44" t="s">
        <v>107</v>
      </c>
      <c r="D44" s="44" t="s">
        <v>109</v>
      </c>
      <c r="E44" s="45">
        <f t="shared" si="6"/>
        <v>0</v>
      </c>
      <c r="F44" s="46">
        <f t="shared" si="7"/>
        <v>0</v>
      </c>
      <c r="G44" s="46">
        <f t="shared" si="8"/>
        <v>1</v>
      </c>
      <c r="H44" s="46">
        <f>COUNTIF(Users!$M$18:$M$18,H$3)</f>
        <v>0</v>
      </c>
      <c r="I44" s="46">
        <f>COUNTIF(Users!$M$18:$M$18,I$3)</f>
        <v>0</v>
      </c>
      <c r="J44" s="46">
        <f>COUNTIF(Users!$M$18:$M$18,J$3)</f>
        <v>0</v>
      </c>
      <c r="K44" s="46">
        <f>COUNTIF(Users!$M$18:$M$18,K$3)</f>
        <v>0</v>
      </c>
      <c r="L44" s="46">
        <f>COUNTIF(Users!$M$18:$M$18,L$3)</f>
        <v>0</v>
      </c>
      <c r="M44" s="46">
        <f>COUNTA(Users!$G$18:$G$18)-SUM(H44:L44)</f>
        <v>1</v>
      </c>
      <c r="N44" s="45">
        <f t="shared" si="9"/>
        <v>0</v>
      </c>
      <c r="O44" s="46">
        <f t="shared" si="10"/>
        <v>0</v>
      </c>
      <c r="P44" s="46">
        <f t="shared" si="11"/>
        <v>1</v>
      </c>
      <c r="Q44" s="46">
        <f>COUNTIF(Users!$R$18:$R$18,Q$3)</f>
        <v>0</v>
      </c>
      <c r="R44" s="46">
        <f>COUNTIF(Users!$R$18:$R$18,R$3)</f>
        <v>0</v>
      </c>
      <c r="S44" s="46">
        <f>COUNTIF(Users!$R$18:$R$18,S$3)</f>
        <v>0</v>
      </c>
      <c r="T44" s="46">
        <f>COUNTIF(Users!$R$18:$R$18,T$3)</f>
        <v>0</v>
      </c>
      <c r="U44" s="46">
        <f>COUNTIF(Users!$R$18:$R$18,U$3)</f>
        <v>0</v>
      </c>
      <c r="V44" s="46">
        <f>COUNTA(Users!$G$18:$G$18)-SUM(Q44:U44)</f>
        <v>1</v>
      </c>
    </row>
    <row r="45" ht="15.75" customHeight="1">
      <c r="B45" s="47"/>
      <c r="C45" s="44" t="s">
        <v>110</v>
      </c>
      <c r="D45" s="44" t="s">
        <v>111</v>
      </c>
      <c r="E45" s="45">
        <f t="shared" si="6"/>
        <v>0</v>
      </c>
      <c r="F45" s="46">
        <f t="shared" si="7"/>
        <v>0</v>
      </c>
      <c r="G45" s="46">
        <f t="shared" si="8"/>
        <v>2</v>
      </c>
      <c r="H45" s="46">
        <f>COUNTIF(Users!$M$19:$M$20,H$3)</f>
        <v>0</v>
      </c>
      <c r="I45" s="46">
        <f>COUNTIF(Users!$M$19:$M$20,I$3)</f>
        <v>0</v>
      </c>
      <c r="J45" s="46">
        <f>COUNTIF(Users!$M$19:$M$20,J$3)</f>
        <v>0</v>
      </c>
      <c r="K45" s="46">
        <f>COUNTIF(Users!$M$19:$M$20,K$3)</f>
        <v>0</v>
      </c>
      <c r="L45" s="46">
        <f>COUNTIF(Users!$M$19:$M$20,L$3)</f>
        <v>0</v>
      </c>
      <c r="M45" s="46">
        <f>COUNTA(Users!$G$19:$G$20)-SUM(H45:L45)</f>
        <v>2</v>
      </c>
      <c r="N45" s="45">
        <f t="shared" si="9"/>
        <v>0</v>
      </c>
      <c r="O45" s="46">
        <f t="shared" si="10"/>
        <v>0</v>
      </c>
      <c r="P45" s="46">
        <f t="shared" si="11"/>
        <v>2</v>
      </c>
      <c r="Q45" s="46">
        <f>COUNTIF(Users!$R$19:$R$20,Q$3)</f>
        <v>0</v>
      </c>
      <c r="R45" s="46">
        <f>COUNTIF(Users!$R$19:$R$20,R$3)</f>
        <v>0</v>
      </c>
      <c r="S45" s="46">
        <f>COUNTIF(Users!$R$19:$R$20,S$3)</f>
        <v>0</v>
      </c>
      <c r="T45" s="46">
        <f>COUNTIF(Users!$R$19:$R$20,T$3)</f>
        <v>0</v>
      </c>
      <c r="U45" s="46">
        <f>COUNTIF(Users!$R$19:$R$20,U$3)</f>
        <v>0</v>
      </c>
      <c r="V45" s="46">
        <f>COUNTA(Users!$G$19:$G$20)-SUM(Q45:U45)</f>
        <v>2</v>
      </c>
    </row>
    <row r="46" ht="15.75" customHeight="1">
      <c r="B46" s="47"/>
      <c r="C46" s="44" t="s">
        <v>112</v>
      </c>
      <c r="D46" s="44" t="s">
        <v>113</v>
      </c>
      <c r="E46" s="45">
        <f t="shared" si="6"/>
        <v>0</v>
      </c>
      <c r="F46" s="46">
        <f t="shared" si="7"/>
        <v>0</v>
      </c>
      <c r="G46" s="46">
        <f t="shared" si="8"/>
        <v>2</v>
      </c>
      <c r="H46" s="46">
        <f>COUNTIF(Users!$M$21:$M$22,H$3)</f>
        <v>0</v>
      </c>
      <c r="I46" s="46">
        <f>COUNTIF(Users!$M$21:$M$22,I$3)</f>
        <v>0</v>
      </c>
      <c r="J46" s="46">
        <f>COUNTIF(Users!$M$21:$M$22,J$3)</f>
        <v>0</v>
      </c>
      <c r="K46" s="46">
        <f>COUNTIF(Users!$M$21:$M$22,K$3)</f>
        <v>0</v>
      </c>
      <c r="L46" s="46">
        <f>COUNTIF(Users!$M$21:$M$22,L$3)</f>
        <v>0</v>
      </c>
      <c r="M46" s="46">
        <f>COUNTA(Users!$G$21:$G$22)-SUM(H46:L46)</f>
        <v>2</v>
      </c>
      <c r="N46" s="45">
        <f t="shared" si="9"/>
        <v>0</v>
      </c>
      <c r="O46" s="46">
        <f t="shared" si="10"/>
        <v>0</v>
      </c>
      <c r="P46" s="46">
        <f t="shared" si="11"/>
        <v>2</v>
      </c>
      <c r="Q46" s="46">
        <f>COUNTIF(Users!$R$21:$R$22,Q$3)</f>
        <v>0</v>
      </c>
      <c r="R46" s="46">
        <f>COUNTIF(Users!$R$21:$R$22,R$3)</f>
        <v>0</v>
      </c>
      <c r="S46" s="46">
        <f>COUNTIF(Users!$R$21:$R$22,S$3)</f>
        <v>0</v>
      </c>
      <c r="T46" s="46">
        <f>COUNTIF(Users!$R$21:$R$22,T$3)</f>
        <v>0</v>
      </c>
      <c r="U46" s="46">
        <f>COUNTIF(Users!$R$21:$R$22,U$3)</f>
        <v>0</v>
      </c>
      <c r="V46" s="46">
        <f>COUNTA(Users!$G$21:$G$22)-SUM(Q46:U46)</f>
        <v>2</v>
      </c>
    </row>
    <row r="47" ht="15.75" customHeight="1">
      <c r="B47" s="47"/>
      <c r="C47" s="44" t="s">
        <v>112</v>
      </c>
      <c r="D47" s="44" t="s">
        <v>114</v>
      </c>
      <c r="E47" s="45">
        <f t="shared" si="6"/>
        <v>0</v>
      </c>
      <c r="F47" s="46">
        <f t="shared" si="7"/>
        <v>0</v>
      </c>
      <c r="G47" s="46">
        <f t="shared" si="8"/>
        <v>14</v>
      </c>
      <c r="H47" s="46">
        <f>COUNTIF(Users!$M$23:$M$36,H$3)</f>
        <v>0</v>
      </c>
      <c r="I47" s="46">
        <f>COUNTIF(Users!$M$23:$M$36,I$3)</f>
        <v>0</v>
      </c>
      <c r="J47" s="46">
        <f>COUNTIF(Users!$M$23:$M$36,J$3)</f>
        <v>0</v>
      </c>
      <c r="K47" s="46">
        <f>COUNTIF(Users!$M$23:$M$36,K$3)</f>
        <v>0</v>
      </c>
      <c r="L47" s="46">
        <f>COUNTIF(Users!$M$23:$M$36,L$3)</f>
        <v>0</v>
      </c>
      <c r="M47" s="46">
        <f>COUNTA(Users!$G$23:$G$36)-SUM(H47:L47)</f>
        <v>14</v>
      </c>
      <c r="N47" s="45">
        <f t="shared" si="9"/>
        <v>0</v>
      </c>
      <c r="O47" s="46">
        <f t="shared" si="10"/>
        <v>0</v>
      </c>
      <c r="P47" s="46">
        <f t="shared" si="11"/>
        <v>14</v>
      </c>
      <c r="Q47" s="46">
        <f>COUNTIF(Users!$R$23:$R$36,Q$3)</f>
        <v>0</v>
      </c>
      <c r="R47" s="46">
        <f>COUNTIF(Users!$R$23:$R$36,R$3)</f>
        <v>0</v>
      </c>
      <c r="S47" s="46">
        <f>COUNTIF(Users!$R$23:$R$36,S$3)</f>
        <v>0</v>
      </c>
      <c r="T47" s="46">
        <f>COUNTIF(Users!$R$23:$R$36,T$3)</f>
        <v>0</v>
      </c>
      <c r="U47" s="46">
        <f>COUNTIF(Users!$R$23:$R$36,U$3)</f>
        <v>0</v>
      </c>
      <c r="V47" s="46">
        <f>COUNTA(Users!$G$23:$G$36)-SUM(Q47:U47)</f>
        <v>14</v>
      </c>
    </row>
    <row r="48" ht="15.75" customHeight="1">
      <c r="B48" s="47"/>
      <c r="C48" s="44" t="s">
        <v>112</v>
      </c>
      <c r="D48" s="44" t="s">
        <v>115</v>
      </c>
      <c r="E48" s="45">
        <f t="shared" si="6"/>
        <v>0</v>
      </c>
      <c r="F48" s="46">
        <f t="shared" si="7"/>
        <v>0</v>
      </c>
      <c r="G48" s="46">
        <f t="shared" si="8"/>
        <v>4</v>
      </c>
      <c r="H48" s="46">
        <f>COUNTIF(Users!$M$37:$M$40,H$3)</f>
        <v>0</v>
      </c>
      <c r="I48" s="46">
        <f>COUNTIF(Users!$M$37:$M$40,I$3)</f>
        <v>0</v>
      </c>
      <c r="J48" s="46">
        <f>COUNTIF(Users!$M$37:$M$40,J$3)</f>
        <v>0</v>
      </c>
      <c r="K48" s="46">
        <f>COUNTIF(Users!$M$37:$M$40,K$3)</f>
        <v>0</v>
      </c>
      <c r="L48" s="46">
        <f>COUNTIF(Users!$M$37:$M$40,L$3)</f>
        <v>0</v>
      </c>
      <c r="M48" s="46">
        <f>COUNTA(Users!$G$37:$G$40)-SUM(H48:L48)</f>
        <v>4</v>
      </c>
      <c r="N48" s="45">
        <f t="shared" si="9"/>
        <v>0</v>
      </c>
      <c r="O48" s="46">
        <f t="shared" si="10"/>
        <v>0</v>
      </c>
      <c r="P48" s="46">
        <f t="shared" si="11"/>
        <v>4</v>
      </c>
      <c r="Q48" s="46">
        <f>COUNTIF(Users!$R$37:$R$40,Q$3)</f>
        <v>0</v>
      </c>
      <c r="R48" s="46">
        <f>COUNTIF(Users!$R$37:$R$40,R$3)</f>
        <v>0</v>
      </c>
      <c r="S48" s="46">
        <f>COUNTIF(Users!$R$37:$R$40,S$3)</f>
        <v>0</v>
      </c>
      <c r="T48" s="46">
        <f>COUNTIF(Users!$R$37:$R$40,T$3)</f>
        <v>0</v>
      </c>
      <c r="U48" s="46">
        <f>COUNTIF(Users!$R$37:$R$40,U$3)</f>
        <v>0</v>
      </c>
      <c r="V48" s="46">
        <f>COUNTA(Users!$G$37:$G$40)-SUM(Q48:U48)</f>
        <v>4</v>
      </c>
    </row>
    <row r="49" ht="15.75" customHeight="1">
      <c r="B49" s="47"/>
      <c r="C49" s="44" t="s">
        <v>116</v>
      </c>
      <c r="D49" s="44" t="s">
        <v>116</v>
      </c>
      <c r="E49" s="45">
        <f t="shared" si="6"/>
        <v>0</v>
      </c>
      <c r="F49" s="46">
        <f t="shared" si="7"/>
        <v>0</v>
      </c>
      <c r="G49" s="46">
        <f t="shared" si="8"/>
        <v>9</v>
      </c>
      <c r="H49" s="46">
        <f>COUNTIF(Users!$M$41:$M$49,H$3)</f>
        <v>0</v>
      </c>
      <c r="I49" s="46">
        <f>COUNTIF(Users!$M$41:$M$49,I$3)</f>
        <v>0</v>
      </c>
      <c r="J49" s="46">
        <f>COUNTIF(Users!$M$41:$M$49,J$3)</f>
        <v>0</v>
      </c>
      <c r="K49" s="46">
        <f>COUNTIF(Users!$M$41:$M$49,K$3)</f>
        <v>0</v>
      </c>
      <c r="L49" s="46">
        <f>COUNTIF(Users!$M$41:$M$49,L$3)</f>
        <v>0</v>
      </c>
      <c r="M49" s="46">
        <f>COUNTA(Users!$G$41:$G$49)-SUM(H49:L49)</f>
        <v>9</v>
      </c>
      <c r="N49" s="45">
        <f t="shared" si="9"/>
        <v>0</v>
      </c>
      <c r="O49" s="46">
        <f t="shared" si="10"/>
        <v>0</v>
      </c>
      <c r="P49" s="46">
        <f t="shared" si="11"/>
        <v>9</v>
      </c>
      <c r="Q49" s="46">
        <f>COUNTIF(Users!$R$41:$R$49,Q$3)</f>
        <v>0</v>
      </c>
      <c r="R49" s="46">
        <f>COUNTIF(Users!$R$41:$R$49,R$3)</f>
        <v>0</v>
      </c>
      <c r="S49" s="46">
        <f>COUNTIF(Users!$R$41:$R$49,S$3)</f>
        <v>0</v>
      </c>
      <c r="T49" s="46">
        <f>COUNTIF(Users!$R$41:$R$49,T$3)</f>
        <v>0</v>
      </c>
      <c r="U49" s="46">
        <f>COUNTIF(Users!$R$41:$R$49,U$3)</f>
        <v>0</v>
      </c>
      <c r="V49" s="46">
        <f>COUNTA(Users!$G$41:$G$49)-SUM(Q49:U49)</f>
        <v>9</v>
      </c>
    </row>
    <row r="50" ht="15.75" customHeight="1">
      <c r="B50" s="47"/>
      <c r="C50" s="44" t="s">
        <v>117</v>
      </c>
      <c r="D50" s="44" t="s">
        <v>118</v>
      </c>
      <c r="E50" s="45">
        <f t="shared" si="6"/>
        <v>0</v>
      </c>
      <c r="F50" s="46">
        <f t="shared" si="7"/>
        <v>0</v>
      </c>
      <c r="G50" s="46">
        <f t="shared" si="8"/>
        <v>6</v>
      </c>
      <c r="H50" s="46">
        <f>COUNTIF(Users!$M$50:$M$55,H$3)</f>
        <v>0</v>
      </c>
      <c r="I50" s="46">
        <f>COUNTIF(Users!$M$50:$M$55,I$3)</f>
        <v>0</v>
      </c>
      <c r="J50" s="46">
        <f>COUNTIF(Users!$M$50:$M$55,J$3)</f>
        <v>0</v>
      </c>
      <c r="K50" s="46">
        <f>COUNTIF(Users!$M$50:$M$55,K$3)</f>
        <v>0</v>
      </c>
      <c r="L50" s="46">
        <f>COUNTIF(Users!$M$50:$M$55,L$3)</f>
        <v>0</v>
      </c>
      <c r="M50" s="46">
        <f>COUNTA(Users!$G$50:$G$55)-SUM(H50:L50)</f>
        <v>6</v>
      </c>
      <c r="N50" s="45">
        <f t="shared" si="9"/>
        <v>0</v>
      </c>
      <c r="O50" s="46">
        <f t="shared" si="10"/>
        <v>0</v>
      </c>
      <c r="P50" s="46">
        <f t="shared" si="11"/>
        <v>6</v>
      </c>
      <c r="Q50" s="46">
        <f>COUNTIF(Users!$R$50:$R$55,Q$3)</f>
        <v>0</v>
      </c>
      <c r="R50" s="46">
        <f>COUNTIF(Users!$R$50:$R$55,R$3)</f>
        <v>0</v>
      </c>
      <c r="S50" s="46">
        <f>COUNTIF(Users!$R$50:$R$55,S$3)</f>
        <v>0</v>
      </c>
      <c r="T50" s="46">
        <f>COUNTIF(Users!$R$50:$R$55,T$3)</f>
        <v>0</v>
      </c>
      <c r="U50" s="46">
        <f>COUNTIF(Users!$R$50:$R$55,U$3)</f>
        <v>0</v>
      </c>
      <c r="V50" s="46">
        <f>COUNTA(Users!$G$50:$G$55)-SUM(Q50:U50)</f>
        <v>6</v>
      </c>
    </row>
    <row r="51" ht="15.75" customHeight="1">
      <c r="B51" s="47"/>
      <c r="C51" s="44" t="s">
        <v>117</v>
      </c>
      <c r="D51" s="44" t="s">
        <v>119</v>
      </c>
      <c r="E51" s="45">
        <f t="shared" si="6"/>
        <v>0</v>
      </c>
      <c r="F51" s="46">
        <f t="shared" si="7"/>
        <v>0</v>
      </c>
      <c r="G51" s="46">
        <f t="shared" si="8"/>
        <v>4</v>
      </c>
      <c r="H51" s="46">
        <f>COUNTIF(Users!$M$56:$M$59,H$3)</f>
        <v>0</v>
      </c>
      <c r="I51" s="46">
        <f>COUNTIF(Users!$M$56:$M$59,I$3)</f>
        <v>0</v>
      </c>
      <c r="J51" s="46">
        <f>COUNTIF(Users!$M$56:$M$59,J$3)</f>
        <v>0</v>
      </c>
      <c r="K51" s="46">
        <f>COUNTIF(Users!$M$56:$M$59,K$3)</f>
        <v>0</v>
      </c>
      <c r="L51" s="46">
        <f>COUNTIF(Users!$M$56:$M$59,L$3)</f>
        <v>0</v>
      </c>
      <c r="M51" s="46">
        <f>COUNTA(Users!$G$56:$G$59)-SUM(H51:L51)</f>
        <v>4</v>
      </c>
      <c r="N51" s="45">
        <f t="shared" si="9"/>
        <v>0</v>
      </c>
      <c r="O51" s="46">
        <f t="shared" si="10"/>
        <v>0</v>
      </c>
      <c r="P51" s="46">
        <f t="shared" si="11"/>
        <v>4</v>
      </c>
      <c r="Q51" s="46">
        <f>COUNTIF(Users!$R$56:$R$59,Q$3)</f>
        <v>0</v>
      </c>
      <c r="R51" s="46">
        <f>COUNTIF(Users!$R$56:$R$59,R$3)</f>
        <v>0</v>
      </c>
      <c r="S51" s="46">
        <f>COUNTIF(Users!$R$56:$R$59,S$3)</f>
        <v>0</v>
      </c>
      <c r="T51" s="46">
        <f>COUNTIF(Users!$R$56:$R$59,T$3)</f>
        <v>0</v>
      </c>
      <c r="U51" s="46">
        <f>COUNTIF(Users!$R$56:$R$59,U$3)</f>
        <v>0</v>
      </c>
      <c r="V51" s="46">
        <f>COUNTA(Users!$G$56:$G$59)-SUM(Q51:U51)</f>
        <v>4</v>
      </c>
    </row>
    <row r="52" ht="15.75" customHeight="1">
      <c r="B52" s="47"/>
      <c r="C52" s="44" t="s">
        <v>117</v>
      </c>
      <c r="D52" s="44" t="s">
        <v>120</v>
      </c>
      <c r="E52" s="45">
        <f t="shared" si="6"/>
        <v>0</v>
      </c>
      <c r="F52" s="46">
        <f t="shared" si="7"/>
        <v>0</v>
      </c>
      <c r="G52" s="46">
        <f t="shared" si="8"/>
        <v>2</v>
      </c>
      <c r="H52" s="46">
        <f>COUNTIF(Users!$M$60:$M$61,H$3)</f>
        <v>0</v>
      </c>
      <c r="I52" s="46">
        <f>COUNTIF(Users!$M$60:$M$61,I$3)</f>
        <v>0</v>
      </c>
      <c r="J52" s="46">
        <f>COUNTIF(Users!$M$60:$M$61,J$3)</f>
        <v>0</v>
      </c>
      <c r="K52" s="46">
        <f>COUNTIF(Users!$M$60:$M$61,K$3)</f>
        <v>0</v>
      </c>
      <c r="L52" s="46">
        <f>COUNTIF(Users!$M$60:$M$61,L$3)</f>
        <v>0</v>
      </c>
      <c r="M52" s="46">
        <f>COUNTA(Users!$G$60:$G$61)-SUM(H52:L52)</f>
        <v>2</v>
      </c>
      <c r="N52" s="45">
        <f t="shared" si="9"/>
        <v>0</v>
      </c>
      <c r="O52" s="46">
        <f t="shared" si="10"/>
        <v>0</v>
      </c>
      <c r="P52" s="46">
        <f t="shared" si="11"/>
        <v>2</v>
      </c>
      <c r="Q52" s="46">
        <f>COUNTIF(Users!$R$60:$R$61,Q$3)</f>
        <v>0</v>
      </c>
      <c r="R52" s="46">
        <f>COUNTIF(Users!$R$60:$R$61,R$3)</f>
        <v>0</v>
      </c>
      <c r="S52" s="46">
        <f>COUNTIF(Users!$R$60:$R$61,S$3)</f>
        <v>0</v>
      </c>
      <c r="T52" s="46">
        <f>COUNTIF(Users!$R$60:$R$61,T$3)</f>
        <v>0</v>
      </c>
      <c r="U52" s="46">
        <f>COUNTIF(Users!$R$60:$R$61,U$3)</f>
        <v>0</v>
      </c>
      <c r="V52" s="46">
        <f>COUNTA(Users!$G$60:$G$61)-SUM(Q52:U52)</f>
        <v>2</v>
      </c>
    </row>
    <row r="53" ht="15.75" customHeight="1">
      <c r="B53" s="47"/>
      <c r="C53" s="44" t="s">
        <v>121</v>
      </c>
      <c r="D53" s="44" t="s">
        <v>122</v>
      </c>
      <c r="E53" s="45">
        <f t="shared" si="6"/>
        <v>0</v>
      </c>
      <c r="F53" s="46">
        <f t="shared" si="7"/>
        <v>0</v>
      </c>
      <c r="G53" s="46">
        <f t="shared" si="8"/>
        <v>2</v>
      </c>
      <c r="H53" s="46">
        <f>COUNTIF(Users!$M$62:$M$63,H$3)</f>
        <v>0</v>
      </c>
      <c r="I53" s="46">
        <f>COUNTIF(Users!$M$62:$M$63,I$3)</f>
        <v>0</v>
      </c>
      <c r="J53" s="46">
        <f>COUNTIF(Users!$M$62:$M$63,J$3)</f>
        <v>0</v>
      </c>
      <c r="K53" s="46">
        <f>COUNTIF(Users!$M$62:$M$63,K$3)</f>
        <v>0</v>
      </c>
      <c r="L53" s="46">
        <f>COUNTIF(Users!$M$62:$M$63,L$3)</f>
        <v>0</v>
      </c>
      <c r="M53" s="46">
        <f>COUNTA(Users!$G$62:$G$63)-SUM(H53:L53)</f>
        <v>2</v>
      </c>
      <c r="N53" s="45">
        <f t="shared" si="9"/>
        <v>0</v>
      </c>
      <c r="O53" s="46">
        <f t="shared" si="10"/>
        <v>0</v>
      </c>
      <c r="P53" s="46">
        <f t="shared" si="11"/>
        <v>2</v>
      </c>
      <c r="Q53" s="46">
        <f>COUNTIF(Users!$R$62:$R$63,Q$3)</f>
        <v>0</v>
      </c>
      <c r="R53" s="46">
        <f>COUNTIF(Users!$R$62:$R$63,R$3)</f>
        <v>0</v>
      </c>
      <c r="S53" s="46">
        <f>COUNTIF(Users!$R$62:$R$63,S$3)</f>
        <v>0</v>
      </c>
      <c r="T53" s="46">
        <f>COUNTIF(Users!$R$62:$R$63,T$3)</f>
        <v>0</v>
      </c>
      <c r="U53" s="46">
        <f>COUNTIF(Users!$R$62:$R$63,U$3)</f>
        <v>0</v>
      </c>
      <c r="V53" s="46">
        <f>COUNTA(Users!$G$62:$G$63)-SUM(Q53:U53)</f>
        <v>2</v>
      </c>
    </row>
    <row r="54" ht="15.75" customHeight="1">
      <c r="B54" s="47"/>
      <c r="C54" s="44" t="s">
        <v>97</v>
      </c>
      <c r="D54" s="44" t="s">
        <v>98</v>
      </c>
      <c r="E54" s="45">
        <f t="shared" si="6"/>
        <v>0</v>
      </c>
      <c r="F54" s="46">
        <f t="shared" si="7"/>
        <v>0</v>
      </c>
      <c r="G54" s="46">
        <f t="shared" si="8"/>
        <v>3</v>
      </c>
      <c r="H54" s="46">
        <f>COUNTIF(Users!$M$64:$M$66,H$3)</f>
        <v>0</v>
      </c>
      <c r="I54" s="46">
        <f>COUNTIF(Users!$M$64:$M$66,I$3)</f>
        <v>0</v>
      </c>
      <c r="J54" s="46">
        <f>COUNTIF(Users!$M$64:$M$66,J$3)</f>
        <v>0</v>
      </c>
      <c r="K54" s="46">
        <f>COUNTIF(Users!$M$64:$M$66,K$3)</f>
        <v>0</v>
      </c>
      <c r="L54" s="46">
        <f>COUNTIF(Users!$M$64:$M$66,L$3)</f>
        <v>0</v>
      </c>
      <c r="M54" s="46">
        <f>COUNTA(Users!$G$64:$G$66)-SUM(H54:L54)</f>
        <v>3</v>
      </c>
      <c r="N54" s="45">
        <f t="shared" si="9"/>
        <v>0</v>
      </c>
      <c r="O54" s="46">
        <f t="shared" si="10"/>
        <v>0</v>
      </c>
      <c r="P54" s="46">
        <f t="shared" si="11"/>
        <v>3</v>
      </c>
      <c r="Q54" s="46">
        <f>COUNTIF(Users!$R$64:$R$66,Q$3)</f>
        <v>0</v>
      </c>
      <c r="R54" s="46">
        <f>COUNTIF(Users!$R$64:$R$66,R$3)</f>
        <v>0</v>
      </c>
      <c r="S54" s="46">
        <f>COUNTIF(Users!$R$64:$R$66,S$3)</f>
        <v>0</v>
      </c>
      <c r="T54" s="46">
        <f>COUNTIF(Users!$R$64:$R$66,T$3)</f>
        <v>0</v>
      </c>
      <c r="U54" s="46">
        <f>COUNTIF(Users!$R$64:$R$66,U$3)</f>
        <v>0</v>
      </c>
      <c r="V54" s="46">
        <f>COUNTA(Users!$G$64:$G$66)-SUM(Q54:U54)</f>
        <v>3</v>
      </c>
    </row>
    <row r="55" ht="15.75" customHeight="1">
      <c r="B55" s="47"/>
      <c r="C55" s="44" t="s">
        <v>97</v>
      </c>
      <c r="D55" s="44" t="s">
        <v>99</v>
      </c>
      <c r="E55" s="45">
        <f t="shared" si="6"/>
        <v>0</v>
      </c>
      <c r="F55" s="46">
        <f t="shared" si="7"/>
        <v>0</v>
      </c>
      <c r="G55" s="46">
        <f t="shared" si="8"/>
        <v>1</v>
      </c>
      <c r="H55" s="46">
        <f>COUNTIF(Users!$M$67:$M$67,H$3)</f>
        <v>0</v>
      </c>
      <c r="I55" s="46">
        <f>COUNTIF(Users!$M$67:$M$67,I$3)</f>
        <v>0</v>
      </c>
      <c r="J55" s="46">
        <f>COUNTIF(Users!$M$67:$M$67,J$3)</f>
        <v>0</v>
      </c>
      <c r="K55" s="46">
        <f>COUNTIF(Users!$M$67:$M$67,K$3)</f>
        <v>0</v>
      </c>
      <c r="L55" s="46">
        <f>COUNTIF(Users!$M$67:$M$67,L$3)</f>
        <v>0</v>
      </c>
      <c r="M55" s="46">
        <f>COUNTA(Users!$G$67:$G$67)-SUM(H55:L55)</f>
        <v>1</v>
      </c>
      <c r="N55" s="45">
        <f t="shared" si="9"/>
        <v>0</v>
      </c>
      <c r="O55" s="46">
        <f t="shared" si="10"/>
        <v>0</v>
      </c>
      <c r="P55" s="46">
        <f t="shared" si="11"/>
        <v>1</v>
      </c>
      <c r="Q55" s="46">
        <f>COUNTIF(Users!$R$67:$R$67,Q$3)</f>
        <v>0</v>
      </c>
      <c r="R55" s="46">
        <f>COUNTIF(Users!$R$67:$R$67,R$3)</f>
        <v>0</v>
      </c>
      <c r="S55" s="46">
        <f>COUNTIF(Users!$R$67:$R$67,S$3)</f>
        <v>0</v>
      </c>
      <c r="T55" s="46">
        <f>COUNTIF(Users!$R$67:$R$67,T$3)</f>
        <v>0</v>
      </c>
      <c r="U55" s="46">
        <f>COUNTIF(Users!$R$67:$R$67,U$3)</f>
        <v>0</v>
      </c>
      <c r="V55" s="46">
        <f>COUNTA(Users!$G$67:$G$67)-SUM(Q55:U55)</f>
        <v>1</v>
      </c>
    </row>
    <row r="56" ht="15.75" customHeight="1">
      <c r="B56" s="47"/>
      <c r="C56" s="44" t="s">
        <v>97</v>
      </c>
      <c r="D56" s="44" t="s">
        <v>100</v>
      </c>
      <c r="E56" s="45">
        <f t="shared" si="6"/>
        <v>0</v>
      </c>
      <c r="F56" s="46">
        <f t="shared" si="7"/>
        <v>0</v>
      </c>
      <c r="G56" s="46">
        <f t="shared" si="8"/>
        <v>1</v>
      </c>
      <c r="H56" s="46">
        <f>COUNTIF(Users!$M$68:$M$68,H$3)</f>
        <v>0</v>
      </c>
      <c r="I56" s="46">
        <f>COUNTIF(Users!$M$68:$M$68,I$3)</f>
        <v>0</v>
      </c>
      <c r="J56" s="46">
        <f>COUNTIF(Users!$M$68:$M$68,J$3)</f>
        <v>0</v>
      </c>
      <c r="K56" s="46">
        <f>COUNTIF(Users!$M$68:$M$68,K$3)</f>
        <v>0</v>
      </c>
      <c r="L56" s="46">
        <f>COUNTIF(Users!$M$68:$M$68,L$3)</f>
        <v>0</v>
      </c>
      <c r="M56" s="46">
        <f>COUNTA(Users!$G$68:$G$68)-SUM(H56:L56)</f>
        <v>1</v>
      </c>
      <c r="N56" s="45">
        <f t="shared" si="9"/>
        <v>0</v>
      </c>
      <c r="O56" s="46">
        <f t="shared" si="10"/>
        <v>0</v>
      </c>
      <c r="P56" s="46">
        <f t="shared" si="11"/>
        <v>1</v>
      </c>
      <c r="Q56" s="46">
        <f>COUNTIF(Users!$R$68:$R$68,Q$3)</f>
        <v>0</v>
      </c>
      <c r="R56" s="46">
        <f>COUNTIF(Users!$R$68:$R$68,R$3)</f>
        <v>0</v>
      </c>
      <c r="S56" s="46">
        <f>COUNTIF(Users!$R$68:$R$68,S$3)</f>
        <v>0</v>
      </c>
      <c r="T56" s="46">
        <f>COUNTIF(Users!$R$68:$R$68,T$3)</f>
        <v>0</v>
      </c>
      <c r="U56" s="46">
        <f>COUNTIF(Users!$R$68:$R$68,U$3)</f>
        <v>0</v>
      </c>
      <c r="V56" s="46">
        <f>COUNTA(Users!$G$68:$G$68)-SUM(Q56:U56)</f>
        <v>1</v>
      </c>
    </row>
    <row r="57" ht="15.75" customHeight="1">
      <c r="B57" s="47"/>
      <c r="C57" s="44" t="s">
        <v>75</v>
      </c>
      <c r="D57" s="44" t="s">
        <v>101</v>
      </c>
      <c r="E57" s="45">
        <f t="shared" si="6"/>
        <v>0</v>
      </c>
      <c r="F57" s="46">
        <f t="shared" si="7"/>
        <v>0</v>
      </c>
      <c r="G57" s="46">
        <f t="shared" si="8"/>
        <v>3</v>
      </c>
      <c r="H57" s="46">
        <f>COUNTIF(Users!$M$69:$M$71,H$3)</f>
        <v>0</v>
      </c>
      <c r="I57" s="46">
        <f>COUNTIF(Users!$M$69:$M$71,I$3)</f>
        <v>0</v>
      </c>
      <c r="J57" s="46">
        <f>COUNTIF(Users!$M$69:$M$71,J$3)</f>
        <v>0</v>
      </c>
      <c r="K57" s="46">
        <f>COUNTIF(Users!$M$69:$M$71,K$3)</f>
        <v>0</v>
      </c>
      <c r="L57" s="46">
        <f>COUNTIF(Users!$M$69:$M$71,L$3)</f>
        <v>0</v>
      </c>
      <c r="M57" s="46">
        <f>COUNTA(Users!$G$69:$G$71)-SUM(H57:L57)</f>
        <v>3</v>
      </c>
      <c r="N57" s="45">
        <f t="shared" si="9"/>
        <v>0</v>
      </c>
      <c r="O57" s="46">
        <f t="shared" si="10"/>
        <v>0</v>
      </c>
      <c r="P57" s="46">
        <f t="shared" si="11"/>
        <v>3</v>
      </c>
      <c r="Q57" s="46">
        <f>COUNTIF(Users!$R$69:$R$71,Q$3)</f>
        <v>0</v>
      </c>
      <c r="R57" s="46">
        <f>COUNTIF(Users!$R$69:$R$71,R$3)</f>
        <v>0</v>
      </c>
      <c r="S57" s="46">
        <f>COUNTIF(Users!$R$69:$R$71,S$3)</f>
        <v>0</v>
      </c>
      <c r="T57" s="46">
        <f>COUNTIF(Users!$R$69:$R$71,T$3)</f>
        <v>0</v>
      </c>
      <c r="U57" s="46">
        <f>COUNTIF(Users!$R$69:$R$71,U$3)</f>
        <v>0</v>
      </c>
      <c r="V57" s="46">
        <f>COUNTA(Users!$G$69:$G$71)-SUM(Q57:U57)</f>
        <v>3</v>
      </c>
    </row>
    <row r="58" ht="15.75" customHeight="1">
      <c r="B58" s="47"/>
      <c r="C58" s="44" t="s">
        <v>75</v>
      </c>
      <c r="D58" s="44" t="s">
        <v>123</v>
      </c>
      <c r="E58" s="45">
        <f t="shared" si="6"/>
        <v>0</v>
      </c>
      <c r="F58" s="46">
        <f t="shared" si="7"/>
        <v>0</v>
      </c>
      <c r="G58" s="46">
        <f t="shared" si="8"/>
        <v>1</v>
      </c>
      <c r="H58" s="46">
        <f>COUNTIF(Users!$M$72:$M$72,H$3)</f>
        <v>0</v>
      </c>
      <c r="I58" s="46">
        <f>COUNTIF(Users!$M$72:$M$72,I$3)</f>
        <v>0</v>
      </c>
      <c r="J58" s="46">
        <f>COUNTIF(Users!$M$72:$M$72,J$3)</f>
        <v>0</v>
      </c>
      <c r="K58" s="46">
        <f>COUNTIF(Users!$M$72:$M$72,K$3)</f>
        <v>0</v>
      </c>
      <c r="L58" s="46">
        <f>COUNTIF(Users!$M$72:$M$72,L$3)</f>
        <v>0</v>
      </c>
      <c r="M58" s="46">
        <f>COUNTA(Users!$G$72:$G$72)-SUM(H58:L58)</f>
        <v>1</v>
      </c>
      <c r="N58" s="45">
        <f t="shared" si="9"/>
        <v>0</v>
      </c>
      <c r="O58" s="46">
        <f t="shared" si="10"/>
        <v>0</v>
      </c>
      <c r="P58" s="46">
        <f t="shared" si="11"/>
        <v>1</v>
      </c>
      <c r="Q58" s="46">
        <f>COUNTIF(Users!$R$72:$R$72,Q$3)</f>
        <v>0</v>
      </c>
      <c r="R58" s="46">
        <f>COUNTIF(Users!$R$72:$R$72,R$3)</f>
        <v>0</v>
      </c>
      <c r="S58" s="46">
        <f>COUNTIF(Users!$R$72:$R$72,S$3)</f>
        <v>0</v>
      </c>
      <c r="T58" s="46">
        <f>COUNTIF(Users!$R$72:$R$72,T$3)</f>
        <v>0</v>
      </c>
      <c r="U58" s="46">
        <f>COUNTIF(Users!$R$72:$R$72,U$3)</f>
        <v>0</v>
      </c>
      <c r="V58" s="46">
        <f>COUNTA(Users!$G$72:$G$72)-SUM(Q58:U58)</f>
        <v>1</v>
      </c>
    </row>
    <row r="59" ht="15.75" customHeight="1">
      <c r="B59" s="47"/>
      <c r="C59" s="44" t="s">
        <v>75</v>
      </c>
      <c r="D59" s="44" t="s">
        <v>102</v>
      </c>
      <c r="E59" s="45">
        <f t="shared" si="6"/>
        <v>0</v>
      </c>
      <c r="F59" s="46">
        <f t="shared" si="7"/>
        <v>0</v>
      </c>
      <c r="G59" s="46">
        <f t="shared" si="8"/>
        <v>1</v>
      </c>
      <c r="H59" s="46">
        <f>COUNTIF(Users!$M$73:$M$73,H$3)</f>
        <v>0</v>
      </c>
      <c r="I59" s="46">
        <f>COUNTIF(Users!$M$73:$M$73,I$3)</f>
        <v>0</v>
      </c>
      <c r="J59" s="46">
        <f>COUNTIF(Users!$M$73:$M$73,J$3)</f>
        <v>0</v>
      </c>
      <c r="K59" s="46">
        <f>COUNTIF(Users!$M$73:$M$73,K$3)</f>
        <v>0</v>
      </c>
      <c r="L59" s="46">
        <f>COUNTIF(Users!$M$73:$M$73,L$3)</f>
        <v>0</v>
      </c>
      <c r="M59" s="46">
        <f>COUNTA(Users!$G$73:$G$73)-SUM(H59:L59)</f>
        <v>1</v>
      </c>
      <c r="N59" s="45">
        <f t="shared" si="9"/>
        <v>0</v>
      </c>
      <c r="O59" s="46">
        <f t="shared" si="10"/>
        <v>0</v>
      </c>
      <c r="P59" s="46">
        <f t="shared" si="11"/>
        <v>1</v>
      </c>
      <c r="Q59" s="46">
        <f>COUNTIF(Users!$R$73:$R$73,Q$3)</f>
        <v>0</v>
      </c>
      <c r="R59" s="46">
        <f>COUNTIF(Users!$R$73:$R$73,R$3)</f>
        <v>0</v>
      </c>
      <c r="S59" s="46">
        <f>COUNTIF(Users!$R$73:$R$73,S$3)</f>
        <v>0</v>
      </c>
      <c r="T59" s="46">
        <f>COUNTIF(Users!$R$73:$R$73,T$3)</f>
        <v>0</v>
      </c>
      <c r="U59" s="46">
        <f>COUNTIF(Users!$R$73:$R$73,U$3)</f>
        <v>0</v>
      </c>
      <c r="V59" s="46">
        <f>COUNTA(Users!$G$73:$G$73)-SUM(Q59:U59)</f>
        <v>1</v>
      </c>
    </row>
    <row r="60" ht="15.75" customHeight="1">
      <c r="B60" s="47"/>
      <c r="C60" s="44" t="s">
        <v>75</v>
      </c>
      <c r="D60" s="44" t="s">
        <v>103</v>
      </c>
      <c r="E60" s="45">
        <f t="shared" si="6"/>
        <v>0</v>
      </c>
      <c r="F60" s="46">
        <f t="shared" si="7"/>
        <v>0</v>
      </c>
      <c r="G60" s="46">
        <f t="shared" si="8"/>
        <v>1</v>
      </c>
      <c r="H60" s="46">
        <f>COUNTIF(Users!$M$74:$M$74,H$3)</f>
        <v>0</v>
      </c>
      <c r="I60" s="46">
        <f>COUNTIF(Users!$M$74:$M$74,I$3)</f>
        <v>0</v>
      </c>
      <c r="J60" s="46">
        <f>COUNTIF(Users!$M$74:$M$74,J$3)</f>
        <v>0</v>
      </c>
      <c r="K60" s="46">
        <f>COUNTIF(Users!$M$74:$M$74,K$3)</f>
        <v>0</v>
      </c>
      <c r="L60" s="46">
        <f>COUNTIF(Users!$M$74:$M$74,L$3)</f>
        <v>0</v>
      </c>
      <c r="M60" s="46">
        <f>COUNTA(Users!$G$74:$G$74)-SUM(H60:L60)</f>
        <v>1</v>
      </c>
      <c r="N60" s="45">
        <f t="shared" si="9"/>
        <v>0</v>
      </c>
      <c r="O60" s="46">
        <f t="shared" si="10"/>
        <v>0</v>
      </c>
      <c r="P60" s="46">
        <f t="shared" si="11"/>
        <v>1</v>
      </c>
      <c r="Q60" s="46">
        <f>COUNTIF(Users!$R$74:$R$74,Q$3)</f>
        <v>0</v>
      </c>
      <c r="R60" s="46">
        <f>COUNTIF(Users!$R$74:$R$74,R$3)</f>
        <v>0</v>
      </c>
      <c r="S60" s="46">
        <f>COUNTIF(Users!$R$74:$R$74,S$3)</f>
        <v>0</v>
      </c>
      <c r="T60" s="46">
        <f>COUNTIF(Users!$R$74:$R$74,T$3)</f>
        <v>0</v>
      </c>
      <c r="U60" s="46">
        <f>COUNTIF(Users!$R$74:$R$74,U$3)</f>
        <v>0</v>
      </c>
      <c r="V60" s="46">
        <f>COUNTA(Users!$G$74:$G$74)-SUM(Q60:U60)</f>
        <v>1</v>
      </c>
    </row>
    <row r="61" ht="15.75" customHeight="1">
      <c r="B61" s="12"/>
      <c r="C61" s="48" t="s">
        <v>57</v>
      </c>
      <c r="D61" s="48"/>
      <c r="E61" s="49">
        <f t="shared" si="6"/>
        <v>0</v>
      </c>
      <c r="F61" s="50">
        <f t="shared" si="7"/>
        <v>0</v>
      </c>
      <c r="G61" s="50">
        <f t="shared" si="8"/>
        <v>62</v>
      </c>
      <c r="H61" s="50">
        <f t="shared" ref="H61:M61" si="16">SUM(H41:H60)</f>
        <v>0</v>
      </c>
      <c r="I61" s="50">
        <f t="shared" si="16"/>
        <v>0</v>
      </c>
      <c r="J61" s="50">
        <f t="shared" si="16"/>
        <v>0</v>
      </c>
      <c r="K61" s="50">
        <f t="shared" si="16"/>
        <v>0</v>
      </c>
      <c r="L61" s="50">
        <f t="shared" si="16"/>
        <v>0</v>
      </c>
      <c r="M61" s="50">
        <f t="shared" si="16"/>
        <v>62</v>
      </c>
      <c r="N61" s="49">
        <f t="shared" si="9"/>
        <v>0</v>
      </c>
      <c r="O61" s="50">
        <f t="shared" si="10"/>
        <v>0</v>
      </c>
      <c r="P61" s="50">
        <f t="shared" si="11"/>
        <v>62</v>
      </c>
      <c r="Q61" s="50">
        <f t="shared" ref="Q61:V61" si="17">SUM(Q41:Q60)</f>
        <v>0</v>
      </c>
      <c r="R61" s="50">
        <f t="shared" si="17"/>
        <v>0</v>
      </c>
      <c r="S61" s="50">
        <f t="shared" si="17"/>
        <v>0</v>
      </c>
      <c r="T61" s="50">
        <f t="shared" si="17"/>
        <v>0</v>
      </c>
      <c r="U61" s="50">
        <f t="shared" si="17"/>
        <v>0</v>
      </c>
      <c r="V61" s="50">
        <f t="shared" si="17"/>
        <v>62</v>
      </c>
    </row>
    <row r="62" ht="15.75" customHeight="1">
      <c r="B62" s="43" t="s">
        <v>124</v>
      </c>
      <c r="C62" s="44" t="s">
        <v>66</v>
      </c>
      <c r="D62" s="44" t="s">
        <v>125</v>
      </c>
      <c r="E62" s="45">
        <f t="shared" si="6"/>
        <v>0</v>
      </c>
      <c r="F62" s="46">
        <f t="shared" si="7"/>
        <v>0</v>
      </c>
      <c r="G62" s="46">
        <f t="shared" si="8"/>
        <v>1</v>
      </c>
      <c r="H62" s="46">
        <f>COUNTIF(Profile!$M$13:$M$13,H$3)</f>
        <v>0</v>
      </c>
      <c r="I62" s="46">
        <f>COUNTIF(Profile!$M$13:$M$13,I$3)</f>
        <v>0</v>
      </c>
      <c r="J62" s="46">
        <f>COUNTIF(Profile!$M$13:$M$13,J$3)</f>
        <v>0</v>
      </c>
      <c r="K62" s="46">
        <f>COUNTIF(Profile!$M$13:$M$13,K$3)</f>
        <v>0</v>
      </c>
      <c r="L62" s="46">
        <f>COUNTIF(Profile!$M$13:$M$13,L$3)</f>
        <v>0</v>
      </c>
      <c r="M62" s="46">
        <f>COUNTA(Profile!$G$13:$G$13)-SUM(H62:L62)</f>
        <v>1</v>
      </c>
      <c r="N62" s="45">
        <f t="shared" si="9"/>
        <v>0</v>
      </c>
      <c r="O62" s="46">
        <f t="shared" si="10"/>
        <v>0</v>
      </c>
      <c r="P62" s="46">
        <f t="shared" si="11"/>
        <v>1</v>
      </c>
      <c r="Q62" s="46">
        <f>COUNTIF(Profile!$R$13:$R$13,Q$3)</f>
        <v>0</v>
      </c>
      <c r="R62" s="46">
        <f>COUNTIF(Profile!$R$13:$R$13,R$3)</f>
        <v>0</v>
      </c>
      <c r="S62" s="46">
        <f>COUNTIF(Profile!$R$13:$R$13,S$3)</f>
        <v>0</v>
      </c>
      <c r="T62" s="46">
        <f>COUNTIF(Profile!$R$13:$R$13,T$3)</f>
        <v>0</v>
      </c>
      <c r="U62" s="46">
        <f>COUNTIF(Profile!$R$13:$R$13,U$3)</f>
        <v>0</v>
      </c>
      <c r="V62" s="46">
        <f>COUNTA(Profile!$G$13:$G$13)-SUM(Q62:U62)</f>
        <v>1</v>
      </c>
    </row>
    <row r="63" ht="15.75" customHeight="1">
      <c r="B63" s="47"/>
      <c r="C63" s="44" t="s">
        <v>126</v>
      </c>
      <c r="D63" s="44" t="s">
        <v>127</v>
      </c>
      <c r="E63" s="45">
        <f t="shared" si="6"/>
        <v>0</v>
      </c>
      <c r="F63" s="46">
        <f t="shared" si="7"/>
        <v>0</v>
      </c>
      <c r="G63" s="46">
        <f t="shared" si="8"/>
        <v>2</v>
      </c>
      <c r="H63" s="46">
        <f>COUNTIF(Profile!$M$14:$M$15,H$3)</f>
        <v>0</v>
      </c>
      <c r="I63" s="46">
        <f>COUNTIF(Profile!$M$14:$M$15,I$3)</f>
        <v>0</v>
      </c>
      <c r="J63" s="46">
        <f>COUNTIF(Profile!$M$14:$M$15,J$3)</f>
        <v>0</v>
      </c>
      <c r="K63" s="46">
        <f>COUNTIF(Profile!$M$14:$M$15,K$3)</f>
        <v>0</v>
      </c>
      <c r="L63" s="46">
        <f>COUNTIF(Profile!$M$14:$M$15,L$3)</f>
        <v>0</v>
      </c>
      <c r="M63" s="46">
        <f>COUNTA(Profile!$G$14:$G$15)-SUM(H63:L63)</f>
        <v>2</v>
      </c>
      <c r="N63" s="45">
        <f t="shared" si="9"/>
        <v>0</v>
      </c>
      <c r="O63" s="46">
        <f t="shared" si="10"/>
        <v>0</v>
      </c>
      <c r="P63" s="46">
        <f t="shared" si="11"/>
        <v>2</v>
      </c>
      <c r="Q63" s="46">
        <f>COUNTIF(Profile!$R$14:$R$15,Q$3)</f>
        <v>0</v>
      </c>
      <c r="R63" s="46">
        <f>COUNTIF(Profile!$R$14:$R$15,R$3)</f>
        <v>0</v>
      </c>
      <c r="S63" s="46">
        <f>COUNTIF(Profile!$R$14:$R$15,S$3)</f>
        <v>0</v>
      </c>
      <c r="T63" s="46">
        <f>COUNTIF(Profile!$R$14:$R$15,T$3)</f>
        <v>0</v>
      </c>
      <c r="U63" s="46">
        <f>COUNTIF(Profile!$R$14:$R$15,U$3)</f>
        <v>0</v>
      </c>
      <c r="V63" s="46">
        <f>COUNTA(Profile!$G$14:$G$15)-SUM(Q63:U63)</f>
        <v>2</v>
      </c>
    </row>
    <row r="64" ht="15.75" customHeight="1">
      <c r="B64" s="47"/>
      <c r="C64" s="44" t="s">
        <v>126</v>
      </c>
      <c r="D64" s="44" t="s">
        <v>128</v>
      </c>
      <c r="E64" s="45">
        <f t="shared" si="6"/>
        <v>0</v>
      </c>
      <c r="F64" s="46">
        <f t="shared" si="7"/>
        <v>0</v>
      </c>
      <c r="G64" s="46">
        <f t="shared" si="8"/>
        <v>3</v>
      </c>
      <c r="H64" s="46">
        <f>COUNTIF(Profile!$M$16:$M$18,H$3)</f>
        <v>0</v>
      </c>
      <c r="I64" s="46">
        <f>COUNTIF(Profile!$M$16:$M$18,I$3)</f>
        <v>0</v>
      </c>
      <c r="J64" s="46">
        <f>COUNTIF(Profile!$M$16:$M$18,J$3)</f>
        <v>0</v>
      </c>
      <c r="K64" s="46">
        <f>COUNTIF(Profile!$M$16:$M$18,K$3)</f>
        <v>0</v>
      </c>
      <c r="L64" s="46">
        <f>COUNTIF(Profile!$M$16:$M$18,L$3)</f>
        <v>0</v>
      </c>
      <c r="M64" s="46">
        <f>COUNTA(Profile!$G$16:$G$18)-SUM(H64:L64)</f>
        <v>3</v>
      </c>
      <c r="N64" s="45">
        <f t="shared" si="9"/>
        <v>0</v>
      </c>
      <c r="O64" s="46">
        <f t="shared" si="10"/>
        <v>0</v>
      </c>
      <c r="P64" s="46">
        <f t="shared" si="11"/>
        <v>3</v>
      </c>
      <c r="Q64" s="46">
        <f>COUNTIF(Profile!$R$16:$R$18,Q$3)</f>
        <v>0</v>
      </c>
      <c r="R64" s="46">
        <f>COUNTIF(Profile!$R$16:$R$18,R$3)</f>
        <v>0</v>
      </c>
      <c r="S64" s="46">
        <f>COUNTIF(Profile!$R$16:$R$18,S$3)</f>
        <v>0</v>
      </c>
      <c r="T64" s="46">
        <f>COUNTIF(Profile!$R$16:$R$18,T$3)</f>
        <v>0</v>
      </c>
      <c r="U64" s="46">
        <f>COUNTIF(Profile!$R$16:$R$18,U$3)</f>
        <v>0</v>
      </c>
      <c r="V64" s="46">
        <f>COUNTA(Profile!$G$16:$G$18)-SUM(Q64:U64)</f>
        <v>3</v>
      </c>
    </row>
    <row r="65" ht="15.75" customHeight="1">
      <c r="B65" s="47"/>
      <c r="C65" s="44" t="s">
        <v>129</v>
      </c>
      <c r="D65" s="44" t="s">
        <v>130</v>
      </c>
      <c r="E65" s="45">
        <f t="shared" si="6"/>
        <v>0</v>
      </c>
      <c r="F65" s="46">
        <f t="shared" si="7"/>
        <v>0</v>
      </c>
      <c r="G65" s="46">
        <f t="shared" si="8"/>
        <v>5</v>
      </c>
      <c r="H65" s="46">
        <f>COUNTIF(Profile!$M$19:$M$23,H$3)</f>
        <v>0</v>
      </c>
      <c r="I65" s="46">
        <f>COUNTIF(Profile!$M$19:$M$23,I$3)</f>
        <v>0</v>
      </c>
      <c r="J65" s="46">
        <f>COUNTIF(Profile!$M$19:$M$23,J$3)</f>
        <v>0</v>
      </c>
      <c r="K65" s="46">
        <f>COUNTIF(Profile!$M$19:$M$23,K$3)</f>
        <v>0</v>
      </c>
      <c r="L65" s="46">
        <f>COUNTIF(Profile!$M$19:$M$23,L$3)</f>
        <v>0</v>
      </c>
      <c r="M65" s="46">
        <f>COUNTA(Profile!$G$19:$G$23)-SUM(H65:L65)</f>
        <v>5</v>
      </c>
      <c r="N65" s="45">
        <f t="shared" si="9"/>
        <v>0</v>
      </c>
      <c r="O65" s="46">
        <f t="shared" si="10"/>
        <v>0</v>
      </c>
      <c r="P65" s="46">
        <f t="shared" si="11"/>
        <v>5</v>
      </c>
      <c r="Q65" s="46">
        <f>COUNTIF(Profile!$R$19:$R$23,Q$3)</f>
        <v>0</v>
      </c>
      <c r="R65" s="46">
        <f>COUNTIF(Profile!$R$19:$R$23,R$3)</f>
        <v>0</v>
      </c>
      <c r="S65" s="46">
        <f>COUNTIF(Profile!$R$19:$R$23,S$3)</f>
        <v>0</v>
      </c>
      <c r="T65" s="46">
        <f>COUNTIF(Profile!$R$19:$R$23,T$3)</f>
        <v>0</v>
      </c>
      <c r="U65" s="46">
        <f>COUNTIF(Profile!$R$19:$R$23,U$3)</f>
        <v>0</v>
      </c>
      <c r="V65" s="46">
        <f>COUNTA(Profile!$G$19:$G$23)-SUM(Q65:U65)</f>
        <v>5</v>
      </c>
    </row>
    <row r="66" ht="15.75" customHeight="1">
      <c r="B66" s="47"/>
      <c r="C66" s="44" t="s">
        <v>97</v>
      </c>
      <c r="D66" s="44" t="s">
        <v>100</v>
      </c>
      <c r="E66" s="45">
        <f t="shared" si="6"/>
        <v>0</v>
      </c>
      <c r="F66" s="46">
        <f t="shared" si="7"/>
        <v>0</v>
      </c>
      <c r="G66" s="46">
        <f t="shared" si="8"/>
        <v>1</v>
      </c>
      <c r="H66" s="46">
        <f>COUNTIF(Profile!$M$24:$M$24,H$3)</f>
        <v>0</v>
      </c>
      <c r="I66" s="46">
        <f>COUNTIF(Profile!$M$24:$M$24,I$3)</f>
        <v>0</v>
      </c>
      <c r="J66" s="46">
        <f>COUNTIF(Profile!$M$24:$M$24,J$3)</f>
        <v>0</v>
      </c>
      <c r="K66" s="46">
        <f>COUNTIF(Profile!$M$24:$M$24,K$3)</f>
        <v>0</v>
      </c>
      <c r="L66" s="46">
        <f>COUNTIF(Profile!$M$24:$M$24,L$3)</f>
        <v>0</v>
      </c>
      <c r="M66" s="46">
        <f>COUNTA(Profile!$G$24:$G$24)-SUM(H66:L66)</f>
        <v>1</v>
      </c>
      <c r="N66" s="45">
        <f t="shared" si="9"/>
        <v>0</v>
      </c>
      <c r="O66" s="46">
        <f t="shared" si="10"/>
        <v>0</v>
      </c>
      <c r="P66" s="46">
        <f t="shared" si="11"/>
        <v>1</v>
      </c>
      <c r="Q66" s="46">
        <f>COUNTIF(Profile!$R$24:$R$24,Q$3)</f>
        <v>0</v>
      </c>
      <c r="R66" s="46">
        <f>COUNTIF(Profile!$R$24:$R$24,R$3)</f>
        <v>0</v>
      </c>
      <c r="S66" s="46">
        <f>COUNTIF(Profile!$R$24:$R$24,S$3)</f>
        <v>0</v>
      </c>
      <c r="T66" s="46">
        <f>COUNTIF(Profile!$R$24:$R$24,T$3)</f>
        <v>0</v>
      </c>
      <c r="U66" s="46">
        <f>COUNTIF(Profile!$R$24:$R$24,U$3)</f>
        <v>0</v>
      </c>
      <c r="V66" s="46">
        <f>COUNTA(Profile!$G$24:$G$24)-SUM(Q66:U66)</f>
        <v>1</v>
      </c>
    </row>
    <row r="67" ht="15.75" customHeight="1">
      <c r="B67" s="47"/>
      <c r="C67" s="44" t="s">
        <v>97</v>
      </c>
      <c r="D67" s="44" t="s">
        <v>99</v>
      </c>
      <c r="E67" s="45">
        <f t="shared" si="6"/>
        <v>0</v>
      </c>
      <c r="F67" s="46">
        <f t="shared" si="7"/>
        <v>0</v>
      </c>
      <c r="G67" s="46">
        <f t="shared" si="8"/>
        <v>1</v>
      </c>
      <c r="H67" s="46">
        <f>COUNTIF(Profile!$M$25:$M$25,H$3)</f>
        <v>0</v>
      </c>
      <c r="I67" s="46">
        <f>COUNTIF(Profile!$M$25:$M$25,I$3)</f>
        <v>0</v>
      </c>
      <c r="J67" s="46">
        <f>COUNTIF(Profile!$M$25:$M$25,J$3)</f>
        <v>0</v>
      </c>
      <c r="K67" s="46">
        <f>COUNTIF(Profile!$M$25:$M$25,K$3)</f>
        <v>0</v>
      </c>
      <c r="L67" s="46">
        <f>COUNTIF(Profile!$M$25:$M$25,L$3)</f>
        <v>0</v>
      </c>
      <c r="M67" s="46">
        <f>COUNTA(Profile!$G$25:$G$25)-SUM(H67:L67)</f>
        <v>1</v>
      </c>
      <c r="N67" s="45">
        <f t="shared" si="9"/>
        <v>0</v>
      </c>
      <c r="O67" s="46">
        <f t="shared" si="10"/>
        <v>0</v>
      </c>
      <c r="P67" s="46">
        <f t="shared" si="11"/>
        <v>1</v>
      </c>
      <c r="Q67" s="46">
        <f>COUNTIF(Profile!$R$25:$R$25,Q$3)</f>
        <v>0</v>
      </c>
      <c r="R67" s="46">
        <f>COUNTIF(Profile!$R$25:$R$25,R$3)</f>
        <v>0</v>
      </c>
      <c r="S67" s="46">
        <f>COUNTIF(Profile!$R$25:$R$25,S$3)</f>
        <v>0</v>
      </c>
      <c r="T67" s="46">
        <f>COUNTIF(Profile!$R$25:$R$25,T$3)</f>
        <v>0</v>
      </c>
      <c r="U67" s="46">
        <f>COUNTIF(Profile!$R$25:$R$25,U$3)</f>
        <v>0</v>
      </c>
      <c r="V67" s="46">
        <f>COUNTA(Profile!$G$25:$G$25)-SUM(Q67:U67)</f>
        <v>1</v>
      </c>
    </row>
    <row r="68" ht="15.75" customHeight="1">
      <c r="B68" s="12"/>
      <c r="C68" s="48" t="s">
        <v>57</v>
      </c>
      <c r="D68" s="48"/>
      <c r="E68" s="49">
        <f t="shared" si="6"/>
        <v>0</v>
      </c>
      <c r="F68" s="50">
        <f t="shared" si="7"/>
        <v>0</v>
      </c>
      <c r="G68" s="50">
        <f t="shared" si="8"/>
        <v>13</v>
      </c>
      <c r="H68" s="50">
        <f t="shared" ref="H68:M68" si="18">SUM(H62:H67)</f>
        <v>0</v>
      </c>
      <c r="I68" s="50">
        <f t="shared" si="18"/>
        <v>0</v>
      </c>
      <c r="J68" s="50">
        <f t="shared" si="18"/>
        <v>0</v>
      </c>
      <c r="K68" s="50">
        <f t="shared" si="18"/>
        <v>0</v>
      </c>
      <c r="L68" s="50">
        <f t="shared" si="18"/>
        <v>0</v>
      </c>
      <c r="M68" s="50">
        <f t="shared" si="18"/>
        <v>13</v>
      </c>
      <c r="N68" s="49">
        <f t="shared" si="9"/>
        <v>0</v>
      </c>
      <c r="O68" s="50">
        <f t="shared" si="10"/>
        <v>0</v>
      </c>
      <c r="P68" s="50">
        <f t="shared" si="11"/>
        <v>13</v>
      </c>
      <c r="Q68" s="50">
        <f t="shared" ref="Q68:V68" si="19">SUM(Q62:Q67)</f>
        <v>0</v>
      </c>
      <c r="R68" s="50">
        <f t="shared" si="19"/>
        <v>0</v>
      </c>
      <c r="S68" s="50">
        <f t="shared" si="19"/>
        <v>0</v>
      </c>
      <c r="T68" s="50">
        <f t="shared" si="19"/>
        <v>0</v>
      </c>
      <c r="U68" s="50">
        <f t="shared" si="19"/>
        <v>0</v>
      </c>
      <c r="V68" s="50">
        <f t="shared" si="19"/>
        <v>13</v>
      </c>
    </row>
    <row r="69" ht="15.75" customHeight="1">
      <c r="B69" s="41" t="s">
        <v>57</v>
      </c>
      <c r="C69" s="48"/>
      <c r="D69" s="48"/>
      <c r="E69" s="49">
        <f t="shared" si="6"/>
        <v>0</v>
      </c>
      <c r="F69" s="50">
        <f t="shared" ref="F69:M69" si="20">SUM(F14,F40,F61,F68)</f>
        <v>0</v>
      </c>
      <c r="G69" s="50">
        <f t="shared" si="20"/>
        <v>254</v>
      </c>
      <c r="H69" s="50">
        <f t="shared" si="20"/>
        <v>0</v>
      </c>
      <c r="I69" s="50">
        <f t="shared" si="20"/>
        <v>0</v>
      </c>
      <c r="J69" s="50">
        <f t="shared" si="20"/>
        <v>0</v>
      </c>
      <c r="K69" s="50">
        <f t="shared" si="20"/>
        <v>0</v>
      </c>
      <c r="L69" s="50">
        <f t="shared" si="20"/>
        <v>0</v>
      </c>
      <c r="M69" s="50">
        <f t="shared" si="20"/>
        <v>254</v>
      </c>
      <c r="N69" s="49">
        <f t="shared" si="9"/>
        <v>0</v>
      </c>
      <c r="O69" s="50">
        <f t="shared" ref="O69:V69" si="21">SUM(O14,O40,O61,O68)</f>
        <v>0</v>
      </c>
      <c r="P69" s="50">
        <f t="shared" si="21"/>
        <v>254</v>
      </c>
      <c r="Q69" s="50">
        <f t="shared" si="21"/>
        <v>0</v>
      </c>
      <c r="R69" s="50">
        <f t="shared" si="21"/>
        <v>0</v>
      </c>
      <c r="S69" s="50">
        <f t="shared" si="21"/>
        <v>0</v>
      </c>
      <c r="T69" s="50">
        <f t="shared" si="21"/>
        <v>0</v>
      </c>
      <c r="U69" s="50">
        <f t="shared" si="21"/>
        <v>0</v>
      </c>
      <c r="V69" s="50">
        <f t="shared" si="21"/>
        <v>254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E2:M2"/>
    <mergeCell ref="B62:B68"/>
    <mergeCell ref="N2:V2"/>
    <mergeCell ref="B4:B14"/>
    <mergeCell ref="B41:B61"/>
    <mergeCell ref="B15:B4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9" style="51" width="9.5703125"/>
    <col customWidth="1" min="20" max="20" style="51" width="11.7109375"/>
    <col customWidth="1" min="21" max="21" style="51" width="9.5703125"/>
    <col customWidth="1" min="22" max="22" style="51" width="17.710937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131</v>
      </c>
      <c r="C3" s="57" t="s">
        <v>132</v>
      </c>
      <c r="D3" s="58"/>
      <c r="E3" s="54"/>
      <c r="F3" s="54"/>
      <c r="G3" s="54"/>
      <c r="H3" s="54"/>
      <c r="I3" s="54"/>
      <c r="J3" s="54"/>
      <c r="K3" s="56" t="s">
        <v>133</v>
      </c>
      <c r="L3" s="42" t="s">
        <v>57</v>
      </c>
      <c r="M3" s="42" t="s">
        <v>58</v>
      </c>
      <c r="N3" s="42" t="s">
        <v>59</v>
      </c>
      <c r="O3" s="42" t="s">
        <v>60</v>
      </c>
      <c r="P3" s="59" t="s">
        <v>61</v>
      </c>
      <c r="Q3" s="42" t="s">
        <v>62</v>
      </c>
      <c r="R3" s="42" t="s">
        <v>63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15.75" customHeight="1">
      <c r="A4" s="53"/>
      <c r="B4" s="56" t="s">
        <v>134</v>
      </c>
      <c r="C4" s="60" t="s">
        <v>135</v>
      </c>
      <c r="D4" s="61"/>
      <c r="E4" s="54"/>
      <c r="F4" s="54"/>
      <c r="G4" s="54"/>
      <c r="H4" s="54"/>
      <c r="I4" s="54"/>
      <c r="J4" s="54"/>
      <c r="K4" s="56" t="s">
        <v>136</v>
      </c>
      <c r="L4" s="62">
        <f>COUNTA($G$13:$G$112)</f>
        <v>52</v>
      </c>
      <c r="M4" s="63">
        <f>COUNTIF($M$13:$M941,M3)</f>
        <v>0</v>
      </c>
      <c r="N4" s="63">
        <f>COUNTIF($M$13:$M941,N3)</f>
        <v>0</v>
      </c>
      <c r="O4" s="63">
        <f>COUNTIF($M$13:$M941,O3)</f>
        <v>0</v>
      </c>
      <c r="P4" s="64">
        <f>COUNTIF($M$13:$M941,P3)</f>
        <v>0</v>
      </c>
      <c r="Q4" s="63">
        <f>COUNTIF($M$13:$M941,Q3)</f>
        <v>0</v>
      </c>
      <c r="R4" s="63">
        <f>L4-SUM(M4:Q4)</f>
        <v>52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66" t="s">
        <v>137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2">M4/$L$4</f>
        <v>0</v>
      </c>
      <c r="N5" s="67">
        <f t="shared" si="22"/>
        <v>0</v>
      </c>
      <c r="O5" s="67">
        <f t="shared" si="22"/>
        <v>0</v>
      </c>
      <c r="P5" s="68">
        <f t="shared" si="22"/>
        <v>0</v>
      </c>
      <c r="Q5" s="67">
        <f t="shared" si="22"/>
        <v>0</v>
      </c>
      <c r="R5" s="67">
        <f t="shared" si="22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138</v>
      </c>
      <c r="C6" s="69" t="s">
        <v>18</v>
      </c>
      <c r="D6" s="61"/>
      <c r="E6" s="54"/>
      <c r="F6" s="54"/>
      <c r="G6" s="54"/>
      <c r="H6" s="54"/>
      <c r="I6" s="54"/>
      <c r="J6" s="54"/>
      <c r="K6" s="56" t="s">
        <v>139</v>
      </c>
      <c r="L6" s="62">
        <f>COUNTA($G$13:$G$112)</f>
        <v>52</v>
      </c>
      <c r="M6" s="63">
        <f>COUNTIF($R$13:$R$115,M3)</f>
        <v>0</v>
      </c>
      <c r="N6" s="63">
        <f>COUNTIF($R$13:$R$115,N3)</f>
        <v>0</v>
      </c>
      <c r="O6" s="63">
        <f>COUNTIF($R$13:$R$115,O3)</f>
        <v>0</v>
      </c>
      <c r="P6" s="64">
        <f>COUNTIF($R$13:$R$115,P3)</f>
        <v>0</v>
      </c>
      <c r="Q6" s="63">
        <f>COUNTIF($R$13:$R$115,Q3)</f>
        <v>0</v>
      </c>
      <c r="R6" s="63">
        <f>L6-SUM(M6:Q6)</f>
        <v>52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36" customHeight="1">
      <c r="A7" s="53"/>
      <c r="B7" s="56" t="s">
        <v>17</v>
      </c>
      <c r="C7" s="70" t="s">
        <v>140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3">M6/$L$6</f>
        <v>0</v>
      </c>
      <c r="N7" s="67">
        <f t="shared" si="23"/>
        <v>0</v>
      </c>
      <c r="O7" s="67">
        <f t="shared" si="23"/>
        <v>0</v>
      </c>
      <c r="P7" s="68">
        <f t="shared" si="23"/>
        <v>0</v>
      </c>
      <c r="Q7" s="67">
        <f t="shared" si="23"/>
        <v>0</v>
      </c>
      <c r="R7" s="67">
        <f t="shared" si="23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136</v>
      </c>
      <c r="N10" s="4"/>
      <c r="O10" s="4"/>
      <c r="P10" s="4"/>
      <c r="Q10" s="5"/>
      <c r="R10" s="56" t="s">
        <v>139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141</v>
      </c>
      <c r="C11" s="4"/>
      <c r="D11" s="5"/>
      <c r="E11" s="42"/>
      <c r="F11" s="73" t="s">
        <v>142</v>
      </c>
      <c r="G11" s="73" t="s">
        <v>143</v>
      </c>
      <c r="H11" s="73" t="s">
        <v>144</v>
      </c>
      <c r="I11" s="73" t="s">
        <v>145</v>
      </c>
      <c r="J11" s="73" t="s">
        <v>146</v>
      </c>
      <c r="K11" s="73" t="s">
        <v>147</v>
      </c>
      <c r="L11" s="73" t="s">
        <v>148</v>
      </c>
      <c r="M11" s="73" t="s">
        <v>149</v>
      </c>
      <c r="N11" s="73" t="s">
        <v>150</v>
      </c>
      <c r="O11" s="73" t="s">
        <v>151</v>
      </c>
      <c r="P11" s="74" t="s">
        <v>152</v>
      </c>
      <c r="Q11" s="73" t="s">
        <v>153</v>
      </c>
      <c r="R11" s="75" t="s">
        <v>149</v>
      </c>
      <c r="S11" s="75" t="s">
        <v>150</v>
      </c>
      <c r="T11" s="75" t="s">
        <v>151</v>
      </c>
      <c r="U11" s="75" t="s">
        <v>152</v>
      </c>
      <c r="V11" s="75" t="s">
        <v>153</v>
      </c>
      <c r="W11" s="73" t="s">
        <v>154</v>
      </c>
      <c r="X11" s="73" t="s">
        <v>155</v>
      </c>
      <c r="Y11" s="54"/>
      <c r="Z11" s="54"/>
      <c r="AA11" s="54"/>
      <c r="AB11" s="54"/>
      <c r="AC11" s="54"/>
    </row>
    <row r="12" ht="15.75" customHeight="1">
      <c r="A12" s="72" t="s">
        <v>156</v>
      </c>
      <c r="B12" s="73" t="s">
        <v>157</v>
      </c>
      <c r="C12" s="73" t="s">
        <v>158</v>
      </c>
      <c r="D12" s="73" t="s">
        <v>159</v>
      </c>
      <c r="E12" s="73" t="s">
        <v>160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62.100000000000001" customHeight="1">
      <c r="A13" s="76">
        <v>1</v>
      </c>
      <c r="B13" s="60" t="s">
        <v>65</v>
      </c>
      <c r="C13" s="60" t="s">
        <v>66</v>
      </c>
      <c r="D13" s="60" t="s">
        <v>161</v>
      </c>
      <c r="E13" s="60" t="s">
        <v>162</v>
      </c>
      <c r="F13" s="60" t="s">
        <v>163</v>
      </c>
      <c r="G13" s="60" t="s">
        <v>164</v>
      </c>
      <c r="H13" s="60" t="s">
        <v>165</v>
      </c>
      <c r="I13" s="60" t="s">
        <v>162</v>
      </c>
      <c r="J13" s="60" t="s">
        <v>166</v>
      </c>
      <c r="K13" s="60" t="s">
        <v>167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 t="s">
        <v>168</v>
      </c>
      <c r="Y13" s="54"/>
      <c r="Z13" s="54"/>
      <c r="AA13" s="54"/>
      <c r="AB13" s="54"/>
      <c r="AC13" s="54"/>
    </row>
    <row r="14" ht="35.100000000000001" customHeight="1">
      <c r="A14" s="76">
        <v>2</v>
      </c>
      <c r="B14" s="77"/>
      <c r="C14" s="77"/>
      <c r="D14" s="77"/>
      <c r="E14" s="60" t="s">
        <v>169</v>
      </c>
      <c r="F14" s="60" t="s">
        <v>170</v>
      </c>
      <c r="G14" s="60" t="s">
        <v>171</v>
      </c>
      <c r="H14" s="60" t="s">
        <v>172</v>
      </c>
      <c r="I14" s="60" t="s">
        <v>173</v>
      </c>
      <c r="J14" s="60" t="s">
        <v>174</v>
      </c>
      <c r="K14" s="78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79" t="s">
        <v>175</v>
      </c>
      <c r="X14" s="60" t="s">
        <v>168</v>
      </c>
      <c r="Y14" s="54"/>
      <c r="Z14" s="54"/>
      <c r="AA14" s="54"/>
      <c r="AB14" s="54"/>
      <c r="AC14" s="54"/>
    </row>
    <row r="15" ht="48.600000000000001" customHeight="1">
      <c r="A15" s="76">
        <v>3</v>
      </c>
      <c r="B15" s="77"/>
      <c r="C15" s="80"/>
      <c r="D15" s="80"/>
      <c r="E15" s="60" t="s">
        <v>176</v>
      </c>
      <c r="F15" s="60" t="s">
        <v>163</v>
      </c>
      <c r="G15" s="60" t="s">
        <v>177</v>
      </c>
      <c r="H15" s="60" t="s">
        <v>178</v>
      </c>
      <c r="I15" s="60" t="s">
        <v>162</v>
      </c>
      <c r="J15" s="60" t="s">
        <v>179</v>
      </c>
      <c r="K15" s="60" t="s">
        <v>180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79" t="s">
        <v>181</v>
      </c>
      <c r="X15" s="60" t="s">
        <v>182</v>
      </c>
      <c r="Y15" s="54"/>
      <c r="Z15" s="54"/>
      <c r="AA15" s="54"/>
      <c r="AB15" s="54"/>
      <c r="AC15" s="54"/>
    </row>
    <row r="16" ht="62.100000000000001" customHeight="1">
      <c r="A16" s="76">
        <v>4</v>
      </c>
      <c r="B16" s="77"/>
      <c r="C16" s="60" t="s">
        <v>67</v>
      </c>
      <c r="D16" s="60" t="s">
        <v>183</v>
      </c>
      <c r="E16" s="60" t="s">
        <v>184</v>
      </c>
      <c r="F16" s="60" t="s">
        <v>185</v>
      </c>
      <c r="G16" s="60" t="s">
        <v>186</v>
      </c>
      <c r="H16" s="60" t="s">
        <v>187</v>
      </c>
      <c r="I16" s="60" t="s">
        <v>162</v>
      </c>
      <c r="J16" s="60" t="s">
        <v>188</v>
      </c>
      <c r="K16" s="60" t="s">
        <v>189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168</v>
      </c>
      <c r="Y16" s="54"/>
      <c r="Z16" s="54"/>
      <c r="AA16" s="54"/>
      <c r="AB16" s="54"/>
      <c r="AC16" s="54"/>
    </row>
    <row r="17" ht="48.600000000000001" customHeight="1">
      <c r="A17" s="76">
        <v>5</v>
      </c>
      <c r="B17" s="77"/>
      <c r="C17" s="77"/>
      <c r="D17" s="60" t="s">
        <v>190</v>
      </c>
      <c r="E17" s="60" t="s">
        <v>191</v>
      </c>
      <c r="F17" s="60" t="s">
        <v>185</v>
      </c>
      <c r="G17" s="60" t="s">
        <v>192</v>
      </c>
      <c r="H17" s="60" t="s">
        <v>193</v>
      </c>
      <c r="I17" s="60" t="s">
        <v>162</v>
      </c>
      <c r="J17" s="60" t="s">
        <v>194</v>
      </c>
      <c r="K17" s="60" t="s">
        <v>195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 t="s">
        <v>168</v>
      </c>
      <c r="Y17" s="54"/>
      <c r="Z17" s="54"/>
      <c r="AA17" s="54"/>
      <c r="AB17" s="54"/>
      <c r="AC17" s="54"/>
    </row>
    <row r="18" ht="35.100000000000001" customHeight="1">
      <c r="A18" s="76">
        <v>6</v>
      </c>
      <c r="B18" s="77"/>
      <c r="C18" s="77"/>
      <c r="D18" s="77"/>
      <c r="E18" s="60" t="s">
        <v>196</v>
      </c>
      <c r="F18" s="60" t="s">
        <v>185</v>
      </c>
      <c r="G18" s="60" t="s">
        <v>197</v>
      </c>
      <c r="H18" s="60" t="s">
        <v>198</v>
      </c>
      <c r="I18" s="60" t="s">
        <v>162</v>
      </c>
      <c r="J18" s="60" t="s">
        <v>199</v>
      </c>
      <c r="K18" s="78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79" t="s">
        <v>200</v>
      </c>
      <c r="X18" s="60" t="s">
        <v>168</v>
      </c>
      <c r="Y18" s="54"/>
      <c r="Z18" s="54"/>
      <c r="AA18" s="54"/>
      <c r="AB18" s="54"/>
      <c r="AC18" s="54"/>
    </row>
    <row r="19" ht="48.600000000000001" customHeight="1">
      <c r="A19" s="76">
        <v>7</v>
      </c>
      <c r="B19" s="77"/>
      <c r="C19" s="80"/>
      <c r="D19" s="80"/>
      <c r="E19" s="60" t="s">
        <v>201</v>
      </c>
      <c r="F19" s="60" t="s">
        <v>185</v>
      </c>
      <c r="G19" s="60" t="s">
        <v>202</v>
      </c>
      <c r="H19" s="60" t="s">
        <v>203</v>
      </c>
      <c r="I19" s="60" t="s">
        <v>162</v>
      </c>
      <c r="J19" s="60" t="s">
        <v>204</v>
      </c>
      <c r="K19" s="78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79" t="s">
        <v>205</v>
      </c>
      <c r="X19" s="60" t="s">
        <v>168</v>
      </c>
      <c r="Y19" s="54"/>
      <c r="Z19" s="54"/>
      <c r="AA19" s="54"/>
      <c r="AB19" s="54"/>
      <c r="AC19" s="54"/>
    </row>
    <row r="20" ht="48.600000000000001" customHeight="1">
      <c r="A20" s="76">
        <v>8</v>
      </c>
      <c r="B20" s="77"/>
      <c r="C20" s="60" t="s">
        <v>68</v>
      </c>
      <c r="D20" s="60" t="s">
        <v>206</v>
      </c>
      <c r="E20" s="60" t="s">
        <v>207</v>
      </c>
      <c r="F20" s="60" t="s">
        <v>170</v>
      </c>
      <c r="G20" s="60" t="s">
        <v>208</v>
      </c>
      <c r="H20" s="60" t="s">
        <v>209</v>
      </c>
      <c r="I20" s="60" t="s">
        <v>162</v>
      </c>
      <c r="J20" s="60" t="s">
        <v>210</v>
      </c>
      <c r="K20" s="60" t="s">
        <v>211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79" t="s">
        <v>212</v>
      </c>
      <c r="X20" s="60" t="s">
        <v>168</v>
      </c>
      <c r="Y20" s="54"/>
      <c r="Z20" s="54"/>
      <c r="AA20" s="54"/>
      <c r="AB20" s="54"/>
      <c r="AC20" s="54"/>
    </row>
    <row r="21" ht="35.100000000000001" customHeight="1">
      <c r="A21" s="76">
        <v>9</v>
      </c>
      <c r="B21" s="77"/>
      <c r="C21" s="77"/>
      <c r="D21" s="77"/>
      <c r="E21" s="60" t="s">
        <v>213</v>
      </c>
      <c r="F21" s="60" t="s">
        <v>170</v>
      </c>
      <c r="G21" s="60" t="s">
        <v>214</v>
      </c>
      <c r="H21" s="60" t="s">
        <v>215</v>
      </c>
      <c r="I21" s="60" t="s">
        <v>162</v>
      </c>
      <c r="J21" s="60" t="s">
        <v>216</v>
      </c>
      <c r="K21" s="78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79" t="s">
        <v>217</v>
      </c>
      <c r="X21" s="60" t="s">
        <v>168</v>
      </c>
      <c r="Y21" s="54"/>
      <c r="Z21" s="54"/>
      <c r="AA21" s="54"/>
      <c r="AB21" s="54"/>
      <c r="AC21" s="54"/>
    </row>
    <row r="22" ht="48.600000000000001" customHeight="1">
      <c r="A22" s="76">
        <v>10</v>
      </c>
      <c r="B22" s="77"/>
      <c r="C22" s="77"/>
      <c r="D22" s="77"/>
      <c r="E22" s="60" t="s">
        <v>218</v>
      </c>
      <c r="F22" s="60" t="s">
        <v>170</v>
      </c>
      <c r="G22" s="60" t="s">
        <v>219</v>
      </c>
      <c r="H22" s="60" t="s">
        <v>220</v>
      </c>
      <c r="I22" s="60" t="s">
        <v>162</v>
      </c>
      <c r="J22" s="60" t="s">
        <v>221</v>
      </c>
      <c r="K22" s="78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79" t="s">
        <v>222</v>
      </c>
      <c r="X22" s="60" t="s">
        <v>168</v>
      </c>
      <c r="Y22" s="54"/>
      <c r="Z22" s="54"/>
      <c r="AA22" s="54"/>
      <c r="AB22" s="54"/>
      <c r="AC22" s="54"/>
    </row>
    <row r="23" ht="48.600000000000001" customHeight="1">
      <c r="A23" s="76">
        <v>11</v>
      </c>
      <c r="B23" s="77"/>
      <c r="C23" s="80"/>
      <c r="D23" s="80"/>
      <c r="E23" s="60" t="s">
        <v>223</v>
      </c>
      <c r="F23" s="60" t="s">
        <v>185</v>
      </c>
      <c r="G23" s="60" t="s">
        <v>224</v>
      </c>
      <c r="H23" s="60" t="s">
        <v>225</v>
      </c>
      <c r="I23" s="60" t="s">
        <v>162</v>
      </c>
      <c r="J23" s="60" t="s">
        <v>226</v>
      </c>
      <c r="K23" s="78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79" t="s">
        <v>227</v>
      </c>
      <c r="X23" s="60" t="s">
        <v>168</v>
      </c>
      <c r="Y23" s="54"/>
      <c r="Z23" s="54"/>
      <c r="AA23" s="54"/>
      <c r="AB23" s="54"/>
      <c r="AC23" s="54"/>
    </row>
    <row r="24" ht="48.600000000000001" customHeight="1">
      <c r="A24" s="76">
        <v>12</v>
      </c>
      <c r="B24" s="77"/>
      <c r="C24" s="60" t="s">
        <v>69</v>
      </c>
      <c r="D24" s="60" t="s">
        <v>228</v>
      </c>
      <c r="E24" s="60" t="s">
        <v>229</v>
      </c>
      <c r="F24" s="60" t="s">
        <v>163</v>
      </c>
      <c r="G24" s="60" t="s">
        <v>230</v>
      </c>
      <c r="H24" s="60" t="s">
        <v>231</v>
      </c>
      <c r="I24" s="60" t="s">
        <v>162</v>
      </c>
      <c r="J24" s="60" t="s">
        <v>232</v>
      </c>
      <c r="K24" s="60" t="s">
        <v>233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 t="s">
        <v>168</v>
      </c>
      <c r="Y24" s="54"/>
      <c r="Z24" s="54"/>
      <c r="AA24" s="54"/>
      <c r="AB24" s="54"/>
      <c r="AC24" s="54"/>
    </row>
    <row r="25" ht="48.600000000000001" customHeight="1">
      <c r="A25" s="76">
        <v>13</v>
      </c>
      <c r="B25" s="77"/>
      <c r="C25" s="77"/>
      <c r="D25" s="80"/>
      <c r="E25" s="60" t="s">
        <v>234</v>
      </c>
      <c r="F25" s="60" t="s">
        <v>185</v>
      </c>
      <c r="G25" s="60" t="s">
        <v>235</v>
      </c>
      <c r="H25" s="60" t="s">
        <v>236</v>
      </c>
      <c r="I25" s="60" t="s">
        <v>162</v>
      </c>
      <c r="J25" s="60" t="s">
        <v>237</v>
      </c>
      <c r="K25" s="60" t="s">
        <v>238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168</v>
      </c>
      <c r="Y25" s="54"/>
      <c r="Z25" s="54"/>
      <c r="AA25" s="54"/>
      <c r="AB25" s="54"/>
      <c r="AC25" s="54"/>
    </row>
    <row r="26" ht="35.100000000000001" customHeight="1">
      <c r="A26" s="76">
        <v>14</v>
      </c>
      <c r="B26" s="77"/>
      <c r="C26" s="77"/>
      <c r="D26" s="60" t="s">
        <v>239</v>
      </c>
      <c r="E26" s="60" t="s">
        <v>240</v>
      </c>
      <c r="F26" s="60" t="s">
        <v>163</v>
      </c>
      <c r="G26" s="60" t="s">
        <v>241</v>
      </c>
      <c r="H26" s="60" t="s">
        <v>242</v>
      </c>
      <c r="I26" s="60" t="s">
        <v>162</v>
      </c>
      <c r="J26" s="60" t="s">
        <v>243</v>
      </c>
      <c r="K26" s="60" t="s">
        <v>244</v>
      </c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 t="s">
        <v>168</v>
      </c>
      <c r="Y26" s="54"/>
      <c r="Z26" s="54"/>
      <c r="AA26" s="54"/>
      <c r="AB26" s="54"/>
      <c r="AC26" s="54"/>
    </row>
    <row r="27" ht="35.100000000000001" customHeight="1">
      <c r="A27" s="76">
        <v>15</v>
      </c>
      <c r="B27" s="77"/>
      <c r="C27" s="77"/>
      <c r="D27" s="77"/>
      <c r="E27" s="60" t="s">
        <v>245</v>
      </c>
      <c r="F27" s="60" t="s">
        <v>170</v>
      </c>
      <c r="G27" s="60" t="s">
        <v>246</v>
      </c>
      <c r="H27" s="60" t="s">
        <v>247</v>
      </c>
      <c r="I27" s="60" t="s">
        <v>162</v>
      </c>
      <c r="J27" s="60" t="s">
        <v>248</v>
      </c>
      <c r="K27" s="78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79" t="s">
        <v>249</v>
      </c>
      <c r="X27" s="60" t="s">
        <v>168</v>
      </c>
      <c r="Y27" s="54"/>
      <c r="Z27" s="54"/>
      <c r="AA27" s="54"/>
      <c r="AB27" s="54"/>
      <c r="AC27" s="54"/>
    </row>
    <row r="28" ht="48.600000000000001" customHeight="1">
      <c r="A28" s="76">
        <v>16</v>
      </c>
      <c r="B28" s="77"/>
      <c r="C28" s="77"/>
      <c r="D28" s="77"/>
      <c r="E28" s="60" t="s">
        <v>250</v>
      </c>
      <c r="F28" s="60" t="s">
        <v>163</v>
      </c>
      <c r="G28" s="60" t="s">
        <v>251</v>
      </c>
      <c r="H28" s="60" t="s">
        <v>252</v>
      </c>
      <c r="I28" s="60" t="s">
        <v>162</v>
      </c>
      <c r="J28" s="60" t="s">
        <v>253</v>
      </c>
      <c r="K28" s="60" t="s">
        <v>254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79" t="s">
        <v>255</v>
      </c>
      <c r="X28" s="60" t="s">
        <v>182</v>
      </c>
      <c r="Y28" s="54"/>
      <c r="Z28" s="54"/>
      <c r="AA28" s="54"/>
      <c r="AB28" s="54"/>
      <c r="AC28" s="54"/>
    </row>
    <row r="29" ht="48.600000000000001" customHeight="1">
      <c r="A29" s="76">
        <v>17</v>
      </c>
      <c r="B29" s="77"/>
      <c r="C29" s="77"/>
      <c r="D29" s="77"/>
      <c r="E29" s="60" t="s">
        <v>256</v>
      </c>
      <c r="F29" s="60" t="s">
        <v>185</v>
      </c>
      <c r="G29" s="60" t="s">
        <v>257</v>
      </c>
      <c r="H29" s="60" t="s">
        <v>258</v>
      </c>
      <c r="I29" s="60" t="s">
        <v>162</v>
      </c>
      <c r="J29" s="60" t="s">
        <v>259</v>
      </c>
      <c r="K29" s="78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79" t="s">
        <v>260</v>
      </c>
      <c r="X29" s="60" t="s">
        <v>168</v>
      </c>
      <c r="Y29" s="54"/>
      <c r="Z29" s="54"/>
      <c r="AA29" s="54"/>
      <c r="AB29" s="54"/>
      <c r="AC29" s="54"/>
    </row>
    <row r="30" ht="48.600000000000001" customHeight="1">
      <c r="A30" s="76">
        <v>18</v>
      </c>
      <c r="B30" s="77"/>
      <c r="C30" s="77"/>
      <c r="D30" s="80"/>
      <c r="E30" s="60" t="s">
        <v>261</v>
      </c>
      <c r="F30" s="60" t="s">
        <v>185</v>
      </c>
      <c r="G30" s="60" t="s">
        <v>262</v>
      </c>
      <c r="H30" s="60" t="s">
        <v>263</v>
      </c>
      <c r="I30" s="60" t="s">
        <v>162</v>
      </c>
      <c r="J30" s="60" t="s">
        <v>264</v>
      </c>
      <c r="K30" s="78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79" t="s">
        <v>265</v>
      </c>
      <c r="X30" s="60" t="s">
        <v>168</v>
      </c>
      <c r="Y30" s="54"/>
      <c r="Z30" s="54"/>
      <c r="AA30" s="54"/>
      <c r="AB30" s="54"/>
      <c r="AC30" s="54"/>
    </row>
    <row r="31" ht="62.100000000000001" customHeight="1">
      <c r="A31" s="76">
        <v>19</v>
      </c>
      <c r="B31" s="77"/>
      <c r="C31" s="77"/>
      <c r="D31" s="60" t="s">
        <v>266</v>
      </c>
      <c r="E31" s="60" t="s">
        <v>267</v>
      </c>
      <c r="F31" s="60" t="s">
        <v>163</v>
      </c>
      <c r="G31" s="60" t="s">
        <v>268</v>
      </c>
      <c r="H31" s="60" t="s">
        <v>269</v>
      </c>
      <c r="I31" s="60" t="s">
        <v>162</v>
      </c>
      <c r="J31" s="60" t="s">
        <v>270</v>
      </c>
      <c r="K31" s="60" t="s">
        <v>271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79" t="s">
        <v>272</v>
      </c>
      <c r="X31" s="60" t="s">
        <v>168</v>
      </c>
      <c r="Y31" s="54"/>
      <c r="Z31" s="54"/>
      <c r="AA31" s="54"/>
      <c r="AB31" s="54"/>
      <c r="AC31" s="54"/>
    </row>
    <row r="32" ht="62.100000000000001" customHeight="1">
      <c r="A32" s="76">
        <v>20</v>
      </c>
      <c r="B32" s="77"/>
      <c r="C32" s="80"/>
      <c r="D32" s="80"/>
      <c r="E32" s="60" t="s">
        <v>273</v>
      </c>
      <c r="F32" s="60" t="s">
        <v>163</v>
      </c>
      <c r="G32" s="60" t="s">
        <v>274</v>
      </c>
      <c r="H32" s="60" t="s">
        <v>275</v>
      </c>
      <c r="I32" s="60" t="s">
        <v>162</v>
      </c>
      <c r="J32" s="60" t="s">
        <v>276</v>
      </c>
      <c r="K32" s="60" t="s">
        <v>271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9" t="s">
        <v>277</v>
      </c>
      <c r="X32" s="60" t="s">
        <v>168</v>
      </c>
      <c r="Y32" s="54"/>
      <c r="Z32" s="54"/>
      <c r="AA32" s="54"/>
      <c r="AB32" s="54"/>
      <c r="AC32" s="54"/>
    </row>
    <row r="33" ht="48.600000000000001" customHeight="1">
      <c r="A33" s="76">
        <v>21</v>
      </c>
      <c r="B33" s="77"/>
      <c r="C33" s="60" t="s">
        <v>70</v>
      </c>
      <c r="D33" s="60" t="s">
        <v>228</v>
      </c>
      <c r="E33" s="60" t="s">
        <v>229</v>
      </c>
      <c r="F33" s="60" t="s">
        <v>163</v>
      </c>
      <c r="G33" s="60" t="s">
        <v>278</v>
      </c>
      <c r="H33" s="60" t="s">
        <v>279</v>
      </c>
      <c r="I33" s="60" t="s">
        <v>162</v>
      </c>
      <c r="J33" s="60" t="s">
        <v>280</v>
      </c>
      <c r="K33" s="60" t="s">
        <v>281</v>
      </c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 t="s">
        <v>168</v>
      </c>
      <c r="Y33" s="54"/>
      <c r="Z33" s="54"/>
      <c r="AA33" s="54"/>
      <c r="AB33" s="54"/>
      <c r="AC33" s="54"/>
    </row>
    <row r="34" ht="35.100000000000001" customHeight="1">
      <c r="A34" s="76">
        <v>22</v>
      </c>
      <c r="B34" s="77"/>
      <c r="C34" s="77"/>
      <c r="D34" s="77"/>
      <c r="E34" s="60" t="s">
        <v>282</v>
      </c>
      <c r="F34" s="60" t="s">
        <v>163</v>
      </c>
      <c r="G34" s="60" t="s">
        <v>283</v>
      </c>
      <c r="H34" s="60" t="s">
        <v>284</v>
      </c>
      <c r="I34" s="60" t="s">
        <v>162</v>
      </c>
      <c r="J34" s="60" t="s">
        <v>285</v>
      </c>
      <c r="K34" s="60" t="s">
        <v>286</v>
      </c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 t="s">
        <v>168</v>
      </c>
      <c r="Y34" s="54"/>
      <c r="Z34" s="54"/>
      <c r="AA34" s="54"/>
      <c r="AB34" s="54"/>
      <c r="AC34" s="54"/>
    </row>
    <row r="35" ht="35.100000000000001" customHeight="1">
      <c r="A35" s="76">
        <v>23</v>
      </c>
      <c r="B35" s="77"/>
      <c r="C35" s="77"/>
      <c r="D35" s="80"/>
      <c r="E35" s="60" t="s">
        <v>287</v>
      </c>
      <c r="F35" s="60" t="s">
        <v>170</v>
      </c>
      <c r="G35" s="60" t="s">
        <v>288</v>
      </c>
      <c r="H35" s="60" t="s">
        <v>289</v>
      </c>
      <c r="I35" s="60" t="s">
        <v>162</v>
      </c>
      <c r="J35" s="60" t="s">
        <v>290</v>
      </c>
      <c r="K35" s="78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79" t="s">
        <v>291</v>
      </c>
      <c r="X35" s="60" t="s">
        <v>168</v>
      </c>
      <c r="Y35" s="54"/>
      <c r="Z35" s="54"/>
      <c r="AA35" s="54"/>
      <c r="AB35" s="54"/>
      <c r="AC35" s="54"/>
    </row>
    <row r="36" ht="35.100000000000001" customHeight="1">
      <c r="A36" s="76">
        <v>24</v>
      </c>
      <c r="B36" s="77"/>
      <c r="C36" s="77"/>
      <c r="D36" s="60" t="s">
        <v>239</v>
      </c>
      <c r="E36" s="60" t="s">
        <v>245</v>
      </c>
      <c r="F36" s="60" t="s">
        <v>170</v>
      </c>
      <c r="G36" s="60" t="s">
        <v>292</v>
      </c>
      <c r="H36" s="60" t="s">
        <v>247</v>
      </c>
      <c r="I36" s="60" t="s">
        <v>162</v>
      </c>
      <c r="J36" s="60" t="s">
        <v>248</v>
      </c>
      <c r="K36" s="78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79" t="s">
        <v>293</v>
      </c>
      <c r="X36" s="60" t="s">
        <v>168</v>
      </c>
      <c r="Y36" s="54"/>
      <c r="Z36" s="54"/>
      <c r="AA36" s="54"/>
      <c r="AB36" s="54"/>
      <c r="AC36" s="54"/>
    </row>
    <row r="37" ht="35.100000000000001" customHeight="1">
      <c r="A37" s="76">
        <v>25</v>
      </c>
      <c r="B37" s="77"/>
      <c r="C37" s="77"/>
      <c r="D37" s="80"/>
      <c r="E37" s="60" t="s">
        <v>294</v>
      </c>
      <c r="F37" s="60" t="s">
        <v>185</v>
      </c>
      <c r="G37" s="60" t="s">
        <v>295</v>
      </c>
      <c r="H37" s="60" t="s">
        <v>296</v>
      </c>
      <c r="I37" s="60" t="s">
        <v>162</v>
      </c>
      <c r="J37" s="60" t="s">
        <v>297</v>
      </c>
      <c r="K37" s="60" t="s">
        <v>298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 t="s">
        <v>168</v>
      </c>
      <c r="Y37" s="54"/>
      <c r="Z37" s="54"/>
      <c r="AA37" s="54"/>
      <c r="AB37" s="54"/>
      <c r="AC37" s="54"/>
    </row>
    <row r="38" ht="62.100000000000001" customHeight="1">
      <c r="A38" s="76">
        <v>26</v>
      </c>
      <c r="B38" s="77"/>
      <c r="C38" s="77"/>
      <c r="D38" s="60" t="s">
        <v>266</v>
      </c>
      <c r="E38" s="60" t="s">
        <v>267</v>
      </c>
      <c r="F38" s="60" t="s">
        <v>163</v>
      </c>
      <c r="G38" s="60" t="s">
        <v>299</v>
      </c>
      <c r="H38" s="60" t="s">
        <v>300</v>
      </c>
      <c r="I38" s="60" t="s">
        <v>162</v>
      </c>
      <c r="J38" s="60" t="s">
        <v>301</v>
      </c>
      <c r="K38" s="60" t="s">
        <v>302</v>
      </c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79" t="s">
        <v>272</v>
      </c>
      <c r="X38" s="60" t="s">
        <v>168</v>
      </c>
      <c r="Y38" s="54"/>
      <c r="Z38" s="54"/>
      <c r="AA38" s="54"/>
      <c r="AB38" s="54"/>
      <c r="AC38" s="54"/>
    </row>
    <row r="39" ht="48.600000000000001" customHeight="1">
      <c r="A39" s="76">
        <v>27</v>
      </c>
      <c r="B39" s="77"/>
      <c r="C39" s="80"/>
      <c r="D39" s="80"/>
      <c r="E39" s="60" t="s">
        <v>303</v>
      </c>
      <c r="F39" s="60" t="s">
        <v>163</v>
      </c>
      <c r="G39" s="60" t="s">
        <v>304</v>
      </c>
      <c r="H39" s="60" t="s">
        <v>305</v>
      </c>
      <c r="I39" s="60" t="s">
        <v>162</v>
      </c>
      <c r="J39" s="60" t="s">
        <v>306</v>
      </c>
      <c r="K39" s="60" t="s">
        <v>307</v>
      </c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79" t="s">
        <v>272</v>
      </c>
      <c r="X39" s="60" t="s">
        <v>168</v>
      </c>
      <c r="Y39" s="54"/>
      <c r="Z39" s="54"/>
      <c r="AA39" s="54"/>
      <c r="AB39" s="54"/>
      <c r="AC39" s="54"/>
    </row>
    <row r="40" ht="35.100000000000001" customHeight="1">
      <c r="A40" s="76">
        <v>28</v>
      </c>
      <c r="B40" s="77"/>
      <c r="C40" s="60" t="s">
        <v>71</v>
      </c>
      <c r="D40" s="60" t="s">
        <v>308</v>
      </c>
      <c r="E40" s="60" t="s">
        <v>229</v>
      </c>
      <c r="F40" s="60" t="s">
        <v>170</v>
      </c>
      <c r="G40" s="60" t="s">
        <v>309</v>
      </c>
      <c r="H40" s="60" t="s">
        <v>310</v>
      </c>
      <c r="I40" s="60" t="s">
        <v>162</v>
      </c>
      <c r="J40" s="60" t="s">
        <v>311</v>
      </c>
      <c r="K40" s="60" t="s">
        <v>312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 t="s">
        <v>168</v>
      </c>
      <c r="Y40" s="54"/>
      <c r="Z40" s="54"/>
      <c r="AA40" s="54"/>
      <c r="AB40" s="54"/>
      <c r="AC40" s="54"/>
    </row>
    <row r="41" ht="48.600000000000001" customHeight="1">
      <c r="A41" s="76">
        <v>29</v>
      </c>
      <c r="B41" s="77"/>
      <c r="C41" s="77"/>
      <c r="D41" s="80"/>
      <c r="E41" s="60" t="s">
        <v>313</v>
      </c>
      <c r="F41" s="60" t="s">
        <v>185</v>
      </c>
      <c r="G41" s="60" t="s">
        <v>314</v>
      </c>
      <c r="H41" s="60" t="s">
        <v>315</v>
      </c>
      <c r="I41" s="60" t="s">
        <v>162</v>
      </c>
      <c r="J41" s="60" t="s">
        <v>316</v>
      </c>
      <c r="K41" s="60" t="s">
        <v>317</v>
      </c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 t="s">
        <v>168</v>
      </c>
      <c r="Y41" s="54"/>
      <c r="Z41" s="54"/>
      <c r="AA41" s="54"/>
      <c r="AB41" s="54"/>
      <c r="AC41" s="54"/>
    </row>
    <row r="42" ht="62.100000000000001" customHeight="1">
      <c r="A42" s="76">
        <v>30</v>
      </c>
      <c r="B42" s="77"/>
      <c r="C42" s="77"/>
      <c r="D42" s="60" t="s">
        <v>318</v>
      </c>
      <c r="E42" s="60" t="s">
        <v>319</v>
      </c>
      <c r="F42" s="60" t="s">
        <v>170</v>
      </c>
      <c r="G42" s="60" t="s">
        <v>320</v>
      </c>
      <c r="H42" s="60" t="s">
        <v>321</v>
      </c>
      <c r="I42" s="60" t="s">
        <v>162</v>
      </c>
      <c r="J42" s="60" t="s">
        <v>322</v>
      </c>
      <c r="K42" s="78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79" t="s">
        <v>323</v>
      </c>
      <c r="X42" s="60" t="s">
        <v>168</v>
      </c>
      <c r="Y42" s="54"/>
      <c r="Z42" s="54"/>
      <c r="AA42" s="54"/>
      <c r="AB42" s="54"/>
      <c r="AC42" s="54"/>
    </row>
    <row r="43" ht="62.100000000000001" customHeight="1">
      <c r="A43" s="76">
        <v>31</v>
      </c>
      <c r="B43" s="77"/>
      <c r="C43" s="80"/>
      <c r="D43" s="80"/>
      <c r="E43" s="60" t="s">
        <v>324</v>
      </c>
      <c r="F43" s="60" t="s">
        <v>170</v>
      </c>
      <c r="G43" s="60" t="s">
        <v>325</v>
      </c>
      <c r="H43" s="60" t="s">
        <v>326</v>
      </c>
      <c r="I43" s="60" t="s">
        <v>162</v>
      </c>
      <c r="J43" s="60" t="s">
        <v>327</v>
      </c>
      <c r="K43" s="78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9" t="s">
        <v>328</v>
      </c>
      <c r="X43" s="60" t="s">
        <v>168</v>
      </c>
      <c r="Y43" s="54"/>
      <c r="Z43" s="54"/>
      <c r="AA43" s="54"/>
      <c r="AB43" s="54"/>
      <c r="AC43" s="54"/>
    </row>
    <row r="44" ht="62.100000000000001" customHeight="1">
      <c r="A44" s="76">
        <v>32</v>
      </c>
      <c r="B44" s="77"/>
      <c r="C44" s="60" t="s">
        <v>72</v>
      </c>
      <c r="D44" s="60" t="s">
        <v>329</v>
      </c>
      <c r="E44" s="60" t="s">
        <v>330</v>
      </c>
      <c r="F44" s="60" t="s">
        <v>163</v>
      </c>
      <c r="G44" s="60" t="s">
        <v>331</v>
      </c>
      <c r="H44" s="60" t="s">
        <v>332</v>
      </c>
      <c r="I44" s="60" t="s">
        <v>333</v>
      </c>
      <c r="J44" s="60" t="s">
        <v>334</v>
      </c>
      <c r="K44" s="60" t="s">
        <v>335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 t="s">
        <v>168</v>
      </c>
      <c r="Y44" s="54"/>
      <c r="Z44" s="54"/>
      <c r="AA44" s="54"/>
      <c r="AB44" s="54"/>
      <c r="AC44" s="54"/>
    </row>
    <row r="45" ht="62.100000000000001" customHeight="1">
      <c r="A45" s="76">
        <v>33</v>
      </c>
      <c r="B45" s="77"/>
      <c r="C45" s="77"/>
      <c r="D45" s="77"/>
      <c r="E45" s="60" t="s">
        <v>336</v>
      </c>
      <c r="F45" s="60" t="s">
        <v>163</v>
      </c>
      <c r="G45" s="60" t="s">
        <v>337</v>
      </c>
      <c r="H45" s="60" t="s">
        <v>338</v>
      </c>
      <c r="I45" s="60" t="s">
        <v>333</v>
      </c>
      <c r="J45" s="60" t="s">
        <v>339</v>
      </c>
      <c r="K45" s="60" t="s">
        <v>340</v>
      </c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79" t="s">
        <v>341</v>
      </c>
      <c r="X45" s="60" t="s">
        <v>168</v>
      </c>
      <c r="Y45" s="54"/>
      <c r="Z45" s="54"/>
      <c r="AA45" s="54"/>
      <c r="AB45" s="54"/>
      <c r="AC45" s="54"/>
    </row>
    <row r="46" ht="48.600000000000001" customHeight="1">
      <c r="A46" s="76">
        <v>34</v>
      </c>
      <c r="B46" s="77"/>
      <c r="C46" s="77"/>
      <c r="D46" s="77"/>
      <c r="E46" s="60" t="s">
        <v>342</v>
      </c>
      <c r="F46" s="60" t="s">
        <v>185</v>
      </c>
      <c r="G46" s="60" t="s">
        <v>343</v>
      </c>
      <c r="H46" s="60" t="s">
        <v>344</v>
      </c>
      <c r="I46" s="60" t="s">
        <v>333</v>
      </c>
      <c r="J46" s="60" t="s">
        <v>345</v>
      </c>
      <c r="K46" s="60" t="s">
        <v>346</v>
      </c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 t="s">
        <v>168</v>
      </c>
      <c r="Y46" s="54"/>
      <c r="Z46" s="54"/>
      <c r="AA46" s="54"/>
      <c r="AB46" s="54"/>
      <c r="AC46" s="54"/>
    </row>
    <row r="47" ht="48.600000000000001" customHeight="1">
      <c r="A47" s="76">
        <v>35</v>
      </c>
      <c r="B47" s="77"/>
      <c r="C47" s="77"/>
      <c r="D47" s="80"/>
      <c r="E47" s="60" t="s">
        <v>347</v>
      </c>
      <c r="F47" s="60" t="s">
        <v>170</v>
      </c>
      <c r="G47" s="60" t="s">
        <v>348</v>
      </c>
      <c r="H47" s="60" t="s">
        <v>349</v>
      </c>
      <c r="I47" s="60" t="s">
        <v>350</v>
      </c>
      <c r="J47" s="60" t="s">
        <v>351</v>
      </c>
      <c r="K47" s="60" t="s">
        <v>352</v>
      </c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 t="s">
        <v>182</v>
      </c>
      <c r="Y47" s="54"/>
      <c r="Z47" s="54"/>
      <c r="AA47" s="54"/>
      <c r="AB47" s="54"/>
      <c r="AC47" s="54"/>
    </row>
    <row r="48" ht="62.100000000000001" customHeight="1">
      <c r="A48" s="76">
        <v>36</v>
      </c>
      <c r="B48" s="77"/>
      <c r="C48" s="77"/>
      <c r="D48" s="60" t="s">
        <v>353</v>
      </c>
      <c r="E48" s="60" t="s">
        <v>354</v>
      </c>
      <c r="F48" s="60" t="s">
        <v>163</v>
      </c>
      <c r="G48" s="60" t="s">
        <v>355</v>
      </c>
      <c r="H48" s="60" t="s">
        <v>356</v>
      </c>
      <c r="I48" s="60" t="s">
        <v>333</v>
      </c>
      <c r="J48" s="60" t="s">
        <v>357</v>
      </c>
      <c r="K48" s="60" t="s">
        <v>358</v>
      </c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79" t="s">
        <v>359</v>
      </c>
      <c r="X48" s="60" t="s">
        <v>168</v>
      </c>
      <c r="Y48" s="54"/>
      <c r="Z48" s="54"/>
      <c r="AA48" s="54"/>
      <c r="AB48" s="54"/>
      <c r="AC48" s="54"/>
    </row>
    <row r="49" ht="62.100000000000001" customHeight="1">
      <c r="A49" s="76">
        <v>37</v>
      </c>
      <c r="B49" s="77"/>
      <c r="C49" s="77"/>
      <c r="D49" s="77"/>
      <c r="E49" s="60" t="s">
        <v>360</v>
      </c>
      <c r="F49" s="60" t="s">
        <v>163</v>
      </c>
      <c r="G49" s="60" t="s">
        <v>361</v>
      </c>
      <c r="H49" s="60" t="s">
        <v>362</v>
      </c>
      <c r="I49" s="60" t="s">
        <v>162</v>
      </c>
      <c r="J49" s="60" t="s">
        <v>363</v>
      </c>
      <c r="K49" s="60" t="s">
        <v>364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79" t="s">
        <v>365</v>
      </c>
      <c r="X49" s="60" t="s">
        <v>168</v>
      </c>
      <c r="Y49" s="54"/>
      <c r="Z49" s="54"/>
      <c r="AA49" s="54"/>
      <c r="AB49" s="54"/>
      <c r="AC49" s="54"/>
    </row>
    <row r="50" ht="62.100000000000001" customHeight="1">
      <c r="A50" s="76">
        <v>38</v>
      </c>
      <c r="B50" s="77"/>
      <c r="C50" s="77"/>
      <c r="D50" s="77"/>
      <c r="E50" s="60" t="s">
        <v>366</v>
      </c>
      <c r="F50" s="60" t="s">
        <v>163</v>
      </c>
      <c r="G50" s="60" t="s">
        <v>367</v>
      </c>
      <c r="H50" s="60" t="s">
        <v>368</v>
      </c>
      <c r="I50" s="60" t="s">
        <v>369</v>
      </c>
      <c r="J50" s="60" t="s">
        <v>370</v>
      </c>
      <c r="K50" s="60" t="s">
        <v>371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79" t="s">
        <v>372</v>
      </c>
      <c r="X50" s="60" t="s">
        <v>373</v>
      </c>
      <c r="Y50" s="54"/>
      <c r="Z50" s="54"/>
      <c r="AA50" s="54"/>
      <c r="AB50" s="54"/>
      <c r="AC50" s="54"/>
    </row>
    <row r="51" ht="62.100000000000001" customHeight="1">
      <c r="A51" s="76">
        <v>39</v>
      </c>
      <c r="B51" s="77"/>
      <c r="C51" s="77"/>
      <c r="D51" s="77"/>
      <c r="E51" s="60" t="s">
        <v>374</v>
      </c>
      <c r="F51" s="60" t="s">
        <v>163</v>
      </c>
      <c r="G51" s="60" t="s">
        <v>375</v>
      </c>
      <c r="H51" s="60" t="s">
        <v>376</v>
      </c>
      <c r="I51" s="60" t="s">
        <v>377</v>
      </c>
      <c r="J51" s="60" t="s">
        <v>378</v>
      </c>
      <c r="K51" s="60" t="s">
        <v>371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79" t="s">
        <v>379</v>
      </c>
      <c r="X51" s="60" t="s">
        <v>168</v>
      </c>
      <c r="Y51" s="54"/>
      <c r="Z51" s="54"/>
      <c r="AA51" s="54"/>
      <c r="AB51" s="54"/>
      <c r="AC51" s="54"/>
    </row>
    <row r="52" ht="48.600000000000001" customHeight="1">
      <c r="A52" s="76">
        <v>40</v>
      </c>
      <c r="B52" s="77"/>
      <c r="C52" s="77"/>
      <c r="D52" s="77"/>
      <c r="E52" s="60" t="s">
        <v>380</v>
      </c>
      <c r="F52" s="60" t="s">
        <v>163</v>
      </c>
      <c r="G52" s="60" t="s">
        <v>381</v>
      </c>
      <c r="H52" s="60" t="s">
        <v>382</v>
      </c>
      <c r="I52" s="60" t="s">
        <v>333</v>
      </c>
      <c r="J52" s="60" t="s">
        <v>383</v>
      </c>
      <c r="K52" s="78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79" t="s">
        <v>384</v>
      </c>
      <c r="X52" s="60" t="s">
        <v>168</v>
      </c>
      <c r="Y52" s="54"/>
      <c r="Z52" s="54"/>
      <c r="AA52" s="54"/>
      <c r="AB52" s="54"/>
      <c r="AC52" s="54"/>
    </row>
    <row r="53" ht="62.100000000000001" customHeight="1">
      <c r="A53" s="76">
        <v>41</v>
      </c>
      <c r="B53" s="77"/>
      <c r="C53" s="80"/>
      <c r="D53" s="80"/>
      <c r="E53" s="60" t="s">
        <v>385</v>
      </c>
      <c r="F53" s="60" t="s">
        <v>170</v>
      </c>
      <c r="G53" s="60" t="s">
        <v>386</v>
      </c>
      <c r="H53" s="60" t="s">
        <v>387</v>
      </c>
      <c r="I53" s="60" t="s">
        <v>388</v>
      </c>
      <c r="J53" s="60" t="s">
        <v>389</v>
      </c>
      <c r="K53" s="60" t="s">
        <v>390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79" t="s">
        <v>391</v>
      </c>
      <c r="X53" s="60" t="s">
        <v>392</v>
      </c>
      <c r="Y53" s="54"/>
      <c r="Z53" s="54"/>
      <c r="AA53" s="54"/>
      <c r="AB53" s="54"/>
      <c r="AC53" s="54"/>
    </row>
    <row r="54" ht="48.600000000000001" customHeight="1">
      <c r="A54" s="76">
        <v>42</v>
      </c>
      <c r="B54" s="77"/>
      <c r="C54" s="60" t="s">
        <v>73</v>
      </c>
      <c r="D54" s="60" t="s">
        <v>393</v>
      </c>
      <c r="E54" s="60" t="s">
        <v>229</v>
      </c>
      <c r="F54" s="60" t="s">
        <v>170</v>
      </c>
      <c r="G54" s="60" t="s">
        <v>394</v>
      </c>
      <c r="H54" s="60" t="s">
        <v>395</v>
      </c>
      <c r="I54" s="60" t="s">
        <v>162</v>
      </c>
      <c r="J54" s="60" t="s">
        <v>396</v>
      </c>
      <c r="K54" s="78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79" t="s">
        <v>397</v>
      </c>
      <c r="X54" s="60" t="s">
        <v>168</v>
      </c>
      <c r="Y54" s="54"/>
      <c r="Z54" s="54"/>
      <c r="AA54" s="54"/>
      <c r="AB54" s="54"/>
      <c r="AC54" s="54"/>
    </row>
    <row r="55" ht="62.100000000000001" customHeight="1">
      <c r="A55" s="76">
        <v>43</v>
      </c>
      <c r="B55" s="77"/>
      <c r="C55" s="77"/>
      <c r="D55" s="77"/>
      <c r="E55" s="60" t="s">
        <v>398</v>
      </c>
      <c r="F55" s="60" t="s">
        <v>170</v>
      </c>
      <c r="G55" s="60" t="s">
        <v>399</v>
      </c>
      <c r="H55" s="60" t="s">
        <v>400</v>
      </c>
      <c r="I55" s="60" t="s">
        <v>333</v>
      </c>
      <c r="J55" s="60" t="s">
        <v>401</v>
      </c>
      <c r="K55" s="78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79" t="s">
        <v>402</v>
      </c>
      <c r="X55" s="60" t="s">
        <v>168</v>
      </c>
      <c r="Y55" s="54"/>
      <c r="Z55" s="54"/>
      <c r="AA55" s="54"/>
      <c r="AB55" s="54"/>
      <c r="AC55" s="54"/>
    </row>
    <row r="56" ht="48.600000000000001" customHeight="1">
      <c r="A56" s="76">
        <v>44</v>
      </c>
      <c r="B56" s="77"/>
      <c r="C56" s="80"/>
      <c r="D56" s="80"/>
      <c r="E56" s="60" t="s">
        <v>403</v>
      </c>
      <c r="F56" s="60" t="s">
        <v>170</v>
      </c>
      <c r="G56" s="60" t="s">
        <v>404</v>
      </c>
      <c r="H56" s="60" t="s">
        <v>405</v>
      </c>
      <c r="I56" s="60" t="s">
        <v>333</v>
      </c>
      <c r="J56" s="60" t="s">
        <v>406</v>
      </c>
      <c r="K56" s="60" t="s">
        <v>407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 t="s">
        <v>168</v>
      </c>
      <c r="Y56" s="54"/>
      <c r="Z56" s="54"/>
      <c r="AA56" s="54"/>
      <c r="AB56" s="54"/>
      <c r="AC56" s="54"/>
    </row>
    <row r="57" ht="48.600000000000001" customHeight="1">
      <c r="A57" s="76">
        <v>45</v>
      </c>
      <c r="B57" s="77"/>
      <c r="C57" s="60" t="s">
        <v>74</v>
      </c>
      <c r="D57" s="60" t="s">
        <v>408</v>
      </c>
      <c r="E57" s="60" t="s">
        <v>409</v>
      </c>
      <c r="F57" s="60" t="s">
        <v>170</v>
      </c>
      <c r="G57" s="60" t="s">
        <v>410</v>
      </c>
      <c r="H57" s="60" t="s">
        <v>411</v>
      </c>
      <c r="I57" s="60" t="s">
        <v>162</v>
      </c>
      <c r="J57" s="60" t="s">
        <v>412</v>
      </c>
      <c r="K57" s="60" t="s">
        <v>413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 t="s">
        <v>168</v>
      </c>
      <c r="Y57" s="54"/>
      <c r="Z57" s="54"/>
      <c r="AA57" s="54"/>
      <c r="AB57" s="54"/>
      <c r="AC57" s="54"/>
    </row>
    <row r="58" ht="35.100000000000001" customHeight="1">
      <c r="A58" s="76">
        <v>46</v>
      </c>
      <c r="B58" s="77"/>
      <c r="C58" s="77"/>
      <c r="D58" s="80"/>
      <c r="E58" s="60" t="s">
        <v>414</v>
      </c>
      <c r="F58" s="60" t="s">
        <v>170</v>
      </c>
      <c r="G58" s="60" t="s">
        <v>415</v>
      </c>
      <c r="H58" s="60" t="s">
        <v>416</v>
      </c>
      <c r="I58" s="60" t="s">
        <v>162</v>
      </c>
      <c r="J58" s="60" t="s">
        <v>417</v>
      </c>
      <c r="K58" s="78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79" t="s">
        <v>418</v>
      </c>
      <c r="X58" s="60" t="s">
        <v>168</v>
      </c>
      <c r="Y58" s="54"/>
      <c r="Z58" s="54"/>
      <c r="AA58" s="54"/>
      <c r="AB58" s="54"/>
      <c r="AC58" s="54"/>
    </row>
    <row r="59" ht="48.600000000000001" customHeight="1">
      <c r="A59" s="76">
        <v>47</v>
      </c>
      <c r="B59" s="77"/>
      <c r="C59" s="80"/>
      <c r="D59" s="60" t="s">
        <v>419</v>
      </c>
      <c r="E59" s="60" t="s">
        <v>420</v>
      </c>
      <c r="F59" s="60" t="s">
        <v>163</v>
      </c>
      <c r="G59" s="60" t="s">
        <v>421</v>
      </c>
      <c r="H59" s="60" t="s">
        <v>422</v>
      </c>
      <c r="I59" s="60" t="s">
        <v>162</v>
      </c>
      <c r="J59" s="60" t="s">
        <v>423</v>
      </c>
      <c r="K59" s="78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79" t="s">
        <v>424</v>
      </c>
      <c r="X59" s="60" t="s">
        <v>425</v>
      </c>
      <c r="Y59" s="54"/>
      <c r="Z59" s="54"/>
      <c r="AA59" s="54"/>
      <c r="AB59" s="54"/>
      <c r="AC59" s="54"/>
    </row>
    <row r="60" ht="62.100000000000001" customHeight="1">
      <c r="A60" s="76">
        <v>48</v>
      </c>
      <c r="B60" s="77"/>
      <c r="C60" s="60" t="s">
        <v>75</v>
      </c>
      <c r="D60" s="60" t="s">
        <v>426</v>
      </c>
      <c r="E60" s="60" t="s">
        <v>427</v>
      </c>
      <c r="F60" s="60" t="s">
        <v>163</v>
      </c>
      <c r="G60" s="60" t="s">
        <v>428</v>
      </c>
      <c r="H60" s="60" t="s">
        <v>429</v>
      </c>
      <c r="I60" s="60" t="s">
        <v>162</v>
      </c>
      <c r="J60" s="60" t="s">
        <v>430</v>
      </c>
      <c r="K60" s="60" t="s">
        <v>431</v>
      </c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 t="s">
        <v>182</v>
      </c>
      <c r="Y60" s="54"/>
      <c r="Z60" s="54"/>
      <c r="AA60" s="54"/>
      <c r="AB60" s="54"/>
      <c r="AC60" s="54"/>
    </row>
    <row r="61" ht="62.100000000000001" customHeight="1">
      <c r="A61" s="76">
        <v>49</v>
      </c>
      <c r="B61" s="77"/>
      <c r="C61" s="77"/>
      <c r="D61" s="80"/>
      <c r="E61" s="60" t="s">
        <v>432</v>
      </c>
      <c r="F61" s="60" t="s">
        <v>163</v>
      </c>
      <c r="G61" s="60" t="s">
        <v>433</v>
      </c>
      <c r="H61" s="60" t="s">
        <v>434</v>
      </c>
      <c r="I61" s="60" t="s">
        <v>162</v>
      </c>
      <c r="J61" s="60" t="s">
        <v>435</v>
      </c>
      <c r="K61" s="60" t="s">
        <v>436</v>
      </c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 t="s">
        <v>182</v>
      </c>
      <c r="Y61" s="54"/>
      <c r="Z61" s="54"/>
      <c r="AA61" s="54"/>
      <c r="AB61" s="54"/>
      <c r="AC61" s="54"/>
    </row>
    <row r="62" ht="48.600000000000001" customHeight="1">
      <c r="A62" s="76">
        <v>50</v>
      </c>
      <c r="B62" s="77"/>
      <c r="C62" s="77"/>
      <c r="D62" s="60" t="s">
        <v>437</v>
      </c>
      <c r="E62" s="60" t="s">
        <v>438</v>
      </c>
      <c r="F62" s="60" t="s">
        <v>163</v>
      </c>
      <c r="G62" s="60" t="s">
        <v>439</v>
      </c>
      <c r="H62" s="60" t="s">
        <v>440</v>
      </c>
      <c r="I62" s="60" t="s">
        <v>441</v>
      </c>
      <c r="J62" s="60" t="s">
        <v>442</v>
      </c>
      <c r="K62" s="60" t="s">
        <v>443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 t="s">
        <v>182</v>
      </c>
      <c r="Y62" s="54"/>
      <c r="Z62" s="54"/>
      <c r="AA62" s="54"/>
      <c r="AB62" s="54"/>
      <c r="AC62" s="54"/>
    </row>
    <row r="63" ht="33.950000000000003" customHeight="1">
      <c r="A63" s="76">
        <v>51</v>
      </c>
      <c r="B63" s="77"/>
      <c r="C63" s="77"/>
      <c r="D63" s="80"/>
      <c r="E63" s="60" t="s">
        <v>444</v>
      </c>
      <c r="F63" s="60" t="s">
        <v>163</v>
      </c>
      <c r="G63" s="60" t="s">
        <v>445</v>
      </c>
      <c r="H63" s="60" t="s">
        <v>446</v>
      </c>
      <c r="I63" s="60" t="s">
        <v>162</v>
      </c>
      <c r="J63" s="60" t="s">
        <v>447</v>
      </c>
      <c r="K63" s="60" t="s">
        <v>448</v>
      </c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 t="s">
        <v>182</v>
      </c>
      <c r="Y63" s="54"/>
      <c r="Z63" s="54"/>
      <c r="AA63" s="54"/>
      <c r="AB63" s="54"/>
      <c r="AC63" s="54"/>
    </row>
    <row r="64" ht="62.100000000000001" customHeight="1">
      <c r="A64" s="76">
        <v>52</v>
      </c>
      <c r="B64" s="80"/>
      <c r="C64" s="80"/>
      <c r="D64" s="60" t="s">
        <v>449</v>
      </c>
      <c r="E64" s="60" t="s">
        <v>450</v>
      </c>
      <c r="F64" s="60" t="s">
        <v>170</v>
      </c>
      <c r="G64" s="60" t="s">
        <v>451</v>
      </c>
      <c r="H64" s="60" t="s">
        <v>452</v>
      </c>
      <c r="I64" s="60" t="s">
        <v>333</v>
      </c>
      <c r="J64" s="60" t="s">
        <v>453</v>
      </c>
      <c r="K64" s="60" t="s">
        <v>454</v>
      </c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79" t="s">
        <v>455</v>
      </c>
      <c r="X64" s="60" t="s">
        <v>456</v>
      </c>
      <c r="Y64" s="54"/>
      <c r="Z64" s="54"/>
      <c r="AA64" s="54"/>
      <c r="AB64" s="54"/>
      <c r="AC64" s="54"/>
    </row>
    <row r="65" ht="61.5" customHeight="1">
      <c r="A65" s="8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8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8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8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8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8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8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8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8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8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8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8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8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8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8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8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8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8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8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8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8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8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8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8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8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8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8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8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8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8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8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8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8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8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8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8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8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8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8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8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8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8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8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8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8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8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8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8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8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8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8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8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8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5B64C587-5A40-4427-9800-425255B4CE85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C19B11ED-A2E8-487A-8208-909F0E242A3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49" zoomScale="100" workbookViewId="0">
      <selection activeCell="G130" activeCellId="0" sqref="G130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8" style="51" width="10.5703125"/>
    <col customWidth="1" min="19" max="19" style="51" width="9.5703125"/>
    <col customWidth="1" min="20" max="20" style="51" width="11.7109375"/>
    <col customWidth="1" min="21" max="21" style="51" width="9.5703125"/>
    <col bestFit="1" customWidth="1" min="22" max="22" style="51" width="7.4257812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131</v>
      </c>
      <c r="C3" s="57" t="s">
        <v>457</v>
      </c>
      <c r="D3" s="58"/>
      <c r="E3" s="54"/>
      <c r="F3" s="54"/>
      <c r="G3" s="54"/>
      <c r="H3" s="54"/>
      <c r="I3" s="54"/>
      <c r="J3" s="54"/>
      <c r="K3" s="56" t="s">
        <v>133</v>
      </c>
      <c r="L3" s="42" t="s">
        <v>57</v>
      </c>
      <c r="M3" s="42" t="s">
        <v>58</v>
      </c>
      <c r="N3" s="42" t="s">
        <v>59</v>
      </c>
      <c r="O3" s="42" t="s">
        <v>60</v>
      </c>
      <c r="P3" s="59" t="s">
        <v>61</v>
      </c>
      <c r="Q3" s="42" t="s">
        <v>62</v>
      </c>
      <c r="R3" s="42" t="s">
        <v>63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15.75" customHeight="1">
      <c r="A4" s="53"/>
      <c r="B4" s="56" t="s">
        <v>134</v>
      </c>
      <c r="C4" s="60" t="s">
        <v>458</v>
      </c>
      <c r="D4" s="61"/>
      <c r="E4" s="54"/>
      <c r="F4" s="54"/>
      <c r="G4" s="54"/>
      <c r="H4" s="54"/>
      <c r="I4" s="54"/>
      <c r="J4" s="54"/>
      <c r="K4" s="56" t="s">
        <v>136</v>
      </c>
      <c r="L4" s="62">
        <f>COUNTA($G$13:$G$148)</f>
        <v>127</v>
      </c>
      <c r="M4" s="63">
        <f>COUNTIF($M$13:$M$148,M3)</f>
        <v>0</v>
      </c>
      <c r="N4" s="63">
        <f>COUNTIF($M$13:$M$148,N3)</f>
        <v>0</v>
      </c>
      <c r="O4" s="63">
        <f>COUNTIF($M$13:$M$148,O3)</f>
        <v>0</v>
      </c>
      <c r="P4" s="64">
        <f>COUNTIF($M$13:$M$148,P3)</f>
        <v>0</v>
      </c>
      <c r="Q4" s="63">
        <f>COUNTIF($M$13:$M$148,Q3)</f>
        <v>0</v>
      </c>
      <c r="R4" s="63">
        <f>L4-SUM(M4:Q4)</f>
        <v>127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57" t="s">
        <v>137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4">M4/$L$4</f>
        <v>0</v>
      </c>
      <c r="N5" s="67">
        <f t="shared" si="24"/>
        <v>0</v>
      </c>
      <c r="O5" s="67">
        <f t="shared" si="24"/>
        <v>0</v>
      </c>
      <c r="P5" s="68">
        <f t="shared" si="24"/>
        <v>0</v>
      </c>
      <c r="Q5" s="67">
        <f t="shared" si="24"/>
        <v>0</v>
      </c>
      <c r="R5" s="67">
        <f t="shared" si="24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138</v>
      </c>
      <c r="C6" s="57" t="s">
        <v>18</v>
      </c>
      <c r="D6" s="61"/>
      <c r="E6" s="54"/>
      <c r="F6" s="54"/>
      <c r="G6" s="54"/>
      <c r="H6" s="54"/>
      <c r="I6" s="54"/>
      <c r="J6" s="54"/>
      <c r="K6" s="56" t="s">
        <v>139</v>
      </c>
      <c r="L6" s="62">
        <f>COUNTA($G$13:$G$148)</f>
        <v>127</v>
      </c>
      <c r="M6" s="63">
        <f>COUNTIF($R$13:$R$148,M3)</f>
        <v>0</v>
      </c>
      <c r="N6" s="63">
        <f>COUNTIF($R$13:$R$148,N3)</f>
        <v>0</v>
      </c>
      <c r="O6" s="63">
        <f>COUNTIF($R$13:$R$148,O3)</f>
        <v>0</v>
      </c>
      <c r="P6" s="64">
        <f>COUNTIF($R$13:$R$148,P3)</f>
        <v>0</v>
      </c>
      <c r="Q6" s="63">
        <f>COUNTIF($R$13:$R$148,Q3)</f>
        <v>0</v>
      </c>
      <c r="R6" s="63">
        <f>L6-SUM(M6:Q6)</f>
        <v>127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36" customHeight="1">
      <c r="A7" s="53"/>
      <c r="B7" s="56" t="s">
        <v>17</v>
      </c>
      <c r="C7" s="57" t="s">
        <v>459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5">M6/$L$6</f>
        <v>0</v>
      </c>
      <c r="N7" s="67">
        <f t="shared" si="25"/>
        <v>0</v>
      </c>
      <c r="O7" s="67">
        <f t="shared" si="25"/>
        <v>0</v>
      </c>
      <c r="P7" s="68">
        <f t="shared" si="25"/>
        <v>0</v>
      </c>
      <c r="Q7" s="67">
        <f t="shared" si="25"/>
        <v>0</v>
      </c>
      <c r="R7" s="67">
        <f t="shared" si="25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136</v>
      </c>
      <c r="N10" s="4"/>
      <c r="O10" s="4"/>
      <c r="P10" s="4"/>
      <c r="Q10" s="5"/>
      <c r="R10" s="56" t="s">
        <v>139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141</v>
      </c>
      <c r="C11" s="4"/>
      <c r="D11" s="5"/>
      <c r="E11" s="42"/>
      <c r="F11" s="73" t="s">
        <v>142</v>
      </c>
      <c r="G11" s="73" t="s">
        <v>143</v>
      </c>
      <c r="H11" s="73" t="s">
        <v>144</v>
      </c>
      <c r="I11" s="73" t="s">
        <v>145</v>
      </c>
      <c r="J11" s="73" t="s">
        <v>146</v>
      </c>
      <c r="K11" s="73" t="s">
        <v>147</v>
      </c>
      <c r="L11" s="73" t="s">
        <v>148</v>
      </c>
      <c r="M11" s="73" t="s">
        <v>149</v>
      </c>
      <c r="N11" s="73" t="s">
        <v>150</v>
      </c>
      <c r="O11" s="73" t="s">
        <v>151</v>
      </c>
      <c r="P11" s="74" t="s">
        <v>152</v>
      </c>
      <c r="Q11" s="73" t="s">
        <v>153</v>
      </c>
      <c r="R11" s="75" t="s">
        <v>149</v>
      </c>
      <c r="S11" s="75" t="s">
        <v>150</v>
      </c>
      <c r="T11" s="75" t="s">
        <v>151</v>
      </c>
      <c r="U11" s="75" t="s">
        <v>152</v>
      </c>
      <c r="V11" s="75" t="s">
        <v>153</v>
      </c>
      <c r="W11" s="73" t="s">
        <v>154</v>
      </c>
      <c r="X11" s="73" t="s">
        <v>155</v>
      </c>
      <c r="Y11" s="54"/>
      <c r="Z11" s="54"/>
      <c r="AA11" s="54"/>
      <c r="AB11" s="54"/>
      <c r="AC11" s="54"/>
    </row>
    <row r="12" ht="15.75" customHeight="1">
      <c r="A12" s="72" t="s">
        <v>156</v>
      </c>
      <c r="B12" s="73" t="s">
        <v>157</v>
      </c>
      <c r="C12" s="73" t="s">
        <v>158</v>
      </c>
      <c r="D12" s="73" t="s">
        <v>159</v>
      </c>
      <c r="E12" s="73" t="s">
        <v>160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62.100000000000001" customHeight="1">
      <c r="A13" s="76">
        <v>13</v>
      </c>
      <c r="B13" s="60" t="s">
        <v>66</v>
      </c>
      <c r="C13" s="60" t="s">
        <v>76</v>
      </c>
      <c r="D13" s="60" t="s">
        <v>460</v>
      </c>
      <c r="E13" s="60" t="s">
        <v>461</v>
      </c>
      <c r="F13" s="60" t="s">
        <v>163</v>
      </c>
      <c r="G13" s="60" t="s">
        <v>462</v>
      </c>
      <c r="H13" s="60" t="s">
        <v>463</v>
      </c>
      <c r="I13" s="60" t="s">
        <v>464</v>
      </c>
      <c r="J13" s="60" t="s">
        <v>465</v>
      </c>
      <c r="K13" s="60" t="s">
        <v>466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 t="s">
        <v>467</v>
      </c>
      <c r="Y13" s="54"/>
      <c r="Z13" s="54"/>
      <c r="AA13" s="54"/>
      <c r="AB13" s="54"/>
      <c r="AC13" s="54"/>
    </row>
    <row r="14" ht="48.600000000000001" customHeight="1">
      <c r="A14" s="76">
        <v>14</v>
      </c>
      <c r="B14" s="77"/>
      <c r="C14" s="80"/>
      <c r="D14" s="60" t="s">
        <v>468</v>
      </c>
      <c r="E14" s="60" t="s">
        <v>169</v>
      </c>
      <c r="F14" s="60" t="s">
        <v>170</v>
      </c>
      <c r="G14" s="60" t="s">
        <v>469</v>
      </c>
      <c r="H14" s="60" t="s">
        <v>470</v>
      </c>
      <c r="I14" s="60" t="s">
        <v>464</v>
      </c>
      <c r="J14" s="60" t="s">
        <v>471</v>
      </c>
      <c r="K14" s="60" t="s">
        <v>472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 t="s">
        <v>467</v>
      </c>
      <c r="Y14" s="54"/>
      <c r="Z14" s="54"/>
      <c r="AA14" s="54"/>
      <c r="AB14" s="54"/>
      <c r="AC14" s="54"/>
    </row>
    <row r="15" ht="62.100000000000001" customHeight="1">
      <c r="A15" s="76">
        <v>15</v>
      </c>
      <c r="B15" s="77"/>
      <c r="C15" s="60" t="s">
        <v>77</v>
      </c>
      <c r="D15" s="60" t="s">
        <v>473</v>
      </c>
      <c r="E15" s="60" t="s">
        <v>474</v>
      </c>
      <c r="F15" s="60" t="s">
        <v>163</v>
      </c>
      <c r="G15" s="60" t="s">
        <v>475</v>
      </c>
      <c r="H15" s="60" t="s">
        <v>476</v>
      </c>
      <c r="I15" s="60" t="s">
        <v>464</v>
      </c>
      <c r="J15" s="60" t="s">
        <v>477</v>
      </c>
      <c r="K15" s="82" t="s">
        <v>478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 t="s">
        <v>479</v>
      </c>
      <c r="Y15" s="54"/>
      <c r="Z15" s="54"/>
      <c r="AA15" s="54"/>
      <c r="AB15" s="54"/>
      <c r="AC15" s="54"/>
    </row>
    <row r="16" ht="35.100000000000001" customHeight="1">
      <c r="A16" s="76">
        <v>16</v>
      </c>
      <c r="B16" s="77"/>
      <c r="C16" s="77"/>
      <c r="D16" s="60" t="s">
        <v>468</v>
      </c>
      <c r="E16" s="60" t="s">
        <v>480</v>
      </c>
      <c r="F16" s="60" t="s">
        <v>170</v>
      </c>
      <c r="G16" s="60" t="s">
        <v>481</v>
      </c>
      <c r="H16" s="60" t="s">
        <v>482</v>
      </c>
      <c r="I16" s="60" t="s">
        <v>464</v>
      </c>
      <c r="J16" s="60" t="s">
        <v>483</v>
      </c>
      <c r="K16" s="82" t="s">
        <v>484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479</v>
      </c>
      <c r="Y16" s="54"/>
      <c r="Z16" s="54"/>
      <c r="AA16" s="54"/>
      <c r="AB16" s="54"/>
      <c r="AC16" s="54"/>
    </row>
    <row r="17" ht="51" customHeight="1">
      <c r="A17" s="76">
        <v>17</v>
      </c>
      <c r="B17" s="80"/>
      <c r="C17" s="80"/>
      <c r="D17" s="80"/>
      <c r="E17" s="60" t="s">
        <v>485</v>
      </c>
      <c r="F17" s="60" t="s">
        <v>170</v>
      </c>
      <c r="G17" s="60" t="s">
        <v>486</v>
      </c>
      <c r="H17" s="60" t="s">
        <v>487</v>
      </c>
      <c r="I17" s="60" t="s">
        <v>464</v>
      </c>
      <c r="J17" s="60" t="s">
        <v>488</v>
      </c>
      <c r="K17" s="82" t="s">
        <v>489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79" t="s">
        <v>490</v>
      </c>
      <c r="X17" s="60" t="s">
        <v>479</v>
      </c>
      <c r="Y17" s="54"/>
      <c r="Z17" s="54"/>
      <c r="AA17" s="54"/>
      <c r="AB17" s="54"/>
      <c r="AC17" s="54"/>
    </row>
    <row r="18" ht="89.099999999999994" customHeight="1">
      <c r="A18" s="76">
        <v>18</v>
      </c>
      <c r="B18" s="60" t="s">
        <v>78</v>
      </c>
      <c r="C18" s="60" t="s">
        <v>79</v>
      </c>
      <c r="D18" s="60" t="s">
        <v>228</v>
      </c>
      <c r="E18" s="60" t="s">
        <v>491</v>
      </c>
      <c r="F18" s="60" t="s">
        <v>170</v>
      </c>
      <c r="G18" s="60" t="s">
        <v>492</v>
      </c>
      <c r="H18" s="60" t="s">
        <v>493</v>
      </c>
      <c r="I18" s="60" t="s">
        <v>464</v>
      </c>
      <c r="J18" s="60" t="s">
        <v>494</v>
      </c>
      <c r="K18" s="82" t="s">
        <v>495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79" t="s">
        <v>496</v>
      </c>
      <c r="X18" s="60" t="s">
        <v>467</v>
      </c>
      <c r="Y18" s="54"/>
      <c r="Z18" s="54"/>
      <c r="AA18" s="54"/>
      <c r="AB18" s="54"/>
      <c r="AC18" s="54"/>
    </row>
    <row r="19" ht="96">
      <c r="A19" s="76"/>
      <c r="B19" s="77"/>
      <c r="C19" s="60" t="s">
        <v>84</v>
      </c>
      <c r="D19" s="60" t="s">
        <v>497</v>
      </c>
      <c r="E19" s="60" t="s">
        <v>498</v>
      </c>
      <c r="F19" s="60" t="s">
        <v>170</v>
      </c>
      <c r="G19" s="60" t="s">
        <v>499</v>
      </c>
      <c r="H19" s="60" t="s">
        <v>500</v>
      </c>
      <c r="I19" s="60" t="s">
        <v>501</v>
      </c>
      <c r="J19" s="60" t="s">
        <v>502</v>
      </c>
      <c r="K19" s="82" t="s">
        <v>503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79" t="s">
        <v>504</v>
      </c>
      <c r="X19" s="60" t="s">
        <v>467</v>
      </c>
      <c r="Y19" s="54"/>
      <c r="Z19" s="54"/>
      <c r="AA19" s="54"/>
      <c r="AB19" s="54"/>
      <c r="AC19" s="54"/>
    </row>
    <row r="20" ht="35.100000000000001" customHeight="1">
      <c r="A20" s="76">
        <v>20</v>
      </c>
      <c r="B20" s="77"/>
      <c r="C20" s="60" t="s">
        <v>80</v>
      </c>
      <c r="D20" s="60" t="s">
        <v>228</v>
      </c>
      <c r="E20" s="60" t="s">
        <v>505</v>
      </c>
      <c r="F20" s="60" t="s">
        <v>163</v>
      </c>
      <c r="G20" s="60" t="s">
        <v>506</v>
      </c>
      <c r="H20" s="60" t="s">
        <v>507</v>
      </c>
      <c r="I20" s="60" t="s">
        <v>464</v>
      </c>
      <c r="J20" s="60" t="s">
        <v>508</v>
      </c>
      <c r="K20" s="60" t="s">
        <v>509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79" t="s">
        <v>510</v>
      </c>
      <c r="X20" s="60" t="s">
        <v>511</v>
      </c>
      <c r="Y20" s="54"/>
      <c r="Z20" s="54"/>
      <c r="AA20" s="54"/>
      <c r="AB20" s="54"/>
      <c r="AC20" s="54"/>
    </row>
    <row r="21" ht="62.100000000000001" customHeight="1">
      <c r="A21" s="76">
        <v>21</v>
      </c>
      <c r="B21" s="77"/>
      <c r="C21" s="77"/>
      <c r="D21" s="60" t="s">
        <v>512</v>
      </c>
      <c r="E21" s="60" t="s">
        <v>513</v>
      </c>
      <c r="F21" s="60" t="s">
        <v>163</v>
      </c>
      <c r="G21" s="60" t="s">
        <v>514</v>
      </c>
      <c r="H21" s="60" t="s">
        <v>515</v>
      </c>
      <c r="I21" s="60" t="s">
        <v>464</v>
      </c>
      <c r="J21" s="60" t="s">
        <v>516</v>
      </c>
      <c r="K21" s="60" t="s">
        <v>517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 t="s">
        <v>511</v>
      </c>
      <c r="Y21" s="54"/>
      <c r="Z21" s="54"/>
      <c r="AA21" s="54"/>
      <c r="AB21" s="54"/>
      <c r="AC21" s="54"/>
    </row>
    <row r="22" ht="197.09999999999999" customHeight="1">
      <c r="A22" s="76">
        <v>22</v>
      </c>
      <c r="B22" s="77"/>
      <c r="C22" s="77"/>
      <c r="D22" s="80"/>
      <c r="E22" s="60" t="s">
        <v>518</v>
      </c>
      <c r="F22" s="60" t="s">
        <v>163</v>
      </c>
      <c r="G22" s="60" t="s">
        <v>519</v>
      </c>
      <c r="H22" s="60" t="s">
        <v>520</v>
      </c>
      <c r="I22" s="60" t="s">
        <v>464</v>
      </c>
      <c r="J22" s="60" t="s">
        <v>521</v>
      </c>
      <c r="K22" s="60" t="s">
        <v>522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 t="s">
        <v>511</v>
      </c>
      <c r="Y22" s="54"/>
      <c r="Z22" s="54"/>
      <c r="AA22" s="54"/>
      <c r="AB22" s="54"/>
      <c r="AC22" s="54"/>
    </row>
    <row r="23" ht="75.599999999999994" customHeight="1">
      <c r="A23" s="76">
        <v>23</v>
      </c>
      <c r="B23" s="77"/>
      <c r="C23" s="77"/>
      <c r="D23" s="60" t="s">
        <v>523</v>
      </c>
      <c r="E23" s="60" t="s">
        <v>524</v>
      </c>
      <c r="F23" s="60" t="s">
        <v>163</v>
      </c>
      <c r="G23" s="60" t="s">
        <v>525</v>
      </c>
      <c r="H23" s="60" t="s">
        <v>526</v>
      </c>
      <c r="I23" s="60" t="s">
        <v>464</v>
      </c>
      <c r="J23" s="60" t="s">
        <v>527</v>
      </c>
      <c r="K23" s="60" t="s">
        <v>528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79" t="s">
        <v>529</v>
      </c>
      <c r="X23" s="60" t="s">
        <v>511</v>
      </c>
      <c r="Y23" s="54"/>
      <c r="Z23" s="54"/>
      <c r="AA23" s="54"/>
      <c r="AB23" s="54"/>
      <c r="AC23" s="54"/>
    </row>
    <row r="24" ht="75.599999999999994" customHeight="1">
      <c r="A24" s="76">
        <v>24</v>
      </c>
      <c r="B24" s="77"/>
      <c r="C24" s="77"/>
      <c r="D24" s="80"/>
      <c r="E24" s="60" t="s">
        <v>530</v>
      </c>
      <c r="F24" s="60" t="s">
        <v>170</v>
      </c>
      <c r="G24" s="60" t="s">
        <v>531</v>
      </c>
      <c r="H24" s="60" t="s">
        <v>532</v>
      </c>
      <c r="I24" s="60" t="s">
        <v>464</v>
      </c>
      <c r="J24" s="60" t="s">
        <v>533</v>
      </c>
      <c r="K24" s="60" t="s">
        <v>534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79" t="s">
        <v>535</v>
      </c>
      <c r="X24" s="60" t="s">
        <v>511</v>
      </c>
      <c r="Y24" s="54"/>
      <c r="Z24" s="54"/>
      <c r="AA24" s="54"/>
      <c r="AB24" s="54"/>
      <c r="AC24" s="54"/>
    </row>
    <row r="25" ht="75.599999999999994" customHeight="1">
      <c r="A25" s="76">
        <v>25</v>
      </c>
      <c r="B25" s="77"/>
      <c r="C25" s="77"/>
      <c r="D25" s="60" t="s">
        <v>536</v>
      </c>
      <c r="E25" s="60" t="s">
        <v>537</v>
      </c>
      <c r="F25" s="60" t="s">
        <v>170</v>
      </c>
      <c r="G25" s="60" t="s">
        <v>538</v>
      </c>
      <c r="H25" s="60" t="s">
        <v>539</v>
      </c>
      <c r="I25" s="60" t="s">
        <v>464</v>
      </c>
      <c r="J25" s="60" t="s">
        <v>540</v>
      </c>
      <c r="K25" s="82" t="s">
        <v>541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511</v>
      </c>
      <c r="Y25" s="54"/>
      <c r="Z25" s="54"/>
      <c r="AA25" s="54"/>
      <c r="AB25" s="54"/>
      <c r="AC25" s="54"/>
    </row>
    <row r="26" ht="89.099999999999994" customHeight="1">
      <c r="A26" s="76">
        <v>26</v>
      </c>
      <c r="B26" s="77"/>
      <c r="C26" s="77"/>
      <c r="D26" s="80"/>
      <c r="E26" s="60" t="s">
        <v>542</v>
      </c>
      <c r="F26" s="60" t="s">
        <v>170</v>
      </c>
      <c r="G26" s="60" t="s">
        <v>543</v>
      </c>
      <c r="H26" s="60" t="s">
        <v>544</v>
      </c>
      <c r="I26" s="60" t="s">
        <v>464</v>
      </c>
      <c r="J26" s="60" t="s">
        <v>545</v>
      </c>
      <c r="K26" s="82" t="s">
        <v>546</v>
      </c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 t="s">
        <v>511</v>
      </c>
      <c r="Y26" s="54"/>
      <c r="Z26" s="54"/>
      <c r="AA26" s="54"/>
      <c r="AB26" s="54"/>
      <c r="AC26" s="54"/>
    </row>
    <row r="27" ht="75.599999999999994" customHeight="1">
      <c r="A27" s="76">
        <v>27</v>
      </c>
      <c r="B27" s="77"/>
      <c r="C27" s="77"/>
      <c r="D27" s="60" t="s">
        <v>547</v>
      </c>
      <c r="E27" s="60" t="s">
        <v>548</v>
      </c>
      <c r="F27" s="60" t="s">
        <v>163</v>
      </c>
      <c r="G27" s="60" t="s">
        <v>549</v>
      </c>
      <c r="H27" s="60" t="s">
        <v>550</v>
      </c>
      <c r="I27" s="60" t="s">
        <v>464</v>
      </c>
      <c r="J27" s="60" t="s">
        <v>551</v>
      </c>
      <c r="K27" s="82" t="s">
        <v>552</v>
      </c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79" t="s">
        <v>553</v>
      </c>
      <c r="X27" s="60" t="s">
        <v>511</v>
      </c>
      <c r="Y27" s="54"/>
      <c r="Z27" s="54"/>
      <c r="AA27" s="54"/>
      <c r="AB27" s="54"/>
      <c r="AC27" s="54"/>
    </row>
    <row r="28" ht="75.599999999999994" customHeight="1">
      <c r="A28" s="76">
        <v>28</v>
      </c>
      <c r="B28" s="77"/>
      <c r="C28" s="77"/>
      <c r="D28" s="77"/>
      <c r="E28" s="60" t="s">
        <v>554</v>
      </c>
      <c r="F28" s="60" t="s">
        <v>163</v>
      </c>
      <c r="G28" s="60" t="s">
        <v>555</v>
      </c>
      <c r="H28" s="60" t="s">
        <v>556</v>
      </c>
      <c r="I28" s="60" t="s">
        <v>464</v>
      </c>
      <c r="J28" s="60" t="s">
        <v>557</v>
      </c>
      <c r="K28" s="82" t="s">
        <v>558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79" t="s">
        <v>553</v>
      </c>
      <c r="X28" s="60" t="s">
        <v>511</v>
      </c>
      <c r="Y28" s="54"/>
      <c r="Z28" s="54"/>
      <c r="AA28" s="54"/>
      <c r="AB28" s="54"/>
      <c r="AC28" s="54"/>
    </row>
    <row r="29" ht="75.599999999999994" customHeight="1">
      <c r="A29" s="76">
        <v>29</v>
      </c>
      <c r="B29" s="77"/>
      <c r="C29" s="77"/>
      <c r="D29" s="77"/>
      <c r="E29" s="60" t="s">
        <v>559</v>
      </c>
      <c r="F29" s="60" t="s">
        <v>170</v>
      </c>
      <c r="G29" s="60" t="s">
        <v>560</v>
      </c>
      <c r="H29" s="60" t="s">
        <v>561</v>
      </c>
      <c r="I29" s="60" t="s">
        <v>464</v>
      </c>
      <c r="J29" s="60" t="s">
        <v>562</v>
      </c>
      <c r="K29" s="82" t="s">
        <v>558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79" t="s">
        <v>563</v>
      </c>
      <c r="X29" s="60" t="s">
        <v>511</v>
      </c>
      <c r="Y29" s="54"/>
      <c r="Z29" s="54"/>
      <c r="AA29" s="54"/>
      <c r="AB29" s="54"/>
      <c r="AC29" s="54"/>
    </row>
    <row r="30" ht="75.599999999999994" customHeight="1">
      <c r="A30" s="76">
        <v>30</v>
      </c>
      <c r="B30" s="77"/>
      <c r="C30" s="77"/>
      <c r="D30" s="77"/>
      <c r="E30" s="60" t="s">
        <v>564</v>
      </c>
      <c r="F30" s="60" t="s">
        <v>163</v>
      </c>
      <c r="G30" s="60" t="s">
        <v>565</v>
      </c>
      <c r="H30" s="60" t="s">
        <v>566</v>
      </c>
      <c r="I30" s="60" t="s">
        <v>464</v>
      </c>
      <c r="J30" s="60" t="s">
        <v>567</v>
      </c>
      <c r="K30" s="60" t="s">
        <v>568</v>
      </c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79" t="s">
        <v>553</v>
      </c>
      <c r="X30" s="60" t="s">
        <v>511</v>
      </c>
      <c r="Y30" s="54"/>
      <c r="Z30" s="54"/>
      <c r="AA30" s="54"/>
      <c r="AB30" s="54"/>
      <c r="AC30" s="54"/>
    </row>
    <row r="31" ht="75.599999999999994" customHeight="1">
      <c r="A31" s="76">
        <v>31</v>
      </c>
      <c r="B31" s="77"/>
      <c r="C31" s="77"/>
      <c r="D31" s="77"/>
      <c r="E31" s="60" t="s">
        <v>569</v>
      </c>
      <c r="F31" s="60" t="s">
        <v>170</v>
      </c>
      <c r="G31" s="60" t="s">
        <v>560</v>
      </c>
      <c r="H31" s="60" t="s">
        <v>561</v>
      </c>
      <c r="I31" s="60" t="s">
        <v>464</v>
      </c>
      <c r="J31" s="60" t="s">
        <v>570</v>
      </c>
      <c r="K31" s="82" t="s">
        <v>568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79" t="s">
        <v>571</v>
      </c>
      <c r="X31" s="60" t="s">
        <v>511</v>
      </c>
      <c r="Y31" s="54"/>
      <c r="Z31" s="54"/>
      <c r="AA31" s="54"/>
      <c r="AB31" s="54"/>
      <c r="AC31" s="54"/>
    </row>
    <row r="32" ht="75.599999999999994" customHeight="1">
      <c r="A32" s="76">
        <v>32</v>
      </c>
      <c r="B32" s="77"/>
      <c r="C32" s="77"/>
      <c r="D32" s="77"/>
      <c r="E32" s="60" t="s">
        <v>572</v>
      </c>
      <c r="F32" s="60" t="s">
        <v>163</v>
      </c>
      <c r="G32" s="60" t="s">
        <v>573</v>
      </c>
      <c r="H32" s="60" t="s">
        <v>574</v>
      </c>
      <c r="I32" s="60" t="s">
        <v>464</v>
      </c>
      <c r="J32" s="60" t="s">
        <v>575</v>
      </c>
      <c r="K32" s="82" t="s">
        <v>576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9" t="s">
        <v>577</v>
      </c>
      <c r="X32" s="60" t="s">
        <v>511</v>
      </c>
      <c r="Y32" s="54"/>
      <c r="Z32" s="54"/>
      <c r="AA32" s="54"/>
      <c r="AB32" s="54"/>
      <c r="AC32" s="54"/>
    </row>
    <row r="33" ht="75.599999999999994" customHeight="1">
      <c r="A33" s="76"/>
      <c r="B33" s="77"/>
      <c r="C33" s="77"/>
      <c r="D33" s="77"/>
      <c r="E33" s="60" t="s">
        <v>578</v>
      </c>
      <c r="F33" s="60" t="s">
        <v>170</v>
      </c>
      <c r="G33" s="60" t="s">
        <v>579</v>
      </c>
      <c r="H33" s="60" t="s">
        <v>247</v>
      </c>
      <c r="I33" s="60" t="s">
        <v>464</v>
      </c>
      <c r="J33" s="60" t="s">
        <v>580</v>
      </c>
      <c r="K33" s="78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79" t="s">
        <v>581</v>
      </c>
      <c r="X33" s="60" t="s">
        <v>511</v>
      </c>
      <c r="Y33" s="54"/>
      <c r="Z33" s="54"/>
      <c r="AA33" s="54"/>
      <c r="AB33" s="54"/>
      <c r="AC33" s="54"/>
    </row>
    <row r="34" ht="75.599999999999994" customHeight="1">
      <c r="A34" s="76"/>
      <c r="B34" s="77"/>
      <c r="C34" s="77"/>
      <c r="D34" s="77"/>
      <c r="E34" s="60" t="s">
        <v>582</v>
      </c>
      <c r="F34" s="60" t="s">
        <v>170</v>
      </c>
      <c r="G34" s="60" t="s">
        <v>583</v>
      </c>
      <c r="H34" s="60" t="s">
        <v>584</v>
      </c>
      <c r="I34" s="60" t="s">
        <v>464</v>
      </c>
      <c r="J34" s="60" t="s">
        <v>585</v>
      </c>
      <c r="K34" s="60" t="s">
        <v>586</v>
      </c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79" t="s">
        <v>587</v>
      </c>
      <c r="X34" s="60" t="s">
        <v>511</v>
      </c>
      <c r="Y34" s="54"/>
      <c r="Z34" s="54"/>
      <c r="AA34" s="54"/>
      <c r="AB34" s="54"/>
      <c r="AC34" s="54"/>
    </row>
    <row r="35" ht="75.599999999999994" customHeight="1">
      <c r="A35" s="76"/>
      <c r="B35" s="77"/>
      <c r="C35" s="77"/>
      <c r="D35" s="77"/>
      <c r="E35" s="60" t="s">
        <v>588</v>
      </c>
      <c r="F35" s="60" t="s">
        <v>185</v>
      </c>
      <c r="G35" s="60" t="s">
        <v>589</v>
      </c>
      <c r="H35" s="60" t="s">
        <v>590</v>
      </c>
      <c r="I35" s="60" t="s">
        <v>464</v>
      </c>
      <c r="J35" s="60" t="s">
        <v>591</v>
      </c>
      <c r="K35" s="60" t="s">
        <v>592</v>
      </c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 t="s">
        <v>511</v>
      </c>
      <c r="Y35" s="54"/>
      <c r="Z35" s="54"/>
      <c r="AA35" s="54"/>
      <c r="AB35" s="54"/>
      <c r="AC35" s="54"/>
    </row>
    <row r="36" ht="48.600000000000001" customHeight="1">
      <c r="A36" s="76">
        <v>33</v>
      </c>
      <c r="B36" s="77"/>
      <c r="C36" s="77"/>
      <c r="D36" s="80"/>
      <c r="E36" s="60" t="s">
        <v>593</v>
      </c>
      <c r="F36" s="60" t="s">
        <v>185</v>
      </c>
      <c r="G36" s="60" t="s">
        <v>594</v>
      </c>
      <c r="H36" s="60" t="s">
        <v>595</v>
      </c>
      <c r="I36" s="60" t="s">
        <v>464</v>
      </c>
      <c r="J36" s="60" t="s">
        <v>596</v>
      </c>
      <c r="K36" s="60" t="s">
        <v>592</v>
      </c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79" t="s">
        <v>597</v>
      </c>
      <c r="X36" s="60" t="s">
        <v>511</v>
      </c>
      <c r="Y36" s="54"/>
      <c r="Z36" s="54"/>
      <c r="AA36" s="54"/>
      <c r="AB36" s="54"/>
      <c r="AC36" s="54"/>
    </row>
    <row r="37" ht="116.09999999999999" customHeight="1">
      <c r="A37" s="76">
        <v>34</v>
      </c>
      <c r="B37" s="77"/>
      <c r="C37" s="77"/>
      <c r="D37" s="60" t="s">
        <v>329</v>
      </c>
      <c r="E37" s="83" t="s">
        <v>598</v>
      </c>
      <c r="F37" s="60" t="s">
        <v>163</v>
      </c>
      <c r="G37" s="60" t="s">
        <v>599</v>
      </c>
      <c r="H37" s="83" t="s">
        <v>600</v>
      </c>
      <c r="I37" s="60" t="s">
        <v>464</v>
      </c>
      <c r="J37" s="60" t="s">
        <v>601</v>
      </c>
      <c r="K37" s="60" t="s">
        <v>602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 t="s">
        <v>603</v>
      </c>
      <c r="X37" s="60" t="s">
        <v>511</v>
      </c>
      <c r="Y37" s="54"/>
      <c r="Z37" s="54"/>
      <c r="AA37" s="54"/>
      <c r="AB37" s="54"/>
      <c r="AC37" s="54"/>
    </row>
    <row r="38" ht="129.59999999999999" customHeight="1">
      <c r="A38" s="76">
        <v>35</v>
      </c>
      <c r="B38" s="77"/>
      <c r="C38" s="77"/>
      <c r="D38" s="77"/>
      <c r="E38" s="83" t="s">
        <v>604</v>
      </c>
      <c r="F38" s="60" t="s">
        <v>163</v>
      </c>
      <c r="G38" s="60" t="s">
        <v>605</v>
      </c>
      <c r="H38" s="83" t="s">
        <v>600</v>
      </c>
      <c r="I38" s="60" t="s">
        <v>464</v>
      </c>
      <c r="J38" s="60" t="s">
        <v>606</v>
      </c>
      <c r="K38" s="82" t="s">
        <v>607</v>
      </c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79" t="s">
        <v>608</v>
      </c>
      <c r="X38" s="60" t="s">
        <v>511</v>
      </c>
      <c r="Y38" s="54"/>
      <c r="Z38" s="54"/>
      <c r="AA38" s="54"/>
      <c r="AB38" s="54"/>
      <c r="AC38" s="54"/>
    </row>
    <row r="39" ht="144">
      <c r="A39" s="76">
        <v>38</v>
      </c>
      <c r="B39" s="77"/>
      <c r="C39" s="77"/>
      <c r="D39" s="77"/>
      <c r="E39" s="60" t="s">
        <v>609</v>
      </c>
      <c r="F39" s="60" t="s">
        <v>163</v>
      </c>
      <c r="G39" s="60" t="s">
        <v>610</v>
      </c>
      <c r="H39" s="60" t="s">
        <v>611</v>
      </c>
      <c r="I39" s="60" t="s">
        <v>464</v>
      </c>
      <c r="J39" s="60" t="s">
        <v>612</v>
      </c>
      <c r="K39" s="82" t="s">
        <v>613</v>
      </c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 t="s">
        <v>603</v>
      </c>
      <c r="X39" s="60" t="s">
        <v>511</v>
      </c>
      <c r="Y39" s="54"/>
      <c r="Z39" s="54"/>
      <c r="AA39" s="54"/>
      <c r="AB39" s="54"/>
      <c r="AC39" s="54"/>
    </row>
    <row r="40" ht="48.600000000000001" customHeight="1">
      <c r="A40" s="76">
        <v>47</v>
      </c>
      <c r="B40" s="77"/>
      <c r="C40" s="60" t="s">
        <v>81</v>
      </c>
      <c r="D40" s="60" t="s">
        <v>614</v>
      </c>
      <c r="E40" s="60" t="s">
        <v>615</v>
      </c>
      <c r="F40" s="60" t="s">
        <v>170</v>
      </c>
      <c r="G40" s="60" t="s">
        <v>616</v>
      </c>
      <c r="H40" s="60" t="s">
        <v>617</v>
      </c>
      <c r="I40" s="60" t="s">
        <v>464</v>
      </c>
      <c r="J40" s="60" t="s">
        <v>618</v>
      </c>
      <c r="K40" s="60" t="s">
        <v>619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 t="s">
        <v>467</v>
      </c>
      <c r="Y40" s="54"/>
      <c r="Z40" s="54"/>
      <c r="AA40" s="54"/>
      <c r="AB40" s="54"/>
      <c r="AC40" s="54"/>
    </row>
    <row r="41" ht="35.100000000000001" customHeight="1">
      <c r="A41" s="76">
        <v>48</v>
      </c>
      <c r="B41" s="77"/>
      <c r="C41" s="77"/>
      <c r="D41" s="60" t="s">
        <v>620</v>
      </c>
      <c r="E41" s="60" t="s">
        <v>621</v>
      </c>
      <c r="F41" s="60" t="s">
        <v>185</v>
      </c>
      <c r="G41" s="60" t="s">
        <v>622</v>
      </c>
      <c r="H41" s="60" t="s">
        <v>623</v>
      </c>
      <c r="I41" s="60" t="s">
        <v>464</v>
      </c>
      <c r="J41" s="60" t="s">
        <v>624</v>
      </c>
      <c r="K41" s="60" t="s">
        <v>625</v>
      </c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 t="s">
        <v>467</v>
      </c>
      <c r="Y41" s="54"/>
      <c r="Z41" s="54"/>
      <c r="AA41" s="54"/>
      <c r="AB41" s="54"/>
      <c r="AC41" s="54"/>
    </row>
    <row r="42" ht="62.100000000000001" customHeight="1">
      <c r="A42" s="76">
        <v>49</v>
      </c>
      <c r="B42" s="77"/>
      <c r="C42" s="77"/>
      <c r="D42" s="77"/>
      <c r="E42" s="60" t="s">
        <v>626</v>
      </c>
      <c r="F42" s="60" t="s">
        <v>163</v>
      </c>
      <c r="G42" s="60" t="s">
        <v>627</v>
      </c>
      <c r="H42" s="60" t="s">
        <v>628</v>
      </c>
      <c r="I42" s="60" t="s">
        <v>464</v>
      </c>
      <c r="J42" s="60" t="s">
        <v>629</v>
      </c>
      <c r="K42" s="60" t="s">
        <v>630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79" t="s">
        <v>631</v>
      </c>
      <c r="X42" s="60" t="s">
        <v>467</v>
      </c>
      <c r="Y42" s="54"/>
      <c r="Z42" s="54"/>
      <c r="AA42" s="54"/>
      <c r="AB42" s="54"/>
      <c r="AC42" s="54"/>
    </row>
    <row r="43" ht="35.100000000000001" customHeight="1">
      <c r="A43" s="76">
        <v>50</v>
      </c>
      <c r="B43" s="77"/>
      <c r="C43" s="77"/>
      <c r="D43" s="77"/>
      <c r="E43" s="60" t="s">
        <v>632</v>
      </c>
      <c r="F43" s="60" t="s">
        <v>170</v>
      </c>
      <c r="G43" s="60" t="s">
        <v>633</v>
      </c>
      <c r="H43" s="60" t="s">
        <v>634</v>
      </c>
      <c r="I43" s="60" t="s">
        <v>464</v>
      </c>
      <c r="J43" s="60" t="s">
        <v>635</v>
      </c>
      <c r="K43" s="78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9" t="s">
        <v>636</v>
      </c>
      <c r="X43" s="60" t="s">
        <v>467</v>
      </c>
      <c r="Y43" s="54"/>
      <c r="Z43" s="54"/>
      <c r="AA43" s="54"/>
      <c r="AB43" s="54"/>
      <c r="AC43" s="54"/>
    </row>
    <row r="44" ht="75.599999999999994" customHeight="1">
      <c r="A44" s="76">
        <v>51</v>
      </c>
      <c r="B44" s="77"/>
      <c r="C44" s="77"/>
      <c r="D44" s="77"/>
      <c r="E44" s="60" t="s">
        <v>637</v>
      </c>
      <c r="F44" s="60" t="s">
        <v>163</v>
      </c>
      <c r="G44" s="60" t="s">
        <v>638</v>
      </c>
      <c r="H44" s="60" t="s">
        <v>639</v>
      </c>
      <c r="I44" s="60" t="s">
        <v>464</v>
      </c>
      <c r="J44" s="60" t="s">
        <v>640</v>
      </c>
      <c r="K44" s="60" t="s">
        <v>641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79" t="s">
        <v>642</v>
      </c>
      <c r="X44" s="60" t="s">
        <v>467</v>
      </c>
      <c r="Y44" s="54"/>
      <c r="Z44" s="54"/>
      <c r="AA44" s="54"/>
      <c r="AB44" s="54"/>
      <c r="AC44" s="54"/>
    </row>
    <row r="45" ht="62.100000000000001" customHeight="1">
      <c r="A45" s="76">
        <v>52</v>
      </c>
      <c r="B45" s="77"/>
      <c r="C45" s="77"/>
      <c r="D45" s="77"/>
      <c r="E45" s="60" t="s">
        <v>643</v>
      </c>
      <c r="F45" s="60" t="s">
        <v>170</v>
      </c>
      <c r="G45" s="60" t="s">
        <v>644</v>
      </c>
      <c r="H45" s="60" t="s">
        <v>645</v>
      </c>
      <c r="I45" s="60" t="s">
        <v>464</v>
      </c>
      <c r="J45" s="60" t="s">
        <v>646</v>
      </c>
      <c r="K45" s="60" t="s">
        <v>647</v>
      </c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 t="s">
        <v>467</v>
      </c>
      <c r="Y45" s="54"/>
      <c r="Z45" s="54"/>
      <c r="AA45" s="54"/>
      <c r="AB45" s="54"/>
      <c r="AC45" s="54"/>
    </row>
    <row r="46" ht="48.600000000000001" customHeight="1">
      <c r="A46" s="76">
        <v>53</v>
      </c>
      <c r="B46" s="77"/>
      <c r="C46" s="80"/>
      <c r="D46" s="80"/>
      <c r="E46" s="60" t="s">
        <v>648</v>
      </c>
      <c r="F46" s="60" t="s">
        <v>170</v>
      </c>
      <c r="G46" s="60" t="s">
        <v>649</v>
      </c>
      <c r="H46" s="60" t="s">
        <v>650</v>
      </c>
      <c r="I46" s="60" t="s">
        <v>464</v>
      </c>
      <c r="J46" s="60" t="s">
        <v>651</v>
      </c>
      <c r="K46" s="60" t="s">
        <v>652</v>
      </c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 t="s">
        <v>467</v>
      </c>
      <c r="Y46" s="54"/>
      <c r="Z46" s="54"/>
      <c r="AA46" s="54"/>
      <c r="AB46" s="54"/>
      <c r="AC46" s="54"/>
    </row>
    <row r="47" ht="48.600000000000001" customHeight="1">
      <c r="A47" s="76">
        <v>54</v>
      </c>
      <c r="B47" s="77"/>
      <c r="C47" s="60" t="s">
        <v>82</v>
      </c>
      <c r="D47" s="60" t="s">
        <v>228</v>
      </c>
      <c r="E47" s="60" t="s">
        <v>653</v>
      </c>
      <c r="F47" s="60" t="s">
        <v>163</v>
      </c>
      <c r="G47" s="60" t="s">
        <v>654</v>
      </c>
      <c r="H47" s="60" t="s">
        <v>655</v>
      </c>
      <c r="I47" s="60" t="s">
        <v>464</v>
      </c>
      <c r="J47" s="60" t="s">
        <v>656</v>
      </c>
      <c r="K47" s="60" t="s">
        <v>657</v>
      </c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79" t="s">
        <v>658</v>
      </c>
      <c r="X47" s="60" t="s">
        <v>467</v>
      </c>
      <c r="Y47" s="54"/>
      <c r="Z47" s="54"/>
      <c r="AA47" s="54"/>
      <c r="AB47" s="54"/>
      <c r="AC47" s="54"/>
    </row>
    <row r="48" ht="62.100000000000001" customHeight="1">
      <c r="A48" s="76">
        <v>55</v>
      </c>
      <c r="B48" s="77"/>
      <c r="C48" s="77"/>
      <c r="D48" s="77"/>
      <c r="E48" s="60" t="s">
        <v>659</v>
      </c>
      <c r="F48" s="60" t="s">
        <v>163</v>
      </c>
      <c r="G48" s="60" t="s">
        <v>660</v>
      </c>
      <c r="H48" s="60" t="s">
        <v>661</v>
      </c>
      <c r="I48" s="60" t="s">
        <v>464</v>
      </c>
      <c r="J48" s="60" t="s">
        <v>662</v>
      </c>
      <c r="K48" s="60" t="s">
        <v>663</v>
      </c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 t="s">
        <v>467</v>
      </c>
      <c r="Y48" s="54"/>
      <c r="Z48" s="54"/>
      <c r="AA48" s="54"/>
      <c r="AB48" s="54"/>
      <c r="AC48" s="54"/>
    </row>
    <row r="49" ht="62.100000000000001" customHeight="1">
      <c r="A49" s="76">
        <v>56</v>
      </c>
      <c r="B49" s="77"/>
      <c r="C49" s="77"/>
      <c r="D49" s="77"/>
      <c r="E49" s="84" t="s">
        <v>664</v>
      </c>
      <c r="F49" s="60" t="s">
        <v>163</v>
      </c>
      <c r="G49" s="60" t="s">
        <v>665</v>
      </c>
      <c r="H49" s="60" t="s">
        <v>666</v>
      </c>
      <c r="I49" s="60" t="s">
        <v>464</v>
      </c>
      <c r="J49" s="85" t="s">
        <v>667</v>
      </c>
      <c r="K49" s="86" t="s">
        <v>668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 t="s">
        <v>467</v>
      </c>
      <c r="Y49" s="54"/>
      <c r="Z49" s="54"/>
      <c r="AA49" s="54"/>
      <c r="AB49" s="54"/>
      <c r="AC49" s="54"/>
    </row>
    <row r="50" ht="62.100000000000001" customHeight="1">
      <c r="A50" s="76"/>
      <c r="B50" s="77"/>
      <c r="C50" s="77"/>
      <c r="D50" s="77"/>
      <c r="E50" s="87"/>
      <c r="F50" s="60" t="s">
        <v>163</v>
      </c>
      <c r="G50" s="60" t="s">
        <v>669</v>
      </c>
      <c r="H50" s="60" t="s">
        <v>670</v>
      </c>
      <c r="I50" s="60" t="s">
        <v>464</v>
      </c>
      <c r="J50" s="85" t="s">
        <v>671</v>
      </c>
      <c r="K50" s="86" t="s">
        <v>668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54"/>
      <c r="Z50" s="54"/>
      <c r="AA50" s="54"/>
      <c r="AB50" s="54"/>
      <c r="AC50" s="54"/>
    </row>
    <row r="51" ht="74.25" customHeight="1">
      <c r="A51" s="76"/>
      <c r="B51" s="77"/>
      <c r="C51" s="77"/>
      <c r="D51" s="77"/>
      <c r="E51" s="87"/>
      <c r="F51" s="60" t="s">
        <v>163</v>
      </c>
      <c r="G51" s="60"/>
      <c r="H51" s="60" t="s">
        <v>672</v>
      </c>
      <c r="I51" s="60" t="s">
        <v>464</v>
      </c>
      <c r="J51" s="88" t="s">
        <v>673</v>
      </c>
      <c r="K51" s="86" t="s">
        <v>674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54"/>
      <c r="Z51" s="54"/>
      <c r="AA51" s="54"/>
      <c r="AB51" s="54"/>
      <c r="AC51" s="54"/>
    </row>
    <row r="52" ht="70.5" customHeight="1">
      <c r="A52" s="76"/>
      <c r="B52" s="77"/>
      <c r="C52" s="77"/>
      <c r="D52" s="77"/>
      <c r="E52" s="60"/>
      <c r="F52" s="60" t="s">
        <v>163</v>
      </c>
      <c r="G52" s="60" t="s">
        <v>675</v>
      </c>
      <c r="H52" s="60" t="s">
        <v>676</v>
      </c>
      <c r="I52" s="60" t="s">
        <v>464</v>
      </c>
      <c r="J52" s="85" t="s">
        <v>677</v>
      </c>
      <c r="K52" s="86" t="s">
        <v>668</v>
      </c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54"/>
      <c r="Z52" s="54"/>
      <c r="AA52" s="54"/>
      <c r="AB52" s="54"/>
      <c r="AC52" s="54"/>
    </row>
    <row r="53" ht="75.599999999999994" customHeight="1">
      <c r="A53" s="76">
        <v>57</v>
      </c>
      <c r="B53" s="77"/>
      <c r="C53" s="77"/>
      <c r="D53" s="77"/>
      <c r="E53" s="60" t="s">
        <v>678</v>
      </c>
      <c r="F53" s="60" t="s">
        <v>163</v>
      </c>
      <c r="G53" s="60" t="s">
        <v>679</v>
      </c>
      <c r="H53" s="60" t="s">
        <v>680</v>
      </c>
      <c r="I53" s="60" t="s">
        <v>464</v>
      </c>
      <c r="J53" s="85" t="s">
        <v>681</v>
      </c>
      <c r="K53" s="85" t="s">
        <v>682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 t="s">
        <v>467</v>
      </c>
      <c r="Y53" s="54"/>
      <c r="Z53" s="54"/>
      <c r="AA53" s="54"/>
      <c r="AB53" s="54"/>
      <c r="AC53" s="54"/>
    </row>
    <row r="54" ht="75.599999999999994" customHeight="1">
      <c r="A54" s="76">
        <v>58</v>
      </c>
      <c r="B54" s="77"/>
      <c r="C54" s="77"/>
      <c r="D54" s="77"/>
      <c r="E54" s="60" t="s">
        <v>683</v>
      </c>
      <c r="F54" s="60" t="s">
        <v>170</v>
      </c>
      <c r="G54" s="60" t="s">
        <v>684</v>
      </c>
      <c r="H54" s="60" t="s">
        <v>685</v>
      </c>
      <c r="I54" s="60" t="s">
        <v>686</v>
      </c>
      <c r="J54" s="60" t="s">
        <v>687</v>
      </c>
      <c r="K54" s="85" t="s">
        <v>688</v>
      </c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79" t="s">
        <v>689</v>
      </c>
      <c r="X54" s="60" t="s">
        <v>467</v>
      </c>
      <c r="Y54" s="54"/>
      <c r="Z54" s="54"/>
      <c r="AA54" s="54"/>
      <c r="AB54" s="54"/>
      <c r="AC54" s="54"/>
    </row>
    <row r="55" ht="62.100000000000001" customHeight="1">
      <c r="A55" s="76">
        <v>59</v>
      </c>
      <c r="B55" s="77"/>
      <c r="C55" s="77"/>
      <c r="D55" s="77"/>
      <c r="E55" s="60" t="s">
        <v>690</v>
      </c>
      <c r="F55" s="60" t="s">
        <v>170</v>
      </c>
      <c r="G55" s="60" t="s">
        <v>691</v>
      </c>
      <c r="H55" s="60" t="s">
        <v>692</v>
      </c>
      <c r="I55" s="60" t="s">
        <v>464</v>
      </c>
      <c r="J55" s="85" t="s">
        <v>693</v>
      </c>
      <c r="K55" s="60" t="s">
        <v>694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79" t="s">
        <v>695</v>
      </c>
      <c r="X55" s="60" t="s">
        <v>467</v>
      </c>
      <c r="Y55" s="54"/>
      <c r="Z55" s="54"/>
      <c r="AA55" s="54"/>
      <c r="AB55" s="54"/>
      <c r="AC55" s="54"/>
    </row>
    <row r="56" ht="90.75" customHeight="1">
      <c r="A56" s="76"/>
      <c r="B56" s="77"/>
      <c r="C56" s="77"/>
      <c r="D56" s="77"/>
      <c r="E56" s="89" t="s">
        <v>696</v>
      </c>
      <c r="F56" s="60" t="s">
        <v>163</v>
      </c>
      <c r="G56" s="60"/>
      <c r="H56" s="60" t="s">
        <v>697</v>
      </c>
      <c r="I56" s="60" t="s">
        <v>464</v>
      </c>
      <c r="J56" s="60" t="s">
        <v>698</v>
      </c>
      <c r="K56" s="82" t="s">
        <v>699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79"/>
      <c r="X56" s="60"/>
      <c r="Y56" s="54"/>
      <c r="Z56" s="54"/>
      <c r="AA56" s="54"/>
      <c r="AB56" s="54"/>
      <c r="AC56" s="54"/>
    </row>
    <row r="57" ht="76.5" customHeight="1">
      <c r="A57" s="76"/>
      <c r="B57" s="77"/>
      <c r="C57" s="77"/>
      <c r="D57" s="77"/>
      <c r="E57" s="87"/>
      <c r="F57" s="60" t="s">
        <v>163</v>
      </c>
      <c r="G57" s="60"/>
      <c r="H57" s="60" t="s">
        <v>700</v>
      </c>
      <c r="I57" s="60" t="s">
        <v>464</v>
      </c>
      <c r="J57" s="60" t="s">
        <v>701</v>
      </c>
      <c r="K57" s="82" t="s">
        <v>702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79"/>
      <c r="X57" s="60"/>
      <c r="Y57" s="54"/>
      <c r="Z57" s="54"/>
      <c r="AA57" s="54"/>
      <c r="AB57" s="54"/>
      <c r="AC57" s="54"/>
    </row>
    <row r="58" ht="76.5" customHeight="1">
      <c r="A58" s="76"/>
      <c r="B58" s="77"/>
      <c r="C58" s="77"/>
      <c r="D58" s="77"/>
      <c r="E58" s="87"/>
      <c r="F58" s="60" t="s">
        <v>163</v>
      </c>
      <c r="G58" s="60"/>
      <c r="H58" s="60" t="s">
        <v>703</v>
      </c>
      <c r="I58" s="60" t="s">
        <v>464</v>
      </c>
      <c r="J58" s="60" t="s">
        <v>704</v>
      </c>
      <c r="K58" s="82" t="s">
        <v>705</v>
      </c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79"/>
      <c r="X58" s="60"/>
      <c r="Y58" s="54"/>
      <c r="Z58" s="54"/>
      <c r="AA58" s="54"/>
      <c r="AB58" s="54"/>
      <c r="AC58" s="54"/>
    </row>
    <row r="59" ht="76.5" customHeight="1">
      <c r="A59" s="76"/>
      <c r="B59" s="77"/>
      <c r="C59" s="77"/>
      <c r="D59" s="77"/>
      <c r="E59" s="87"/>
      <c r="F59" s="60" t="s">
        <v>163</v>
      </c>
      <c r="G59" s="60"/>
      <c r="H59" s="60" t="s">
        <v>706</v>
      </c>
      <c r="I59" s="60" t="s">
        <v>464</v>
      </c>
      <c r="J59" s="60" t="s">
        <v>707</v>
      </c>
      <c r="K59" s="82" t="s">
        <v>708</v>
      </c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79"/>
      <c r="X59" s="60"/>
      <c r="Y59" s="54"/>
      <c r="Z59" s="54"/>
      <c r="AA59" s="54"/>
      <c r="AB59" s="54"/>
      <c r="AC59" s="54"/>
    </row>
    <row r="60" ht="76.5" customHeight="1">
      <c r="A60" s="76"/>
      <c r="B60" s="77"/>
      <c r="C60" s="77"/>
      <c r="D60" s="77"/>
      <c r="E60" s="87"/>
      <c r="F60" s="60" t="s">
        <v>163</v>
      </c>
      <c r="G60" s="60"/>
      <c r="H60" s="60" t="s">
        <v>709</v>
      </c>
      <c r="I60" s="60" t="s">
        <v>464</v>
      </c>
      <c r="J60" s="60" t="s">
        <v>710</v>
      </c>
      <c r="K60" s="82" t="s">
        <v>711</v>
      </c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79"/>
      <c r="X60" s="60"/>
      <c r="Y60" s="54"/>
      <c r="Z60" s="54"/>
      <c r="AA60" s="54"/>
      <c r="AB60" s="54"/>
      <c r="AC60" s="54"/>
    </row>
    <row r="61" ht="76.5" customHeight="1">
      <c r="A61" s="76">
        <v>60</v>
      </c>
      <c r="B61" s="77"/>
      <c r="C61" s="77"/>
      <c r="D61" s="80"/>
      <c r="E61" s="60"/>
      <c r="F61" s="60" t="s">
        <v>163</v>
      </c>
      <c r="G61" s="60" t="s">
        <v>712</v>
      </c>
      <c r="H61" s="60" t="s">
        <v>713</v>
      </c>
      <c r="I61" s="60" t="s">
        <v>464</v>
      </c>
      <c r="J61" s="60" t="s">
        <v>714</v>
      </c>
      <c r="K61" s="82" t="s">
        <v>715</v>
      </c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79" t="s">
        <v>716</v>
      </c>
      <c r="X61" s="60" t="s">
        <v>717</v>
      </c>
      <c r="Y61" s="54"/>
      <c r="Z61" s="54"/>
      <c r="AA61" s="54"/>
      <c r="AB61" s="54"/>
      <c r="AC61" s="54"/>
    </row>
    <row r="62" ht="35.100000000000001" customHeight="1">
      <c r="A62" s="76">
        <v>61</v>
      </c>
      <c r="B62" s="77"/>
      <c r="C62" s="77"/>
      <c r="D62" s="60" t="s">
        <v>718</v>
      </c>
      <c r="E62" s="60" t="s">
        <v>719</v>
      </c>
      <c r="F62" s="60" t="s">
        <v>170</v>
      </c>
      <c r="G62" s="60" t="s">
        <v>720</v>
      </c>
      <c r="H62" s="60" t="s">
        <v>721</v>
      </c>
      <c r="I62" s="60" t="s">
        <v>464</v>
      </c>
      <c r="J62" s="60" t="s">
        <v>722</v>
      </c>
      <c r="K62" s="82" t="s">
        <v>723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79" t="s">
        <v>724</v>
      </c>
      <c r="X62" s="60" t="s">
        <v>467</v>
      </c>
      <c r="Y62" s="54"/>
      <c r="Z62" s="54"/>
      <c r="AA62" s="54"/>
      <c r="AB62" s="54"/>
      <c r="AC62" s="54"/>
    </row>
    <row r="63" ht="35.100000000000001" customHeight="1">
      <c r="A63" s="76">
        <v>62</v>
      </c>
      <c r="B63" s="77"/>
      <c r="C63" s="77"/>
      <c r="D63" s="77"/>
      <c r="E63" s="60" t="s">
        <v>725</v>
      </c>
      <c r="F63" s="60" t="s">
        <v>170</v>
      </c>
      <c r="G63" s="60" t="s">
        <v>726</v>
      </c>
      <c r="H63" s="60" t="s">
        <v>727</v>
      </c>
      <c r="I63" s="60" t="s">
        <v>464</v>
      </c>
      <c r="J63" s="60" t="s">
        <v>728</v>
      </c>
      <c r="K63" s="60" t="s">
        <v>729</v>
      </c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79" t="s">
        <v>730</v>
      </c>
      <c r="X63" s="60" t="s">
        <v>467</v>
      </c>
      <c r="Y63" s="54"/>
      <c r="Z63" s="54"/>
      <c r="AA63" s="54"/>
      <c r="AB63" s="54"/>
      <c r="AC63" s="54"/>
    </row>
    <row r="64" ht="35.100000000000001" customHeight="1">
      <c r="A64" s="76">
        <v>63</v>
      </c>
      <c r="B64" s="77"/>
      <c r="C64" s="80"/>
      <c r="D64" s="80"/>
      <c r="E64" s="60" t="s">
        <v>731</v>
      </c>
      <c r="F64" s="60" t="s">
        <v>170</v>
      </c>
      <c r="G64" s="60" t="s">
        <v>732</v>
      </c>
      <c r="H64" s="60" t="s">
        <v>733</v>
      </c>
      <c r="I64" s="60" t="s">
        <v>464</v>
      </c>
      <c r="J64" s="60" t="s">
        <v>734</v>
      </c>
      <c r="K64" s="60" t="s">
        <v>735</v>
      </c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79" t="s">
        <v>730</v>
      </c>
      <c r="X64" s="60" t="s">
        <v>467</v>
      </c>
      <c r="Y64" s="54"/>
      <c r="Z64" s="54"/>
      <c r="AA64" s="54"/>
      <c r="AB64" s="54"/>
      <c r="AC64" s="54"/>
    </row>
    <row r="65" ht="62.100000000000001" customHeight="1">
      <c r="A65" s="76">
        <v>64</v>
      </c>
      <c r="B65" s="77"/>
      <c r="C65" s="60" t="s">
        <v>83</v>
      </c>
      <c r="D65" s="84" t="s">
        <v>228</v>
      </c>
      <c r="E65" s="60" t="s">
        <v>229</v>
      </c>
      <c r="F65" s="60" t="s">
        <v>170</v>
      </c>
      <c r="G65" s="60" t="s">
        <v>736</v>
      </c>
      <c r="H65" s="60" t="s">
        <v>737</v>
      </c>
      <c r="I65" s="60" t="s">
        <v>464</v>
      </c>
      <c r="J65" s="60" t="s">
        <v>738</v>
      </c>
      <c r="K65" s="82" t="s">
        <v>739</v>
      </c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79" t="s">
        <v>740</v>
      </c>
      <c r="X65" s="60" t="s">
        <v>467</v>
      </c>
      <c r="Y65" s="54"/>
      <c r="Z65" s="54"/>
      <c r="AA65" s="54"/>
      <c r="AB65" s="54"/>
      <c r="AC65" s="54"/>
    </row>
    <row r="66" ht="71.25" customHeight="1">
      <c r="A66" s="76"/>
      <c r="B66" s="77"/>
      <c r="C66" s="87"/>
      <c r="D66" s="60"/>
      <c r="E66" s="60" t="s">
        <v>741</v>
      </c>
      <c r="F66" s="60" t="s">
        <v>170</v>
      </c>
      <c r="G66" s="60"/>
      <c r="H66" s="60" t="s">
        <v>742</v>
      </c>
      <c r="I66" s="60" t="s">
        <v>464</v>
      </c>
      <c r="J66" s="60" t="s">
        <v>743</v>
      </c>
      <c r="K66" s="82" t="s">
        <v>744</v>
      </c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79"/>
      <c r="X66" s="60"/>
      <c r="Y66" s="54"/>
      <c r="Z66" s="54"/>
      <c r="AA66" s="54"/>
      <c r="AB66" s="54"/>
      <c r="AC66" s="54"/>
    </row>
    <row r="67" ht="60" customHeight="1">
      <c r="A67" s="76">
        <v>65</v>
      </c>
      <c r="B67" s="77"/>
      <c r="C67" s="77"/>
      <c r="D67" s="60" t="s">
        <v>745</v>
      </c>
      <c r="E67" s="60" t="s">
        <v>746</v>
      </c>
      <c r="F67" s="60" t="s">
        <v>170</v>
      </c>
      <c r="G67" s="60" t="s">
        <v>747</v>
      </c>
      <c r="H67" s="60" t="s">
        <v>748</v>
      </c>
      <c r="I67" s="60" t="s">
        <v>749</v>
      </c>
      <c r="J67" s="60" t="s">
        <v>750</v>
      </c>
      <c r="K67" s="82" t="s">
        <v>751</v>
      </c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79" t="s">
        <v>752</v>
      </c>
      <c r="X67" s="60" t="s">
        <v>467</v>
      </c>
      <c r="Y67" s="54"/>
      <c r="Z67" s="54"/>
      <c r="AA67" s="54"/>
      <c r="AB67" s="54"/>
      <c r="AC67" s="54"/>
    </row>
    <row r="68" ht="35.100000000000001" customHeight="1">
      <c r="A68" s="76">
        <v>66</v>
      </c>
      <c r="B68" s="77"/>
      <c r="C68" s="77"/>
      <c r="D68" s="60" t="s">
        <v>753</v>
      </c>
      <c r="E68" s="60" t="s">
        <v>754</v>
      </c>
      <c r="F68" s="60" t="s">
        <v>185</v>
      </c>
      <c r="G68" s="60" t="s">
        <v>499</v>
      </c>
      <c r="H68" s="60" t="s">
        <v>755</v>
      </c>
      <c r="I68" s="60" t="s">
        <v>464</v>
      </c>
      <c r="J68" s="60" t="s">
        <v>756</v>
      </c>
      <c r="K68" s="60" t="s">
        <v>757</v>
      </c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 t="s">
        <v>467</v>
      </c>
      <c r="Y68" s="54"/>
      <c r="Z68" s="54"/>
      <c r="AA68" s="54"/>
      <c r="AB68" s="54"/>
      <c r="AC68" s="54"/>
    </row>
    <row r="69" ht="60" customHeight="1">
      <c r="A69" s="76">
        <v>67</v>
      </c>
      <c r="B69" s="80"/>
      <c r="C69" s="80"/>
      <c r="D69" s="80"/>
      <c r="E69" s="60" t="s">
        <v>758</v>
      </c>
      <c r="F69" s="60" t="s">
        <v>170</v>
      </c>
      <c r="G69" s="60" t="s">
        <v>759</v>
      </c>
      <c r="H69" s="60" t="s">
        <v>760</v>
      </c>
      <c r="I69" s="60" t="s">
        <v>749</v>
      </c>
      <c r="J69" s="60" t="s">
        <v>761</v>
      </c>
      <c r="K69" s="60" t="s">
        <v>762</v>
      </c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79" t="s">
        <v>763</v>
      </c>
      <c r="X69" s="60" t="s">
        <v>467</v>
      </c>
      <c r="Y69" s="54"/>
      <c r="Z69" s="54"/>
      <c r="AA69" s="54"/>
      <c r="AB69" s="54"/>
      <c r="AC69" s="54"/>
    </row>
    <row r="70" ht="89.099999999999994" customHeight="1">
      <c r="A70" s="76">
        <v>68</v>
      </c>
      <c r="B70" s="60" t="s">
        <v>85</v>
      </c>
      <c r="C70" s="60" t="s">
        <v>86</v>
      </c>
      <c r="D70" s="60" t="s">
        <v>228</v>
      </c>
      <c r="E70" s="60" t="s">
        <v>764</v>
      </c>
      <c r="F70" s="60" t="s">
        <v>163</v>
      </c>
      <c r="G70" s="60" t="s">
        <v>765</v>
      </c>
      <c r="H70" s="60" t="s">
        <v>766</v>
      </c>
      <c r="I70" s="60" t="s">
        <v>464</v>
      </c>
      <c r="J70" s="60" t="s">
        <v>767</v>
      </c>
      <c r="K70" s="82" t="s">
        <v>768</v>
      </c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79" t="s">
        <v>769</v>
      </c>
      <c r="X70" s="60" t="s">
        <v>479</v>
      </c>
      <c r="Y70" s="54"/>
      <c r="Z70" s="54"/>
      <c r="AA70" s="54"/>
      <c r="AB70" s="54"/>
      <c r="AC70" s="54"/>
    </row>
    <row r="71" ht="89.099999999999994" customHeight="1">
      <c r="A71" s="76"/>
      <c r="B71" s="87"/>
      <c r="C71" s="87"/>
      <c r="D71" s="60"/>
      <c r="E71" s="84" t="s">
        <v>770</v>
      </c>
      <c r="F71" s="60" t="s">
        <v>170</v>
      </c>
      <c r="G71" s="60"/>
      <c r="H71" s="60" t="s">
        <v>771</v>
      </c>
      <c r="I71" s="60" t="s">
        <v>464</v>
      </c>
      <c r="J71" s="60" t="s">
        <v>772</v>
      </c>
      <c r="K71" s="82" t="s">
        <v>773</v>
      </c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79"/>
      <c r="X71" s="60"/>
      <c r="Y71" s="54"/>
      <c r="Z71" s="54"/>
      <c r="AA71" s="54"/>
      <c r="AB71" s="54"/>
      <c r="AC71" s="54"/>
    </row>
    <row r="72" ht="89.099999999999994" customHeight="1">
      <c r="A72" s="76"/>
      <c r="B72" s="87"/>
      <c r="C72" s="87"/>
      <c r="D72" s="60"/>
      <c r="E72" s="87"/>
      <c r="F72" s="60" t="s">
        <v>170</v>
      </c>
      <c r="G72" s="60"/>
      <c r="H72" s="60" t="s">
        <v>774</v>
      </c>
      <c r="I72" s="60" t="s">
        <v>464</v>
      </c>
      <c r="J72" s="60" t="s">
        <v>775</v>
      </c>
      <c r="K72" s="82" t="s">
        <v>776</v>
      </c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79"/>
      <c r="X72" s="60"/>
      <c r="Y72" s="54"/>
      <c r="Z72" s="54"/>
      <c r="AA72" s="54"/>
      <c r="AB72" s="54"/>
      <c r="AC72" s="54"/>
    </row>
    <row r="73" ht="62.100000000000001" customHeight="1">
      <c r="A73" s="76">
        <v>69</v>
      </c>
      <c r="B73" s="77"/>
      <c r="C73" s="77"/>
      <c r="D73" s="80"/>
      <c r="E73" s="60"/>
      <c r="F73" s="60" t="s">
        <v>170</v>
      </c>
      <c r="G73" s="60" t="s">
        <v>777</v>
      </c>
      <c r="H73" s="60" t="s">
        <v>778</v>
      </c>
      <c r="I73" s="60" t="s">
        <v>464</v>
      </c>
      <c r="J73" s="60" t="s">
        <v>779</v>
      </c>
      <c r="K73" s="82" t="s">
        <v>780</v>
      </c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 t="s">
        <v>479</v>
      </c>
      <c r="Y73" s="54"/>
      <c r="Z73" s="54"/>
      <c r="AA73" s="54"/>
      <c r="AB73" s="54"/>
      <c r="AC73" s="54"/>
    </row>
    <row r="74" ht="48.600000000000001" customHeight="1">
      <c r="A74" s="76">
        <v>70</v>
      </c>
      <c r="B74" s="77"/>
      <c r="C74" s="77"/>
      <c r="D74" s="60" t="s">
        <v>781</v>
      </c>
      <c r="E74" s="60" t="s">
        <v>782</v>
      </c>
      <c r="F74" s="60" t="s">
        <v>170</v>
      </c>
      <c r="G74" s="60" t="s">
        <v>783</v>
      </c>
      <c r="H74" s="60" t="s">
        <v>784</v>
      </c>
      <c r="I74" s="60" t="s">
        <v>464</v>
      </c>
      <c r="J74" s="60" t="s">
        <v>785</v>
      </c>
      <c r="K74" s="60" t="s">
        <v>786</v>
      </c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 t="s">
        <v>479</v>
      </c>
      <c r="Y74" s="54"/>
      <c r="Z74" s="54"/>
      <c r="AA74" s="54"/>
      <c r="AB74" s="54"/>
      <c r="AC74" s="54"/>
    </row>
    <row r="75" ht="48.600000000000001" customHeight="1">
      <c r="A75" s="76">
        <v>71</v>
      </c>
      <c r="B75" s="77"/>
      <c r="C75" s="77"/>
      <c r="D75" s="60" t="s">
        <v>787</v>
      </c>
      <c r="E75" s="60" t="s">
        <v>788</v>
      </c>
      <c r="F75" s="60" t="s">
        <v>170</v>
      </c>
      <c r="G75" s="60" t="s">
        <v>789</v>
      </c>
      <c r="H75" s="60" t="s">
        <v>790</v>
      </c>
      <c r="I75" s="60" t="s">
        <v>464</v>
      </c>
      <c r="J75" s="60" t="s">
        <v>791</v>
      </c>
      <c r="K75" s="60" t="s">
        <v>792</v>
      </c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79" t="s">
        <v>793</v>
      </c>
      <c r="X75" s="60" t="s">
        <v>794</v>
      </c>
      <c r="Y75" s="54"/>
      <c r="Z75" s="54"/>
      <c r="AA75" s="54"/>
      <c r="AB75" s="54"/>
      <c r="AC75" s="54"/>
    </row>
    <row r="76" ht="62.100000000000001" customHeight="1">
      <c r="A76" s="76">
        <v>72</v>
      </c>
      <c r="B76" s="77"/>
      <c r="C76" s="80"/>
      <c r="D76" s="80"/>
      <c r="E76" s="60" t="s">
        <v>795</v>
      </c>
      <c r="F76" s="60" t="s">
        <v>170</v>
      </c>
      <c r="G76" s="60" t="s">
        <v>796</v>
      </c>
      <c r="H76" s="60" t="s">
        <v>797</v>
      </c>
      <c r="I76" s="60" t="s">
        <v>464</v>
      </c>
      <c r="J76" s="60" t="s">
        <v>798</v>
      </c>
      <c r="K76" s="60" t="s">
        <v>799</v>
      </c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79" t="s">
        <v>800</v>
      </c>
      <c r="X76" s="60" t="s">
        <v>794</v>
      </c>
      <c r="Y76" s="54"/>
      <c r="Z76" s="54"/>
      <c r="AA76" s="54"/>
      <c r="AB76" s="54"/>
      <c r="AC76" s="54"/>
    </row>
    <row r="77" ht="62.100000000000001" customHeight="1">
      <c r="A77" s="76">
        <v>73</v>
      </c>
      <c r="B77" s="77"/>
      <c r="C77" s="60" t="s">
        <v>87</v>
      </c>
      <c r="D77" s="60" t="s">
        <v>228</v>
      </c>
      <c r="E77" s="60" t="s">
        <v>801</v>
      </c>
      <c r="F77" s="60" t="s">
        <v>185</v>
      </c>
      <c r="G77" s="60" t="s">
        <v>802</v>
      </c>
      <c r="H77" s="60" t="s">
        <v>803</v>
      </c>
      <c r="I77" s="60" t="s">
        <v>464</v>
      </c>
      <c r="J77" s="60" t="s">
        <v>804</v>
      </c>
      <c r="K77" s="60" t="s">
        <v>805</v>
      </c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 t="s">
        <v>479</v>
      </c>
      <c r="Y77" s="54"/>
      <c r="Z77" s="54"/>
      <c r="AA77" s="54"/>
      <c r="AB77" s="54"/>
      <c r="AC77" s="54"/>
    </row>
    <row r="78" ht="62.100000000000001" customHeight="1">
      <c r="A78" s="76">
        <v>74</v>
      </c>
      <c r="B78" s="77"/>
      <c r="C78" s="80"/>
      <c r="D78" s="60" t="s">
        <v>806</v>
      </c>
      <c r="E78" s="60" t="s">
        <v>807</v>
      </c>
      <c r="F78" s="60" t="s">
        <v>185</v>
      </c>
      <c r="G78" s="60" t="s">
        <v>808</v>
      </c>
      <c r="H78" s="60" t="s">
        <v>809</v>
      </c>
      <c r="I78" s="60" t="s">
        <v>464</v>
      </c>
      <c r="J78" s="60" t="s">
        <v>810</v>
      </c>
      <c r="K78" s="60" t="s">
        <v>811</v>
      </c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 t="s">
        <v>479</v>
      </c>
      <c r="Y78" s="54"/>
      <c r="Z78" s="54"/>
      <c r="AA78" s="54"/>
      <c r="AB78" s="54"/>
      <c r="AC78" s="54"/>
    </row>
    <row r="79" ht="102.59999999999999" customHeight="1">
      <c r="A79" s="76">
        <v>75</v>
      </c>
      <c r="B79" s="77"/>
      <c r="C79" s="60" t="s">
        <v>88</v>
      </c>
      <c r="D79" s="60" t="s">
        <v>228</v>
      </c>
      <c r="E79" s="60" t="s">
        <v>812</v>
      </c>
      <c r="F79" s="60" t="s">
        <v>163</v>
      </c>
      <c r="G79" s="60" t="s">
        <v>813</v>
      </c>
      <c r="H79" s="60" t="s">
        <v>814</v>
      </c>
      <c r="I79" s="90" t="s">
        <v>464</v>
      </c>
      <c r="J79" s="90" t="s">
        <v>815</v>
      </c>
      <c r="K79" s="90" t="s">
        <v>816</v>
      </c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 t="s">
        <v>479</v>
      </c>
      <c r="Y79" s="54"/>
      <c r="Z79" s="54"/>
      <c r="AA79" s="54"/>
      <c r="AB79" s="54"/>
      <c r="AC79" s="54"/>
    </row>
    <row r="80" ht="48.600000000000001" customHeight="1">
      <c r="A80" s="76">
        <v>76</v>
      </c>
      <c r="B80" s="77"/>
      <c r="C80" s="77"/>
      <c r="D80" s="77"/>
      <c r="E80" s="60" t="s">
        <v>817</v>
      </c>
      <c r="F80" s="60" t="s">
        <v>170</v>
      </c>
      <c r="G80" s="60" t="s">
        <v>818</v>
      </c>
      <c r="H80" s="60" t="s">
        <v>819</v>
      </c>
      <c r="I80" s="90" t="s">
        <v>464</v>
      </c>
      <c r="J80" s="90" t="s">
        <v>820</v>
      </c>
      <c r="K80" s="90" t="s">
        <v>821</v>
      </c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 t="s">
        <v>479</v>
      </c>
      <c r="Y80" s="54"/>
      <c r="Z80" s="54"/>
      <c r="AA80" s="54"/>
      <c r="AB80" s="54"/>
      <c r="AC80" s="54"/>
    </row>
    <row r="81" ht="62.100000000000001" customHeight="1">
      <c r="A81" s="76">
        <v>77</v>
      </c>
      <c r="B81" s="77"/>
      <c r="C81" s="77"/>
      <c r="D81" s="77"/>
      <c r="E81" s="60" t="s">
        <v>822</v>
      </c>
      <c r="F81" s="60" t="s">
        <v>163</v>
      </c>
      <c r="G81" s="60" t="s">
        <v>823</v>
      </c>
      <c r="H81" s="60" t="s">
        <v>824</v>
      </c>
      <c r="I81" s="60" t="s">
        <v>464</v>
      </c>
      <c r="J81" s="60" t="s">
        <v>825</v>
      </c>
      <c r="K81" s="60" t="s">
        <v>826</v>
      </c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 t="s">
        <v>479</v>
      </c>
      <c r="Y81" s="54"/>
      <c r="Z81" s="54"/>
      <c r="AA81" s="54"/>
      <c r="AB81" s="54"/>
      <c r="AC81" s="54"/>
    </row>
    <row r="82" ht="48.600000000000001" customHeight="1">
      <c r="A82" s="76">
        <v>78</v>
      </c>
      <c r="B82" s="77"/>
      <c r="C82" s="80"/>
      <c r="D82" s="80"/>
      <c r="E82" s="60" t="s">
        <v>827</v>
      </c>
      <c r="F82" s="60" t="s">
        <v>185</v>
      </c>
      <c r="G82" s="60" t="s">
        <v>828</v>
      </c>
      <c r="H82" s="60" t="s">
        <v>829</v>
      </c>
      <c r="I82" s="60" t="s">
        <v>464</v>
      </c>
      <c r="J82" s="60" t="s">
        <v>830</v>
      </c>
      <c r="K82" s="60" t="s">
        <v>831</v>
      </c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 t="s">
        <v>479</v>
      </c>
      <c r="Y82" s="54"/>
      <c r="Z82" s="54"/>
      <c r="AA82" s="54"/>
      <c r="AB82" s="54"/>
      <c r="AC82" s="54"/>
    </row>
    <row r="83" ht="102.59999999999999" customHeight="1">
      <c r="A83" s="76">
        <v>79</v>
      </c>
      <c r="B83" s="77"/>
      <c r="C83" s="60" t="s">
        <v>89</v>
      </c>
      <c r="D83" s="60" t="s">
        <v>512</v>
      </c>
      <c r="E83" s="60" t="s">
        <v>832</v>
      </c>
      <c r="F83" s="60" t="s">
        <v>163</v>
      </c>
      <c r="G83" s="60" t="s">
        <v>833</v>
      </c>
      <c r="H83" s="60" t="s">
        <v>834</v>
      </c>
      <c r="I83" s="60" t="s">
        <v>464</v>
      </c>
      <c r="J83" s="60" t="s">
        <v>835</v>
      </c>
      <c r="K83" s="60" t="s">
        <v>836</v>
      </c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79" t="s">
        <v>837</v>
      </c>
      <c r="X83" s="60" t="s">
        <v>794</v>
      </c>
      <c r="Y83" s="54"/>
      <c r="Z83" s="54"/>
      <c r="AA83" s="54"/>
      <c r="AB83" s="54"/>
      <c r="AC83" s="54"/>
    </row>
    <row r="84" ht="75.599999999999994" customHeight="1">
      <c r="A84" s="76">
        <v>80</v>
      </c>
      <c r="B84" s="77"/>
      <c r="C84" s="77"/>
      <c r="D84" s="60" t="s">
        <v>266</v>
      </c>
      <c r="E84" s="60" t="s">
        <v>838</v>
      </c>
      <c r="F84" s="60" t="s">
        <v>163</v>
      </c>
      <c r="G84" s="60" t="s">
        <v>839</v>
      </c>
      <c r="H84" s="60" t="s">
        <v>840</v>
      </c>
      <c r="I84" s="60" t="s">
        <v>464</v>
      </c>
      <c r="J84" s="60" t="s">
        <v>841</v>
      </c>
      <c r="K84" s="82" t="s">
        <v>842</v>
      </c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79" t="s">
        <v>553</v>
      </c>
      <c r="X84" s="60" t="s">
        <v>794</v>
      </c>
      <c r="Y84" s="54"/>
      <c r="Z84" s="54"/>
      <c r="AA84" s="54"/>
      <c r="AB84" s="54"/>
      <c r="AC84" s="54"/>
    </row>
    <row r="85" ht="75.599999999999994" customHeight="1">
      <c r="A85" s="76">
        <v>81</v>
      </c>
      <c r="B85" s="77"/>
      <c r="C85" s="77"/>
      <c r="D85" s="77"/>
      <c r="E85" s="60" t="s">
        <v>843</v>
      </c>
      <c r="F85" s="60" t="s">
        <v>163</v>
      </c>
      <c r="G85" s="60" t="s">
        <v>844</v>
      </c>
      <c r="H85" s="60" t="s">
        <v>845</v>
      </c>
      <c r="I85" s="60" t="s">
        <v>464</v>
      </c>
      <c r="J85" s="60" t="s">
        <v>846</v>
      </c>
      <c r="K85" s="82" t="s">
        <v>847</v>
      </c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79" t="s">
        <v>553</v>
      </c>
      <c r="X85" s="60" t="s">
        <v>794</v>
      </c>
      <c r="Y85" s="54"/>
      <c r="Z85" s="54"/>
      <c r="AA85" s="54"/>
      <c r="AB85" s="54"/>
      <c r="AC85" s="54"/>
    </row>
    <row r="86" ht="75.599999999999994" customHeight="1">
      <c r="A86" s="76">
        <v>82</v>
      </c>
      <c r="B86" s="77"/>
      <c r="C86" s="77"/>
      <c r="D86" s="80"/>
      <c r="E86" s="60" t="s">
        <v>848</v>
      </c>
      <c r="F86" s="60" t="s">
        <v>170</v>
      </c>
      <c r="G86" s="60" t="s">
        <v>849</v>
      </c>
      <c r="H86" s="60" t="s">
        <v>850</v>
      </c>
      <c r="I86" s="60" t="s">
        <v>464</v>
      </c>
      <c r="J86" s="90" t="s">
        <v>851</v>
      </c>
      <c r="K86" s="82" t="s">
        <v>852</v>
      </c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79" t="s">
        <v>853</v>
      </c>
      <c r="X86" s="60" t="s">
        <v>794</v>
      </c>
      <c r="Y86" s="54"/>
      <c r="Z86" s="54"/>
      <c r="AA86" s="54"/>
      <c r="AB86" s="54"/>
      <c r="AC86" s="54"/>
    </row>
    <row r="87" ht="75.599999999999994" customHeight="1">
      <c r="A87" s="76">
        <v>83</v>
      </c>
      <c r="B87" s="77"/>
      <c r="C87" s="77"/>
      <c r="D87" s="60" t="s">
        <v>329</v>
      </c>
      <c r="E87" s="60" t="s">
        <v>854</v>
      </c>
      <c r="F87" s="60" t="s">
        <v>163</v>
      </c>
      <c r="G87" s="60" t="s">
        <v>855</v>
      </c>
      <c r="H87" s="60" t="s">
        <v>856</v>
      </c>
      <c r="I87" s="60" t="s">
        <v>464</v>
      </c>
      <c r="J87" s="90" t="s">
        <v>857</v>
      </c>
      <c r="K87" s="82" t="s">
        <v>858</v>
      </c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 t="s">
        <v>794</v>
      </c>
      <c r="Y87" s="54"/>
      <c r="Z87" s="54"/>
      <c r="AA87" s="54"/>
      <c r="AB87" s="54"/>
      <c r="AC87" s="54"/>
    </row>
    <row r="88" ht="75.599999999999994" customHeight="1">
      <c r="A88" s="76">
        <v>84</v>
      </c>
      <c r="B88" s="77"/>
      <c r="C88" s="77"/>
      <c r="D88" s="77"/>
      <c r="E88" s="60" t="s">
        <v>859</v>
      </c>
      <c r="F88" s="60" t="s">
        <v>163</v>
      </c>
      <c r="G88" s="60" t="s">
        <v>860</v>
      </c>
      <c r="H88" s="60" t="s">
        <v>861</v>
      </c>
      <c r="I88" s="60" t="s">
        <v>862</v>
      </c>
      <c r="J88" s="90" t="s">
        <v>502</v>
      </c>
      <c r="K88" s="60" t="s">
        <v>863</v>
      </c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 t="s">
        <v>794</v>
      </c>
      <c r="Y88" s="54"/>
      <c r="Z88" s="54"/>
      <c r="AA88" s="54"/>
      <c r="AB88" s="54"/>
      <c r="AC88" s="54"/>
    </row>
    <row r="89" ht="75.599999999999994" customHeight="1">
      <c r="A89" s="76">
        <v>85</v>
      </c>
      <c r="B89" s="77"/>
      <c r="C89" s="77"/>
      <c r="D89" s="77"/>
      <c r="E89" s="60" t="s">
        <v>864</v>
      </c>
      <c r="F89" s="60" t="s">
        <v>170</v>
      </c>
      <c r="G89" s="60" t="s">
        <v>865</v>
      </c>
      <c r="H89" s="60" t="s">
        <v>866</v>
      </c>
      <c r="I89" s="60" t="s">
        <v>862</v>
      </c>
      <c r="J89" s="90" t="s">
        <v>867</v>
      </c>
      <c r="K89" s="60" t="s">
        <v>868</v>
      </c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 t="s">
        <v>794</v>
      </c>
      <c r="Y89" s="54"/>
      <c r="Z89" s="54"/>
      <c r="AA89" s="54"/>
      <c r="AB89" s="54"/>
      <c r="AC89" s="54"/>
    </row>
    <row r="90" ht="75.599999999999994" customHeight="1">
      <c r="A90" s="76">
        <v>86</v>
      </c>
      <c r="B90" s="77"/>
      <c r="C90" s="77"/>
      <c r="D90" s="77"/>
      <c r="E90" s="60" t="s">
        <v>869</v>
      </c>
      <c r="F90" s="60" t="s">
        <v>170</v>
      </c>
      <c r="G90" s="60" t="s">
        <v>870</v>
      </c>
      <c r="H90" s="60" t="s">
        <v>871</v>
      </c>
      <c r="I90" s="60" t="s">
        <v>862</v>
      </c>
      <c r="J90" s="60" t="s">
        <v>872</v>
      </c>
      <c r="K90" s="60" t="s">
        <v>873</v>
      </c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 t="s">
        <v>794</v>
      </c>
      <c r="Y90" s="54"/>
      <c r="Z90" s="54"/>
      <c r="AA90" s="54"/>
      <c r="AB90" s="54"/>
      <c r="AC90" s="54"/>
    </row>
    <row r="91" ht="89.099999999999994" customHeight="1">
      <c r="A91" s="76">
        <v>87</v>
      </c>
      <c r="B91" s="77"/>
      <c r="C91" s="77"/>
      <c r="D91" s="80"/>
      <c r="E91" s="60" t="s">
        <v>874</v>
      </c>
      <c r="F91" s="60" t="s">
        <v>170</v>
      </c>
      <c r="G91" s="60" t="s">
        <v>875</v>
      </c>
      <c r="H91" s="60" t="s">
        <v>876</v>
      </c>
      <c r="I91" s="60" t="s">
        <v>464</v>
      </c>
      <c r="J91" s="60" t="s">
        <v>877</v>
      </c>
      <c r="K91" s="60" t="s">
        <v>878</v>
      </c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 t="s">
        <v>794</v>
      </c>
      <c r="Y91" s="54"/>
      <c r="Z91" s="54"/>
      <c r="AA91" s="54"/>
      <c r="AB91" s="54"/>
      <c r="AC91" s="54"/>
    </row>
    <row r="92" ht="62.100000000000001" customHeight="1">
      <c r="A92" s="76">
        <v>88</v>
      </c>
      <c r="B92" s="77"/>
      <c r="C92" s="77"/>
      <c r="D92" s="60" t="s">
        <v>353</v>
      </c>
      <c r="E92" s="60" t="s">
        <v>582</v>
      </c>
      <c r="F92" s="60" t="s">
        <v>170</v>
      </c>
      <c r="G92" s="60" t="s">
        <v>879</v>
      </c>
      <c r="H92" s="60" t="s">
        <v>880</v>
      </c>
      <c r="I92" s="60" t="s">
        <v>464</v>
      </c>
      <c r="J92" s="60" t="s">
        <v>881</v>
      </c>
      <c r="K92" s="60" t="s">
        <v>882</v>
      </c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 t="s">
        <v>794</v>
      </c>
      <c r="Y92" s="54"/>
      <c r="Z92" s="54"/>
      <c r="AA92" s="54"/>
      <c r="AB92" s="54"/>
      <c r="AC92" s="54"/>
    </row>
    <row r="93" ht="62.100000000000001" customHeight="1">
      <c r="A93" s="76">
        <v>89</v>
      </c>
      <c r="B93" s="77"/>
      <c r="C93" s="80"/>
      <c r="D93" s="80"/>
      <c r="E93" s="60" t="s">
        <v>883</v>
      </c>
      <c r="F93" s="60" t="s">
        <v>163</v>
      </c>
      <c r="G93" s="60" t="s">
        <v>884</v>
      </c>
      <c r="H93" s="60" t="s">
        <v>885</v>
      </c>
      <c r="I93" s="60" t="s">
        <v>886</v>
      </c>
      <c r="J93" s="60" t="s">
        <v>887</v>
      </c>
      <c r="K93" s="60" t="s">
        <v>888</v>
      </c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79" t="s">
        <v>889</v>
      </c>
      <c r="X93" s="60" t="s">
        <v>794</v>
      </c>
      <c r="Y93" s="54"/>
      <c r="Z93" s="54"/>
      <c r="AA93" s="54"/>
      <c r="AB93" s="54"/>
      <c r="AC93" s="54"/>
    </row>
    <row r="94" ht="75.599999999999994" customHeight="1">
      <c r="A94" s="76">
        <v>90</v>
      </c>
      <c r="B94" s="77"/>
      <c r="C94" s="60" t="s">
        <v>90</v>
      </c>
      <c r="D94" s="60" t="s">
        <v>228</v>
      </c>
      <c r="E94" s="60" t="s">
        <v>890</v>
      </c>
      <c r="F94" s="60" t="s">
        <v>163</v>
      </c>
      <c r="G94" s="60" t="s">
        <v>891</v>
      </c>
      <c r="H94" s="60" t="s">
        <v>892</v>
      </c>
      <c r="I94" s="60" t="s">
        <v>464</v>
      </c>
      <c r="J94" s="60" t="s">
        <v>893</v>
      </c>
      <c r="K94" s="60" t="s">
        <v>894</v>
      </c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79" t="s">
        <v>895</v>
      </c>
      <c r="X94" s="60" t="s">
        <v>479</v>
      </c>
      <c r="Y94" s="54"/>
      <c r="Z94" s="54"/>
      <c r="AA94" s="54"/>
      <c r="AB94" s="54"/>
      <c r="AC94" s="54"/>
    </row>
    <row r="95" ht="62.100000000000001" customHeight="1">
      <c r="A95" s="76">
        <v>91</v>
      </c>
      <c r="B95" s="77"/>
      <c r="C95" s="77"/>
      <c r="D95" s="77"/>
      <c r="E95" s="60" t="s">
        <v>896</v>
      </c>
      <c r="F95" s="60" t="s">
        <v>170</v>
      </c>
      <c r="G95" s="60" t="s">
        <v>897</v>
      </c>
      <c r="H95" s="60" t="s">
        <v>898</v>
      </c>
      <c r="I95" s="60" t="s">
        <v>464</v>
      </c>
      <c r="J95" s="60" t="s">
        <v>899</v>
      </c>
      <c r="K95" s="60" t="s">
        <v>900</v>
      </c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 t="s">
        <v>479</v>
      </c>
      <c r="Y95" s="54"/>
      <c r="Z95" s="54"/>
      <c r="AA95" s="54"/>
      <c r="AB95" s="54"/>
      <c r="AC95" s="54"/>
    </row>
    <row r="96" ht="62.100000000000001" customHeight="1">
      <c r="A96" s="76">
        <v>92</v>
      </c>
      <c r="B96" s="77"/>
      <c r="C96" s="77"/>
      <c r="D96" s="77"/>
      <c r="E96" s="60" t="s">
        <v>901</v>
      </c>
      <c r="F96" s="60" t="s">
        <v>163</v>
      </c>
      <c r="G96" s="60" t="s">
        <v>902</v>
      </c>
      <c r="H96" s="60" t="s">
        <v>903</v>
      </c>
      <c r="I96" s="60" t="s">
        <v>464</v>
      </c>
      <c r="J96" s="60" t="s">
        <v>904</v>
      </c>
      <c r="K96" s="60" t="s">
        <v>905</v>
      </c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79" t="s">
        <v>906</v>
      </c>
      <c r="X96" s="60" t="s">
        <v>479</v>
      </c>
      <c r="Y96" s="54"/>
      <c r="Z96" s="54"/>
      <c r="AA96" s="54"/>
      <c r="AB96" s="54"/>
      <c r="AC96" s="54"/>
    </row>
    <row r="97" ht="48.600000000000001" customHeight="1">
      <c r="A97" s="76">
        <v>93</v>
      </c>
      <c r="B97" s="77"/>
      <c r="C97" s="77"/>
      <c r="D97" s="77"/>
      <c r="E97" s="60" t="s">
        <v>907</v>
      </c>
      <c r="F97" s="60" t="s">
        <v>163</v>
      </c>
      <c r="G97" s="60" t="s">
        <v>908</v>
      </c>
      <c r="H97" s="60" t="s">
        <v>909</v>
      </c>
      <c r="I97" s="60" t="s">
        <v>464</v>
      </c>
      <c r="J97" s="60" t="s">
        <v>910</v>
      </c>
      <c r="K97" s="78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79" t="s">
        <v>911</v>
      </c>
      <c r="X97" s="60" t="s">
        <v>717</v>
      </c>
      <c r="Y97" s="54"/>
      <c r="Z97" s="54"/>
      <c r="AA97" s="54"/>
      <c r="AB97" s="54"/>
      <c r="AC97" s="54"/>
    </row>
    <row r="98" ht="48.600000000000001" customHeight="1">
      <c r="A98" s="76">
        <v>94</v>
      </c>
      <c r="B98" s="77"/>
      <c r="C98" s="77"/>
      <c r="D98" s="77"/>
      <c r="E98" s="60" t="s">
        <v>912</v>
      </c>
      <c r="F98" s="60" t="s">
        <v>170</v>
      </c>
      <c r="G98" s="60" t="s">
        <v>913</v>
      </c>
      <c r="H98" s="60" t="s">
        <v>914</v>
      </c>
      <c r="I98" s="60" t="s">
        <v>464</v>
      </c>
      <c r="J98" s="60" t="s">
        <v>915</v>
      </c>
      <c r="K98" s="60" t="s">
        <v>916</v>
      </c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79" t="s">
        <v>917</v>
      </c>
      <c r="X98" s="60" t="s">
        <v>479</v>
      </c>
      <c r="Y98" s="54"/>
      <c r="Z98" s="54"/>
      <c r="AA98" s="54"/>
      <c r="AB98" s="54"/>
      <c r="AC98" s="54"/>
    </row>
    <row r="99" ht="62.100000000000001" customHeight="1">
      <c r="A99" s="76">
        <v>95</v>
      </c>
      <c r="B99" s="77"/>
      <c r="C99" s="77"/>
      <c r="D99" s="80"/>
      <c r="E99" s="60" t="s">
        <v>918</v>
      </c>
      <c r="F99" s="60" t="s">
        <v>170</v>
      </c>
      <c r="G99" s="60" t="s">
        <v>919</v>
      </c>
      <c r="H99" s="60" t="s">
        <v>920</v>
      </c>
      <c r="I99" s="60" t="s">
        <v>464</v>
      </c>
      <c r="J99" s="60" t="s">
        <v>921</v>
      </c>
      <c r="K99" s="60" t="s">
        <v>922</v>
      </c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 t="s">
        <v>479</v>
      </c>
      <c r="Y99" s="54"/>
      <c r="Z99" s="54"/>
      <c r="AA99" s="54"/>
      <c r="AB99" s="54"/>
      <c r="AC99" s="54"/>
    </row>
    <row r="100" ht="48.600000000000001" customHeight="1">
      <c r="A100" s="76">
        <v>96</v>
      </c>
      <c r="B100" s="77"/>
      <c r="C100" s="80"/>
      <c r="D100" s="60" t="s">
        <v>408</v>
      </c>
      <c r="E100" s="60" t="s">
        <v>923</v>
      </c>
      <c r="F100" s="60" t="s">
        <v>163</v>
      </c>
      <c r="G100" s="60" t="s">
        <v>924</v>
      </c>
      <c r="H100" s="60" t="s">
        <v>925</v>
      </c>
      <c r="I100" s="60" t="s">
        <v>464</v>
      </c>
      <c r="J100" s="60" t="s">
        <v>926</v>
      </c>
      <c r="K100" s="60" t="s">
        <v>927</v>
      </c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 t="s">
        <v>479</v>
      </c>
      <c r="Y100" s="54"/>
      <c r="Z100" s="54"/>
      <c r="AA100" s="54"/>
      <c r="AB100" s="54"/>
      <c r="AC100" s="54"/>
    </row>
    <row r="101" ht="156.59999999999999" customHeight="1">
      <c r="A101" s="76">
        <v>97</v>
      </c>
      <c r="B101" s="77"/>
      <c r="C101" s="60" t="s">
        <v>91</v>
      </c>
      <c r="D101" s="60" t="s">
        <v>512</v>
      </c>
      <c r="E101" s="60" t="s">
        <v>928</v>
      </c>
      <c r="F101" s="60" t="s">
        <v>163</v>
      </c>
      <c r="G101" s="60" t="s">
        <v>929</v>
      </c>
      <c r="H101" s="60" t="s">
        <v>930</v>
      </c>
      <c r="I101" s="60" t="s">
        <v>464</v>
      </c>
      <c r="J101" s="60" t="s">
        <v>931</v>
      </c>
      <c r="K101" s="60" t="s">
        <v>932</v>
      </c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 t="s">
        <v>933</v>
      </c>
      <c r="Y101" s="54"/>
      <c r="Z101" s="54"/>
      <c r="AA101" s="54"/>
      <c r="AB101" s="54"/>
      <c r="AC101" s="54"/>
    </row>
    <row r="102" ht="62.100000000000001" customHeight="1">
      <c r="A102" s="76">
        <v>98</v>
      </c>
      <c r="B102" s="77"/>
      <c r="C102" s="77"/>
      <c r="D102" s="60" t="s">
        <v>934</v>
      </c>
      <c r="E102" s="60" t="s">
        <v>935</v>
      </c>
      <c r="F102" s="60" t="s">
        <v>163</v>
      </c>
      <c r="G102" s="60" t="s">
        <v>936</v>
      </c>
      <c r="H102" s="60" t="s">
        <v>937</v>
      </c>
      <c r="I102" s="60" t="s">
        <v>464</v>
      </c>
      <c r="J102" s="60" t="s">
        <v>938</v>
      </c>
      <c r="K102" s="60" t="s">
        <v>939</v>
      </c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 t="s">
        <v>933</v>
      </c>
      <c r="Y102" s="54"/>
      <c r="Z102" s="54"/>
      <c r="AA102" s="54"/>
      <c r="AB102" s="54"/>
      <c r="AC102" s="54"/>
    </row>
    <row r="103" ht="75.599999999999994" customHeight="1">
      <c r="A103" s="76">
        <v>99</v>
      </c>
      <c r="B103" s="77"/>
      <c r="C103" s="77"/>
      <c r="D103" s="80"/>
      <c r="E103" s="60" t="s">
        <v>940</v>
      </c>
      <c r="F103" s="60" t="s">
        <v>163</v>
      </c>
      <c r="G103" s="60" t="s">
        <v>941</v>
      </c>
      <c r="H103" s="60" t="s">
        <v>942</v>
      </c>
      <c r="I103" s="60" t="s">
        <v>464</v>
      </c>
      <c r="J103" s="60" t="s">
        <v>943</v>
      </c>
      <c r="K103" s="78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79" t="s">
        <v>944</v>
      </c>
      <c r="X103" s="60" t="s">
        <v>933</v>
      </c>
      <c r="Y103" s="54"/>
      <c r="Z103" s="54"/>
      <c r="AA103" s="54"/>
      <c r="AB103" s="54"/>
      <c r="AC103" s="54"/>
    </row>
    <row r="104" ht="116.09999999999999" customHeight="1">
      <c r="A104" s="76">
        <v>100</v>
      </c>
      <c r="B104" s="77"/>
      <c r="C104" s="77"/>
      <c r="D104" s="60" t="s">
        <v>945</v>
      </c>
      <c r="E104" s="60" t="s">
        <v>946</v>
      </c>
      <c r="F104" s="60" t="s">
        <v>163</v>
      </c>
      <c r="G104" s="60" t="s">
        <v>947</v>
      </c>
      <c r="H104" s="60" t="s">
        <v>948</v>
      </c>
      <c r="I104" s="60" t="s">
        <v>464</v>
      </c>
      <c r="J104" s="60" t="s">
        <v>949</v>
      </c>
      <c r="K104" s="60" t="s">
        <v>950</v>
      </c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79" t="s">
        <v>951</v>
      </c>
      <c r="X104" s="60" t="s">
        <v>933</v>
      </c>
      <c r="Y104" s="54"/>
      <c r="Z104" s="54"/>
      <c r="AA104" s="54"/>
      <c r="AB104" s="54"/>
      <c r="AC104" s="54"/>
    </row>
    <row r="105" ht="62.100000000000001" customHeight="1">
      <c r="A105" s="76">
        <v>101</v>
      </c>
      <c r="B105" s="77"/>
      <c r="C105" s="77"/>
      <c r="D105" s="80"/>
      <c r="E105" s="60" t="s">
        <v>952</v>
      </c>
      <c r="F105" s="60" t="s">
        <v>170</v>
      </c>
      <c r="G105" s="60" t="s">
        <v>953</v>
      </c>
      <c r="H105" s="60" t="s">
        <v>954</v>
      </c>
      <c r="I105" s="60" t="s">
        <v>464</v>
      </c>
      <c r="J105" s="60" t="s">
        <v>955</v>
      </c>
      <c r="K105" s="78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79" t="s">
        <v>956</v>
      </c>
      <c r="X105" s="60" t="s">
        <v>933</v>
      </c>
      <c r="Y105" s="54"/>
      <c r="Z105" s="54"/>
      <c r="AA105" s="54"/>
      <c r="AB105" s="54"/>
      <c r="AC105" s="54"/>
    </row>
    <row r="106" ht="62.100000000000001" customHeight="1">
      <c r="A106" s="76">
        <v>102</v>
      </c>
      <c r="B106" s="77"/>
      <c r="C106" s="77"/>
      <c r="D106" s="60" t="s">
        <v>266</v>
      </c>
      <c r="E106" s="60" t="s">
        <v>957</v>
      </c>
      <c r="F106" s="60" t="s">
        <v>163</v>
      </c>
      <c r="G106" s="60" t="s">
        <v>958</v>
      </c>
      <c r="H106" s="60" t="s">
        <v>959</v>
      </c>
      <c r="I106" s="60" t="s">
        <v>464</v>
      </c>
      <c r="J106" s="60" t="s">
        <v>960</v>
      </c>
      <c r="K106" s="60" t="s">
        <v>961</v>
      </c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79" t="s">
        <v>962</v>
      </c>
      <c r="X106" s="60" t="s">
        <v>933</v>
      </c>
      <c r="Y106" s="54"/>
      <c r="Z106" s="54"/>
      <c r="AA106" s="54"/>
      <c r="AB106" s="54"/>
      <c r="AC106" s="54"/>
    </row>
    <row r="107" ht="75.599999999999994" customHeight="1">
      <c r="A107" s="76">
        <v>103</v>
      </c>
      <c r="B107" s="77"/>
      <c r="C107" s="77"/>
      <c r="D107" s="80"/>
      <c r="E107" s="60" t="s">
        <v>963</v>
      </c>
      <c r="F107" s="60" t="s">
        <v>163</v>
      </c>
      <c r="G107" s="60" t="s">
        <v>964</v>
      </c>
      <c r="H107" s="60" t="s">
        <v>965</v>
      </c>
      <c r="I107" s="60" t="s">
        <v>464</v>
      </c>
      <c r="J107" s="60" t="s">
        <v>966</v>
      </c>
      <c r="K107" s="60" t="s">
        <v>961</v>
      </c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79" t="s">
        <v>967</v>
      </c>
      <c r="X107" s="60" t="s">
        <v>933</v>
      </c>
      <c r="Y107" s="54"/>
      <c r="Z107" s="54"/>
      <c r="AA107" s="54"/>
      <c r="AB107" s="54"/>
      <c r="AC107" s="54"/>
    </row>
    <row r="108" ht="89.099999999999994" customHeight="1">
      <c r="A108" s="76">
        <v>104</v>
      </c>
      <c r="B108" s="77"/>
      <c r="C108" s="77"/>
      <c r="D108" s="60" t="s">
        <v>329</v>
      </c>
      <c r="E108" s="60" t="s">
        <v>968</v>
      </c>
      <c r="F108" s="60" t="s">
        <v>163</v>
      </c>
      <c r="G108" s="60" t="s">
        <v>969</v>
      </c>
      <c r="H108" s="60" t="s">
        <v>970</v>
      </c>
      <c r="I108" s="60" t="s">
        <v>464</v>
      </c>
      <c r="J108" s="60" t="s">
        <v>971</v>
      </c>
      <c r="K108" s="60" t="s">
        <v>972</v>
      </c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79" t="s">
        <v>973</v>
      </c>
      <c r="X108" s="60" t="s">
        <v>933</v>
      </c>
      <c r="Y108" s="54"/>
      <c r="Z108" s="54"/>
      <c r="AA108" s="54"/>
      <c r="AB108" s="54"/>
      <c r="AC108" s="54"/>
    </row>
    <row r="109" ht="75.599999999999994" customHeight="1">
      <c r="A109" s="76">
        <v>105</v>
      </c>
      <c r="B109" s="77"/>
      <c r="C109" s="77"/>
      <c r="D109" s="77"/>
      <c r="E109" s="60" t="s">
        <v>974</v>
      </c>
      <c r="F109" s="60" t="s">
        <v>163</v>
      </c>
      <c r="G109" s="60" t="s">
        <v>975</v>
      </c>
      <c r="H109" s="60" t="s">
        <v>976</v>
      </c>
      <c r="I109" s="60" t="s">
        <v>977</v>
      </c>
      <c r="J109" s="60" t="s">
        <v>502</v>
      </c>
      <c r="K109" s="60" t="s">
        <v>978</v>
      </c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 t="s">
        <v>933</v>
      </c>
      <c r="Y109" s="54"/>
      <c r="Z109" s="54"/>
      <c r="AA109" s="54"/>
      <c r="AB109" s="54"/>
      <c r="AC109" s="54"/>
    </row>
    <row r="110" ht="75.599999999999994" customHeight="1">
      <c r="A110" s="76">
        <v>106</v>
      </c>
      <c r="B110" s="77"/>
      <c r="C110" s="77"/>
      <c r="D110" s="77"/>
      <c r="E110" s="60" t="s">
        <v>979</v>
      </c>
      <c r="F110" s="60" t="s">
        <v>163</v>
      </c>
      <c r="G110" s="60" t="s">
        <v>980</v>
      </c>
      <c r="H110" s="60" t="s">
        <v>981</v>
      </c>
      <c r="I110" s="60" t="s">
        <v>977</v>
      </c>
      <c r="J110" s="60" t="s">
        <v>982</v>
      </c>
      <c r="K110" s="60" t="s">
        <v>983</v>
      </c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79" t="s">
        <v>984</v>
      </c>
      <c r="X110" s="60" t="s">
        <v>985</v>
      </c>
      <c r="Y110" s="54"/>
      <c r="Z110" s="54"/>
      <c r="AA110" s="54"/>
      <c r="AB110" s="54"/>
      <c r="AC110" s="54"/>
    </row>
    <row r="111" ht="75.599999999999994" customHeight="1">
      <c r="A111" s="76">
        <v>107</v>
      </c>
      <c r="B111" s="77"/>
      <c r="C111" s="77"/>
      <c r="D111" s="80"/>
      <c r="E111" s="60" t="s">
        <v>986</v>
      </c>
      <c r="F111" s="60" t="s">
        <v>170</v>
      </c>
      <c r="G111" s="60" t="s">
        <v>987</v>
      </c>
      <c r="H111" s="60" t="s">
        <v>988</v>
      </c>
      <c r="I111" s="60" t="s">
        <v>977</v>
      </c>
      <c r="J111" s="60" t="s">
        <v>989</v>
      </c>
      <c r="K111" s="78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79" t="s">
        <v>990</v>
      </c>
      <c r="X111" s="60" t="s">
        <v>717</v>
      </c>
      <c r="Y111" s="54"/>
      <c r="Z111" s="54"/>
      <c r="AA111" s="54"/>
      <c r="AB111" s="54"/>
      <c r="AC111" s="54"/>
    </row>
    <row r="112" ht="62.100000000000001" customHeight="1">
      <c r="A112" s="76">
        <v>108</v>
      </c>
      <c r="B112" s="77"/>
      <c r="C112" s="77"/>
      <c r="D112" s="60" t="s">
        <v>353</v>
      </c>
      <c r="E112" s="60" t="s">
        <v>582</v>
      </c>
      <c r="F112" s="60" t="s">
        <v>170</v>
      </c>
      <c r="G112" s="60" t="s">
        <v>991</v>
      </c>
      <c r="H112" s="60" t="s">
        <v>992</v>
      </c>
      <c r="I112" s="60" t="s">
        <v>464</v>
      </c>
      <c r="J112" s="60" t="s">
        <v>993</v>
      </c>
      <c r="K112" s="60" t="s">
        <v>994</v>
      </c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 t="s">
        <v>933</v>
      </c>
      <c r="Y112" s="54"/>
      <c r="Z112" s="54"/>
      <c r="AA112" s="54"/>
      <c r="AB112" s="54"/>
      <c r="AC112" s="54"/>
    </row>
    <row r="113" ht="48.600000000000001" customHeight="1">
      <c r="A113" s="76">
        <v>109</v>
      </c>
      <c r="B113" s="77"/>
      <c r="C113" s="80"/>
      <c r="D113" s="80"/>
      <c r="E113" s="60" t="s">
        <v>883</v>
      </c>
      <c r="F113" s="60" t="s">
        <v>170</v>
      </c>
      <c r="G113" s="60" t="s">
        <v>995</v>
      </c>
      <c r="H113" s="60" t="s">
        <v>996</v>
      </c>
      <c r="I113" s="60" t="s">
        <v>464</v>
      </c>
      <c r="J113" s="90" t="s">
        <v>997</v>
      </c>
      <c r="K113" s="78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79" t="s">
        <v>998</v>
      </c>
      <c r="X113" s="60" t="s">
        <v>933</v>
      </c>
      <c r="Y113" s="54"/>
      <c r="Z113" s="54"/>
      <c r="AA113" s="54"/>
      <c r="AB113" s="54"/>
      <c r="AC113" s="54"/>
    </row>
    <row r="114" ht="62.100000000000001" customHeight="1">
      <c r="A114" s="76">
        <v>110</v>
      </c>
      <c r="B114" s="77"/>
      <c r="C114" s="60" t="s">
        <v>92</v>
      </c>
      <c r="D114" s="60" t="s">
        <v>420</v>
      </c>
      <c r="E114" s="60" t="s">
        <v>999</v>
      </c>
      <c r="F114" s="60" t="s">
        <v>163</v>
      </c>
      <c r="G114" s="60" t="s">
        <v>1000</v>
      </c>
      <c r="H114" s="60" t="s">
        <v>1001</v>
      </c>
      <c r="I114" s="60" t="s">
        <v>464</v>
      </c>
      <c r="J114" s="90" t="s">
        <v>1002</v>
      </c>
      <c r="K114" s="78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79" t="s">
        <v>1003</v>
      </c>
      <c r="X114" s="60" t="s">
        <v>1004</v>
      </c>
      <c r="Y114" s="54"/>
      <c r="Z114" s="54"/>
      <c r="AA114" s="54"/>
      <c r="AB114" s="54"/>
      <c r="AC114" s="54"/>
    </row>
    <row r="115" ht="89.099999999999994" customHeight="1">
      <c r="A115" s="76">
        <v>111</v>
      </c>
      <c r="B115" s="77"/>
      <c r="C115" s="60" t="s">
        <v>93</v>
      </c>
      <c r="D115" s="60" t="s">
        <v>512</v>
      </c>
      <c r="E115" s="60" t="s">
        <v>1005</v>
      </c>
      <c r="F115" s="60" t="s">
        <v>163</v>
      </c>
      <c r="G115" s="60" t="s">
        <v>1006</v>
      </c>
      <c r="H115" s="60" t="s">
        <v>1007</v>
      </c>
      <c r="I115" s="60" t="s">
        <v>464</v>
      </c>
      <c r="J115" s="90" t="s">
        <v>1008</v>
      </c>
      <c r="K115" s="60" t="s">
        <v>1009</v>
      </c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79" t="s">
        <v>1010</v>
      </c>
      <c r="X115" s="60" t="s">
        <v>1011</v>
      </c>
      <c r="Y115" s="54"/>
      <c r="Z115" s="54"/>
      <c r="AA115" s="54"/>
      <c r="AB115" s="54"/>
      <c r="AC115" s="54"/>
    </row>
    <row r="116" ht="183.59999999999999" customHeight="1">
      <c r="A116" s="76">
        <v>112</v>
      </c>
      <c r="B116" s="77"/>
      <c r="C116" s="77"/>
      <c r="D116" s="80"/>
      <c r="E116" s="60" t="s">
        <v>1012</v>
      </c>
      <c r="F116" s="60" t="s">
        <v>163</v>
      </c>
      <c r="G116" s="60" t="s">
        <v>1013</v>
      </c>
      <c r="H116" s="60" t="s">
        <v>1014</v>
      </c>
      <c r="I116" s="60" t="s">
        <v>464</v>
      </c>
      <c r="J116" s="90" t="s">
        <v>1015</v>
      </c>
      <c r="K116" s="60" t="s">
        <v>1016</v>
      </c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79" t="s">
        <v>1017</v>
      </c>
      <c r="X116" s="60" t="s">
        <v>1011</v>
      </c>
      <c r="Y116" s="54"/>
      <c r="Z116" s="54"/>
      <c r="AA116" s="54"/>
      <c r="AB116" s="54"/>
      <c r="AC116" s="54"/>
    </row>
    <row r="117" ht="89.099999999999994" customHeight="1">
      <c r="A117" s="76">
        <v>113</v>
      </c>
      <c r="B117" s="77"/>
      <c r="C117" s="77"/>
      <c r="D117" s="60" t="s">
        <v>329</v>
      </c>
      <c r="E117" s="60" t="s">
        <v>1018</v>
      </c>
      <c r="F117" s="60" t="s">
        <v>163</v>
      </c>
      <c r="G117" s="60" t="s">
        <v>1019</v>
      </c>
      <c r="H117" s="60" t="s">
        <v>1020</v>
      </c>
      <c r="I117" s="60" t="s">
        <v>464</v>
      </c>
      <c r="J117" s="90" t="s">
        <v>1021</v>
      </c>
      <c r="K117" s="60" t="s">
        <v>1022</v>
      </c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79" t="s">
        <v>1023</v>
      </c>
      <c r="X117" s="60" t="s">
        <v>1011</v>
      </c>
      <c r="Y117" s="54"/>
      <c r="Z117" s="54"/>
      <c r="AA117" s="54"/>
      <c r="AB117" s="54"/>
      <c r="AC117" s="54"/>
    </row>
    <row r="118" ht="75.599999999999994" customHeight="1">
      <c r="A118" s="76">
        <v>114</v>
      </c>
      <c r="B118" s="77"/>
      <c r="C118" s="77"/>
      <c r="D118" s="80"/>
      <c r="E118" s="60" t="s">
        <v>1024</v>
      </c>
      <c r="F118" s="60" t="s">
        <v>170</v>
      </c>
      <c r="G118" s="60" t="s">
        <v>1025</v>
      </c>
      <c r="H118" s="60" t="s">
        <v>1026</v>
      </c>
      <c r="I118" s="60" t="s">
        <v>464</v>
      </c>
      <c r="J118" s="90" t="s">
        <v>1027</v>
      </c>
      <c r="K118" s="78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79" t="s">
        <v>1028</v>
      </c>
      <c r="X118" s="60" t="s">
        <v>1011</v>
      </c>
      <c r="Y118" s="54"/>
      <c r="Z118" s="54"/>
      <c r="AA118" s="54"/>
      <c r="AB118" s="54"/>
      <c r="AC118" s="54"/>
    </row>
    <row r="119" ht="75.599999999999994" customHeight="1">
      <c r="A119" s="76">
        <v>115</v>
      </c>
      <c r="B119" s="77"/>
      <c r="C119" s="77"/>
      <c r="D119" s="60" t="s">
        <v>353</v>
      </c>
      <c r="E119" s="60" t="s">
        <v>582</v>
      </c>
      <c r="F119" s="60" t="s">
        <v>170</v>
      </c>
      <c r="G119" s="60" t="s">
        <v>1029</v>
      </c>
      <c r="H119" s="60" t="s">
        <v>1030</v>
      </c>
      <c r="I119" s="60" t="s">
        <v>464</v>
      </c>
      <c r="J119" s="90" t="s">
        <v>1031</v>
      </c>
      <c r="K119" s="60" t="s">
        <v>1032</v>
      </c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79" t="s">
        <v>1033</v>
      </c>
      <c r="X119" s="60" t="s">
        <v>1011</v>
      </c>
      <c r="Y119" s="54"/>
      <c r="Z119" s="54"/>
      <c r="AA119" s="54"/>
      <c r="AB119" s="54"/>
      <c r="AC119" s="54"/>
    </row>
    <row r="120" ht="62.100000000000001" customHeight="1">
      <c r="A120" s="76">
        <v>116</v>
      </c>
      <c r="B120" s="77"/>
      <c r="C120" s="80"/>
      <c r="D120" s="80"/>
      <c r="E120" s="60" t="s">
        <v>1034</v>
      </c>
      <c r="F120" s="60" t="s">
        <v>185</v>
      </c>
      <c r="G120" s="60" t="s">
        <v>1035</v>
      </c>
      <c r="H120" s="60" t="s">
        <v>1036</v>
      </c>
      <c r="I120" s="60" t="s">
        <v>464</v>
      </c>
      <c r="J120" s="90" t="s">
        <v>1037</v>
      </c>
      <c r="K120" s="60" t="s">
        <v>1032</v>
      </c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79" t="s">
        <v>1033</v>
      </c>
      <c r="X120" s="60" t="s">
        <v>1011</v>
      </c>
      <c r="Y120" s="54"/>
      <c r="Z120" s="54"/>
      <c r="AA120" s="54"/>
      <c r="AB120" s="54"/>
      <c r="AC120" s="54"/>
    </row>
    <row r="121" ht="62.100000000000001" customHeight="1">
      <c r="A121" s="76">
        <v>117</v>
      </c>
      <c r="B121" s="77"/>
      <c r="C121" s="60" t="s">
        <v>94</v>
      </c>
      <c r="D121" s="60" t="s">
        <v>228</v>
      </c>
      <c r="E121" s="60" t="s">
        <v>890</v>
      </c>
      <c r="F121" s="60" t="s">
        <v>163</v>
      </c>
      <c r="G121" s="60" t="s">
        <v>1038</v>
      </c>
      <c r="H121" s="60" t="s">
        <v>1039</v>
      </c>
      <c r="I121" s="60" t="s">
        <v>464</v>
      </c>
      <c r="J121" s="60" t="s">
        <v>1040</v>
      </c>
      <c r="K121" s="60" t="s">
        <v>1041</v>
      </c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 t="s">
        <v>1042</v>
      </c>
      <c r="Y121" s="54"/>
      <c r="Z121" s="54"/>
      <c r="AA121" s="54"/>
      <c r="AB121" s="54"/>
      <c r="AC121" s="54"/>
    </row>
    <row r="122" ht="48.600000000000001" customHeight="1">
      <c r="A122" s="76">
        <v>118</v>
      </c>
      <c r="B122" s="77"/>
      <c r="C122" s="77"/>
      <c r="D122" s="77"/>
      <c r="E122" s="60" t="s">
        <v>1043</v>
      </c>
      <c r="F122" s="60" t="s">
        <v>170</v>
      </c>
      <c r="G122" s="60" t="s">
        <v>1044</v>
      </c>
      <c r="H122" s="60" t="s">
        <v>1045</v>
      </c>
      <c r="I122" s="60" t="s">
        <v>464</v>
      </c>
      <c r="J122" s="60" t="s">
        <v>1046</v>
      </c>
      <c r="K122" s="60" t="s">
        <v>1047</v>
      </c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 t="s">
        <v>1042</v>
      </c>
      <c r="Y122" s="54"/>
      <c r="Z122" s="54"/>
      <c r="AA122" s="54"/>
      <c r="AB122" s="54"/>
      <c r="AC122" s="54"/>
    </row>
    <row r="123" ht="48.600000000000001" customHeight="1">
      <c r="A123" s="76">
        <v>119</v>
      </c>
      <c r="B123" s="77"/>
      <c r="C123" s="80"/>
      <c r="D123" s="80"/>
      <c r="E123" s="60" t="s">
        <v>1048</v>
      </c>
      <c r="F123" s="60" t="s">
        <v>170</v>
      </c>
      <c r="G123" s="60" t="s">
        <v>1049</v>
      </c>
      <c r="H123" s="60" t="s">
        <v>1050</v>
      </c>
      <c r="I123" s="60" t="s">
        <v>464</v>
      </c>
      <c r="J123" s="60" t="s">
        <v>1051</v>
      </c>
      <c r="K123" s="60" t="s">
        <v>1052</v>
      </c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 t="s">
        <v>1042</v>
      </c>
      <c r="Y123" s="54"/>
      <c r="Z123" s="54"/>
      <c r="AA123" s="54"/>
      <c r="AB123" s="54"/>
      <c r="AC123" s="54"/>
    </row>
    <row r="124" ht="170.09999999999999" customHeight="1">
      <c r="A124" s="76">
        <v>120</v>
      </c>
      <c r="B124" s="77"/>
      <c r="C124" s="60" t="s">
        <v>95</v>
      </c>
      <c r="D124" s="60" t="s">
        <v>512</v>
      </c>
      <c r="E124" s="60" t="s">
        <v>1053</v>
      </c>
      <c r="F124" s="60" t="s">
        <v>163</v>
      </c>
      <c r="G124" s="60" t="s">
        <v>1054</v>
      </c>
      <c r="H124" s="60" t="s">
        <v>1055</v>
      </c>
      <c r="I124" s="60" t="s">
        <v>464</v>
      </c>
      <c r="J124" s="60" t="s">
        <v>1056</v>
      </c>
      <c r="K124" s="60" t="s">
        <v>1057</v>
      </c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 t="s">
        <v>1042</v>
      </c>
      <c r="Y124" s="54"/>
      <c r="Z124" s="54"/>
      <c r="AA124" s="54"/>
      <c r="AB124" s="54"/>
      <c r="AC124" s="54"/>
    </row>
    <row r="125" ht="75.599999999999994" customHeight="1">
      <c r="A125" s="76">
        <v>121</v>
      </c>
      <c r="B125" s="77"/>
      <c r="C125" s="77"/>
      <c r="D125" s="80"/>
      <c r="E125" s="60" t="s">
        <v>1058</v>
      </c>
      <c r="F125" s="60" t="s">
        <v>163</v>
      </c>
      <c r="G125" s="60" t="s">
        <v>1059</v>
      </c>
      <c r="H125" s="60" t="s">
        <v>1060</v>
      </c>
      <c r="I125" s="60" t="s">
        <v>464</v>
      </c>
      <c r="J125" s="60" t="s">
        <v>1061</v>
      </c>
      <c r="K125" s="78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79" t="s">
        <v>1062</v>
      </c>
      <c r="X125" s="60" t="s">
        <v>1042</v>
      </c>
      <c r="Y125" s="54"/>
      <c r="Z125" s="54"/>
      <c r="AA125" s="54"/>
      <c r="AB125" s="54"/>
      <c r="AC125" s="54"/>
    </row>
    <row r="126" ht="75.599999999999994" customHeight="1">
      <c r="A126" s="76">
        <v>122</v>
      </c>
      <c r="B126" s="77"/>
      <c r="C126" s="77"/>
      <c r="D126" s="60" t="s">
        <v>329</v>
      </c>
      <c r="E126" s="60" t="s">
        <v>1063</v>
      </c>
      <c r="F126" s="60" t="s">
        <v>163</v>
      </c>
      <c r="G126" s="60" t="s">
        <v>1064</v>
      </c>
      <c r="H126" s="60" t="s">
        <v>1065</v>
      </c>
      <c r="I126" s="90" t="s">
        <v>464</v>
      </c>
      <c r="J126" s="90" t="s">
        <v>1066</v>
      </c>
      <c r="K126" s="90" t="s">
        <v>1067</v>
      </c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 t="s">
        <v>1042</v>
      </c>
      <c r="Y126" s="54"/>
      <c r="Z126" s="54"/>
      <c r="AA126" s="54"/>
      <c r="AB126" s="54"/>
      <c r="AC126" s="54"/>
    </row>
    <row r="127" ht="75.599999999999994" customHeight="1">
      <c r="A127" s="76">
        <v>123</v>
      </c>
      <c r="B127" s="77"/>
      <c r="C127" s="77"/>
      <c r="D127" s="77"/>
      <c r="E127" s="60" t="s">
        <v>1068</v>
      </c>
      <c r="F127" s="60" t="s">
        <v>170</v>
      </c>
      <c r="G127" s="60" t="s">
        <v>1069</v>
      </c>
      <c r="H127" s="60" t="s">
        <v>1070</v>
      </c>
      <c r="I127" s="90" t="s">
        <v>1071</v>
      </c>
      <c r="J127" s="90" t="s">
        <v>502</v>
      </c>
      <c r="K127" s="90" t="s">
        <v>1072</v>
      </c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 t="s">
        <v>1042</v>
      </c>
      <c r="Y127" s="54"/>
      <c r="Z127" s="54"/>
      <c r="AA127" s="54"/>
      <c r="AB127" s="54"/>
      <c r="AC127" s="54"/>
    </row>
    <row r="128" ht="75.599999999999994" customHeight="1">
      <c r="A128" s="76">
        <v>124</v>
      </c>
      <c r="B128" s="77"/>
      <c r="C128" s="77"/>
      <c r="D128" s="77"/>
      <c r="E128" s="60" t="s">
        <v>1073</v>
      </c>
      <c r="F128" s="60" t="s">
        <v>163</v>
      </c>
      <c r="G128" s="60" t="s">
        <v>1074</v>
      </c>
      <c r="H128" s="60" t="s">
        <v>1075</v>
      </c>
      <c r="I128" s="90" t="s">
        <v>1071</v>
      </c>
      <c r="J128" s="90" t="s">
        <v>1076</v>
      </c>
      <c r="K128" s="60" t="s">
        <v>1077</v>
      </c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 t="s">
        <v>1042</v>
      </c>
      <c r="Y128" s="54"/>
      <c r="Z128" s="54"/>
      <c r="AA128" s="54"/>
      <c r="AB128" s="54"/>
      <c r="AC128" s="54"/>
    </row>
    <row r="129" ht="75.599999999999994" customHeight="1">
      <c r="A129" s="76">
        <v>125</v>
      </c>
      <c r="B129" s="77"/>
      <c r="C129" s="77"/>
      <c r="D129" s="77"/>
      <c r="E129" s="60" t="s">
        <v>1078</v>
      </c>
      <c r="F129" s="60" t="s">
        <v>170</v>
      </c>
      <c r="G129" s="60" t="s">
        <v>1079</v>
      </c>
      <c r="H129" s="60" t="s">
        <v>1080</v>
      </c>
      <c r="I129" s="90" t="s">
        <v>1071</v>
      </c>
      <c r="J129" s="90" t="s">
        <v>1081</v>
      </c>
      <c r="K129" s="60" t="s">
        <v>1082</v>
      </c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 t="s">
        <v>1083</v>
      </c>
      <c r="Y129" s="54"/>
      <c r="Z129" s="54"/>
      <c r="AA129" s="54"/>
      <c r="AB129" s="54"/>
      <c r="AC129" s="54"/>
    </row>
    <row r="130" ht="75.599999999999994" customHeight="1">
      <c r="A130" s="76">
        <v>126</v>
      </c>
      <c r="B130" s="77"/>
      <c r="C130" s="77"/>
      <c r="D130" s="77"/>
      <c r="E130" s="60" t="s">
        <v>1084</v>
      </c>
      <c r="F130" s="60" t="s">
        <v>163</v>
      </c>
      <c r="G130" s="60" t="s">
        <v>1085</v>
      </c>
      <c r="H130" s="60" t="s">
        <v>1086</v>
      </c>
      <c r="I130" s="90" t="s">
        <v>464</v>
      </c>
      <c r="J130" s="90" t="s">
        <v>1087</v>
      </c>
      <c r="K130" s="60" t="s">
        <v>1088</v>
      </c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79" t="s">
        <v>1089</v>
      </c>
      <c r="X130" s="60" t="s">
        <v>1042</v>
      </c>
      <c r="Y130" s="54"/>
      <c r="Z130" s="54"/>
      <c r="AA130" s="54"/>
      <c r="AB130" s="54"/>
      <c r="AC130" s="54"/>
    </row>
    <row r="131" ht="75.599999999999994" customHeight="1">
      <c r="A131" s="76">
        <v>127</v>
      </c>
      <c r="B131" s="77"/>
      <c r="C131" s="77"/>
      <c r="D131" s="80"/>
      <c r="E131" s="60" t="s">
        <v>1090</v>
      </c>
      <c r="F131" s="60" t="s">
        <v>163</v>
      </c>
      <c r="G131" s="60" t="s">
        <v>1091</v>
      </c>
      <c r="H131" s="60" t="s">
        <v>1092</v>
      </c>
      <c r="I131" s="90" t="s">
        <v>1093</v>
      </c>
      <c r="J131" s="90" t="s">
        <v>1094</v>
      </c>
      <c r="K131" s="60" t="s">
        <v>1095</v>
      </c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79" t="s">
        <v>1096</v>
      </c>
      <c r="X131" s="60" t="s">
        <v>1042</v>
      </c>
      <c r="Y131" s="54"/>
      <c r="Z131" s="54"/>
      <c r="AA131" s="54"/>
      <c r="AB131" s="54"/>
      <c r="AC131" s="54"/>
    </row>
    <row r="132" ht="62.100000000000001" customHeight="1">
      <c r="A132" s="76">
        <v>128</v>
      </c>
      <c r="B132" s="77"/>
      <c r="C132" s="80"/>
      <c r="D132" s="60" t="s">
        <v>353</v>
      </c>
      <c r="E132" s="60" t="s">
        <v>582</v>
      </c>
      <c r="F132" s="60" t="s">
        <v>170</v>
      </c>
      <c r="G132" s="60" t="s">
        <v>1097</v>
      </c>
      <c r="H132" s="60" t="s">
        <v>1098</v>
      </c>
      <c r="I132" s="90" t="s">
        <v>464</v>
      </c>
      <c r="J132" s="60" t="s">
        <v>1099</v>
      </c>
      <c r="K132" s="60" t="s">
        <v>1100</v>
      </c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 t="s">
        <v>1042</v>
      </c>
      <c r="Y132" s="54"/>
      <c r="Z132" s="54"/>
      <c r="AA132" s="54"/>
      <c r="AB132" s="54"/>
      <c r="AC132" s="54"/>
    </row>
    <row r="133" ht="102.59999999999999" customHeight="1">
      <c r="A133" s="76">
        <v>129</v>
      </c>
      <c r="B133" s="80"/>
      <c r="C133" s="60" t="s">
        <v>96</v>
      </c>
      <c r="D133" s="60" t="s">
        <v>228</v>
      </c>
      <c r="E133" s="60" t="s">
        <v>1101</v>
      </c>
      <c r="F133" s="60" t="s">
        <v>170</v>
      </c>
      <c r="G133" s="60" t="s">
        <v>1102</v>
      </c>
      <c r="H133" s="60" t="s">
        <v>1103</v>
      </c>
      <c r="I133" s="90" t="s">
        <v>464</v>
      </c>
      <c r="J133" s="60" t="s">
        <v>1104</v>
      </c>
      <c r="K133" s="78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79" t="s">
        <v>1105</v>
      </c>
      <c r="X133" s="60" t="s">
        <v>717</v>
      </c>
      <c r="Y133" s="54"/>
      <c r="Z133" s="54"/>
      <c r="AA133" s="54"/>
      <c r="AB133" s="54"/>
      <c r="AC133" s="54"/>
    </row>
    <row r="134" ht="62.100000000000001" customHeight="1">
      <c r="A134" s="76">
        <v>130</v>
      </c>
      <c r="B134" s="60" t="s">
        <v>97</v>
      </c>
      <c r="C134" s="60" t="s">
        <v>98</v>
      </c>
      <c r="D134" s="60" t="s">
        <v>1106</v>
      </c>
      <c r="E134" s="60" t="s">
        <v>1107</v>
      </c>
      <c r="F134" s="60" t="s">
        <v>163</v>
      </c>
      <c r="G134" s="60" t="s">
        <v>1108</v>
      </c>
      <c r="H134" s="60" t="s">
        <v>1109</v>
      </c>
      <c r="I134" s="90" t="s">
        <v>1110</v>
      </c>
      <c r="J134" s="60" t="s">
        <v>502</v>
      </c>
      <c r="K134" s="60" t="s">
        <v>1111</v>
      </c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 t="s">
        <v>467</v>
      </c>
      <c r="Y134" s="54"/>
      <c r="Z134" s="54"/>
      <c r="AA134" s="54"/>
      <c r="AB134" s="54"/>
      <c r="AC134" s="54"/>
    </row>
    <row r="135" ht="62.100000000000001" customHeight="1">
      <c r="A135" s="76">
        <v>131</v>
      </c>
      <c r="B135" s="77"/>
      <c r="C135" s="77"/>
      <c r="D135" s="80"/>
      <c r="E135" s="60" t="s">
        <v>1112</v>
      </c>
      <c r="F135" s="60" t="s">
        <v>185</v>
      </c>
      <c r="G135" s="60" t="s">
        <v>1113</v>
      </c>
      <c r="H135" s="60" t="s">
        <v>1114</v>
      </c>
      <c r="I135" s="90" t="s">
        <v>1110</v>
      </c>
      <c r="J135" s="60" t="s">
        <v>1115</v>
      </c>
      <c r="K135" s="60" t="s">
        <v>1116</v>
      </c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79" t="s">
        <v>1117</v>
      </c>
      <c r="X135" s="60" t="s">
        <v>467</v>
      </c>
      <c r="Y135" s="54"/>
      <c r="Z135" s="54"/>
      <c r="AA135" s="54"/>
      <c r="AB135" s="54"/>
      <c r="AC135" s="54"/>
    </row>
    <row r="136" ht="62.100000000000001" customHeight="1">
      <c r="A136" s="76">
        <v>132</v>
      </c>
      <c r="B136" s="77"/>
      <c r="C136" s="77"/>
      <c r="D136" s="60" t="s">
        <v>1118</v>
      </c>
      <c r="E136" s="60" t="s">
        <v>1119</v>
      </c>
      <c r="F136" s="60" t="s">
        <v>163</v>
      </c>
      <c r="G136" s="60" t="s">
        <v>1120</v>
      </c>
      <c r="H136" s="60" t="s">
        <v>1121</v>
      </c>
      <c r="I136" s="90" t="s">
        <v>1110</v>
      </c>
      <c r="J136" s="90" t="s">
        <v>867</v>
      </c>
      <c r="K136" s="60" t="s">
        <v>1122</v>
      </c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 t="s">
        <v>479</v>
      </c>
      <c r="Y136" s="54"/>
      <c r="Z136" s="54"/>
      <c r="AA136" s="54"/>
      <c r="AB136" s="54"/>
      <c r="AC136" s="54"/>
    </row>
    <row r="137" ht="62.100000000000001" customHeight="1">
      <c r="A137" s="76">
        <v>133</v>
      </c>
      <c r="B137" s="77"/>
      <c r="C137" s="77"/>
      <c r="D137" s="80"/>
      <c r="E137" s="60" t="s">
        <v>1123</v>
      </c>
      <c r="F137" s="60" t="s">
        <v>163</v>
      </c>
      <c r="G137" s="60" t="s">
        <v>1124</v>
      </c>
      <c r="H137" s="60" t="s">
        <v>1125</v>
      </c>
      <c r="I137" s="90" t="s">
        <v>1110</v>
      </c>
      <c r="J137" s="90" t="s">
        <v>1126</v>
      </c>
      <c r="K137" s="60" t="s">
        <v>1127</v>
      </c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79" t="s">
        <v>1128</v>
      </c>
      <c r="X137" s="60" t="s">
        <v>182</v>
      </c>
      <c r="Y137" s="54"/>
      <c r="Z137" s="54"/>
      <c r="AA137" s="54"/>
      <c r="AB137" s="54"/>
      <c r="AC137" s="54"/>
    </row>
    <row r="138" ht="62.100000000000001" customHeight="1">
      <c r="A138" s="76">
        <v>134</v>
      </c>
      <c r="B138" s="77"/>
      <c r="C138" s="77"/>
      <c r="D138" s="60" t="s">
        <v>1129</v>
      </c>
      <c r="E138" s="60" t="s">
        <v>1130</v>
      </c>
      <c r="F138" s="60" t="s">
        <v>163</v>
      </c>
      <c r="G138" s="60" t="s">
        <v>1131</v>
      </c>
      <c r="H138" s="60" t="s">
        <v>1132</v>
      </c>
      <c r="I138" s="90" t="s">
        <v>1110</v>
      </c>
      <c r="J138" s="90" t="s">
        <v>1133</v>
      </c>
      <c r="K138" s="60" t="s">
        <v>1134</v>
      </c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 t="s">
        <v>182</v>
      </c>
      <c r="Y138" s="54"/>
      <c r="Z138" s="54"/>
      <c r="AA138" s="54"/>
      <c r="AB138" s="54"/>
      <c r="AC138" s="54"/>
    </row>
    <row r="139" ht="62.100000000000001" customHeight="1">
      <c r="A139" s="76">
        <v>135</v>
      </c>
      <c r="B139" s="77"/>
      <c r="C139" s="80"/>
      <c r="D139" s="80"/>
      <c r="E139" s="60" t="s">
        <v>1135</v>
      </c>
      <c r="F139" s="60" t="s">
        <v>163</v>
      </c>
      <c r="G139" s="60" t="s">
        <v>1136</v>
      </c>
      <c r="H139" s="60" t="s">
        <v>1137</v>
      </c>
      <c r="I139" s="90" t="s">
        <v>1110</v>
      </c>
      <c r="J139" s="90" t="s">
        <v>1138</v>
      </c>
      <c r="K139" s="60" t="s">
        <v>1139</v>
      </c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 t="s">
        <v>182</v>
      </c>
      <c r="Y139" s="54"/>
      <c r="Z139" s="54"/>
      <c r="AA139" s="54"/>
      <c r="AB139" s="54"/>
      <c r="AC139" s="54"/>
    </row>
    <row r="140" ht="48.600000000000001" customHeight="1">
      <c r="A140" s="76">
        <v>136</v>
      </c>
      <c r="B140" s="77"/>
      <c r="C140" s="60" t="s">
        <v>99</v>
      </c>
      <c r="D140" s="60" t="s">
        <v>1140</v>
      </c>
      <c r="E140" s="60" t="s">
        <v>1141</v>
      </c>
      <c r="F140" s="60" t="s">
        <v>163</v>
      </c>
      <c r="G140" s="60" t="s">
        <v>1142</v>
      </c>
      <c r="H140" s="60" t="s">
        <v>1143</v>
      </c>
      <c r="I140" s="90" t="s">
        <v>1144</v>
      </c>
      <c r="J140" s="60" t="s">
        <v>1145</v>
      </c>
      <c r="K140" s="78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79" t="s">
        <v>1146</v>
      </c>
      <c r="X140" s="60" t="s">
        <v>182</v>
      </c>
      <c r="Y140" s="54"/>
      <c r="Z140" s="54"/>
      <c r="AA140" s="54"/>
      <c r="AB140" s="54"/>
      <c r="AC140" s="54"/>
    </row>
    <row r="141" ht="62.100000000000001" customHeight="1">
      <c r="A141" s="76">
        <v>137</v>
      </c>
      <c r="B141" s="77"/>
      <c r="C141" s="60" t="s">
        <v>100</v>
      </c>
      <c r="D141" s="60" t="s">
        <v>1147</v>
      </c>
      <c r="E141" s="60" t="s">
        <v>1148</v>
      </c>
      <c r="F141" s="60" t="s">
        <v>163</v>
      </c>
      <c r="G141" s="60" t="s">
        <v>1149</v>
      </c>
      <c r="H141" s="60" t="s">
        <v>1150</v>
      </c>
      <c r="I141" s="90" t="s">
        <v>1151</v>
      </c>
      <c r="J141" s="60" t="s">
        <v>1152</v>
      </c>
      <c r="K141" s="60" t="s">
        <v>1153</v>
      </c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79" t="s">
        <v>1154</v>
      </c>
      <c r="X141" s="60" t="s">
        <v>479</v>
      </c>
      <c r="Y141" s="54"/>
      <c r="Z141" s="54"/>
      <c r="AA141" s="54"/>
      <c r="AB141" s="54"/>
      <c r="AC141" s="54"/>
    </row>
    <row r="142" ht="35.100000000000001" customHeight="1">
      <c r="A142" s="76">
        <v>138</v>
      </c>
      <c r="B142" s="80"/>
      <c r="C142" s="80"/>
      <c r="D142" s="60" t="s">
        <v>1155</v>
      </c>
      <c r="E142" s="60" t="s">
        <v>1156</v>
      </c>
      <c r="F142" s="60" t="s">
        <v>163</v>
      </c>
      <c r="G142" s="60" t="s">
        <v>1157</v>
      </c>
      <c r="H142" s="60" t="s">
        <v>1158</v>
      </c>
      <c r="I142" s="90" t="s">
        <v>1159</v>
      </c>
      <c r="J142" s="60" t="s">
        <v>1160</v>
      </c>
      <c r="K142" s="60" t="s">
        <v>1161</v>
      </c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79" t="s">
        <v>1154</v>
      </c>
      <c r="X142" s="60" t="s">
        <v>182</v>
      </c>
      <c r="Y142" s="54"/>
      <c r="Z142" s="54"/>
      <c r="AA142" s="54"/>
      <c r="AB142" s="54"/>
      <c r="AC142" s="54"/>
    </row>
    <row r="143" ht="35.100000000000001" customHeight="1">
      <c r="A143" s="76">
        <v>139</v>
      </c>
      <c r="B143" s="60" t="s">
        <v>75</v>
      </c>
      <c r="C143" s="60" t="s">
        <v>101</v>
      </c>
      <c r="D143" s="60" t="s">
        <v>1106</v>
      </c>
      <c r="E143" s="60" t="s">
        <v>1162</v>
      </c>
      <c r="F143" s="60" t="s">
        <v>163</v>
      </c>
      <c r="G143" s="60" t="s">
        <v>1163</v>
      </c>
      <c r="H143" s="60" t="s">
        <v>1164</v>
      </c>
      <c r="I143" s="90" t="s">
        <v>1165</v>
      </c>
      <c r="J143" s="60" t="s">
        <v>502</v>
      </c>
      <c r="K143" s="60" t="s">
        <v>1166</v>
      </c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 t="s">
        <v>182</v>
      </c>
      <c r="Y143" s="54"/>
      <c r="Z143" s="54"/>
      <c r="AA143" s="54"/>
      <c r="AB143" s="54"/>
      <c r="AC143" s="54"/>
    </row>
    <row r="144" ht="35.100000000000001" customHeight="1">
      <c r="A144" s="76">
        <v>140</v>
      </c>
      <c r="B144" s="77"/>
      <c r="C144" s="77"/>
      <c r="D144" s="60" t="s">
        <v>1167</v>
      </c>
      <c r="E144" s="60" t="s">
        <v>1168</v>
      </c>
      <c r="F144" s="60" t="s">
        <v>163</v>
      </c>
      <c r="G144" s="60" t="s">
        <v>1169</v>
      </c>
      <c r="H144" s="60" t="s">
        <v>1170</v>
      </c>
      <c r="I144" s="90" t="s">
        <v>1165</v>
      </c>
      <c r="J144" s="90" t="s">
        <v>1126</v>
      </c>
      <c r="K144" s="60" t="s">
        <v>1171</v>
      </c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79" t="s">
        <v>1128</v>
      </c>
      <c r="X144" s="60" t="s">
        <v>182</v>
      </c>
      <c r="Y144" s="54"/>
      <c r="Z144" s="54"/>
      <c r="AA144" s="54"/>
      <c r="AB144" s="54"/>
      <c r="AC144" s="54"/>
    </row>
    <row r="145" ht="35.100000000000001" customHeight="1">
      <c r="A145" s="76">
        <v>141</v>
      </c>
      <c r="B145" s="77"/>
      <c r="C145" s="77"/>
      <c r="D145" s="60" t="s">
        <v>1129</v>
      </c>
      <c r="E145" s="60" t="s">
        <v>1168</v>
      </c>
      <c r="F145" s="60" t="s">
        <v>163</v>
      </c>
      <c r="G145" s="60" t="s">
        <v>1172</v>
      </c>
      <c r="H145" s="60" t="s">
        <v>1173</v>
      </c>
      <c r="I145" s="90" t="s">
        <v>1165</v>
      </c>
      <c r="J145" s="90" t="s">
        <v>1174</v>
      </c>
      <c r="K145" s="60" t="s">
        <v>1175</v>
      </c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 t="s">
        <v>182</v>
      </c>
      <c r="Y145" s="54"/>
      <c r="Z145" s="54"/>
      <c r="AA145" s="54"/>
      <c r="AB145" s="54"/>
      <c r="AC145" s="54"/>
    </row>
    <row r="146" ht="35.100000000000001" customHeight="1">
      <c r="A146" s="76">
        <v>142</v>
      </c>
      <c r="B146" s="77"/>
      <c r="C146" s="80"/>
      <c r="D146" s="80"/>
      <c r="E146" s="60" t="s">
        <v>1176</v>
      </c>
      <c r="F146" s="60" t="s">
        <v>163</v>
      </c>
      <c r="G146" s="60" t="s">
        <v>1177</v>
      </c>
      <c r="H146" s="60" t="s">
        <v>1178</v>
      </c>
      <c r="I146" s="60" t="s">
        <v>464</v>
      </c>
      <c r="J146" s="90" t="s">
        <v>1179</v>
      </c>
      <c r="K146" s="60" t="s">
        <v>1180</v>
      </c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 t="s">
        <v>182</v>
      </c>
      <c r="Y146" s="54"/>
      <c r="Z146" s="54"/>
      <c r="AA146" s="54"/>
      <c r="AB146" s="54"/>
      <c r="AC146" s="54"/>
    </row>
    <row r="147" ht="62.100000000000001" customHeight="1">
      <c r="A147" s="76">
        <v>143</v>
      </c>
      <c r="B147" s="77"/>
      <c r="C147" s="60" t="s">
        <v>102</v>
      </c>
      <c r="D147" s="60" t="s">
        <v>1181</v>
      </c>
      <c r="E147" s="60" t="s">
        <v>1182</v>
      </c>
      <c r="F147" s="60" t="s">
        <v>163</v>
      </c>
      <c r="G147" s="60" t="s">
        <v>1183</v>
      </c>
      <c r="H147" s="60" t="s">
        <v>1184</v>
      </c>
      <c r="I147" s="60" t="s">
        <v>464</v>
      </c>
      <c r="J147" s="60" t="s">
        <v>1185</v>
      </c>
      <c r="K147" s="60" t="s">
        <v>1186</v>
      </c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 t="s">
        <v>511</v>
      </c>
      <c r="Y147" s="54"/>
      <c r="Z147" s="54"/>
      <c r="AA147" s="54"/>
      <c r="AB147" s="54"/>
      <c r="AC147" s="54"/>
    </row>
    <row r="148" ht="62.100000000000001" customHeight="1">
      <c r="A148" s="76">
        <v>144</v>
      </c>
      <c r="B148" s="80"/>
      <c r="C148" s="60" t="s">
        <v>103</v>
      </c>
      <c r="D148" s="60" t="s">
        <v>1187</v>
      </c>
      <c r="E148" s="60" t="s">
        <v>1188</v>
      </c>
      <c r="F148" s="60" t="s">
        <v>170</v>
      </c>
      <c r="G148" s="60" t="s">
        <v>1189</v>
      </c>
      <c r="H148" s="60" t="s">
        <v>1190</v>
      </c>
      <c r="I148" s="60" t="s">
        <v>464</v>
      </c>
      <c r="J148" s="60" t="s">
        <v>1191</v>
      </c>
      <c r="K148" s="78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79" t="s">
        <v>1192</v>
      </c>
      <c r="X148" s="60" t="s">
        <v>456</v>
      </c>
      <c r="Y148" s="54"/>
      <c r="Z148" s="54"/>
      <c r="AA148" s="54"/>
      <c r="AB148" s="54"/>
      <c r="AC148" s="54"/>
    </row>
  </sheetData>
  <mergeCells count="86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69"/>
    <mergeCell ref="C20:C39"/>
    <mergeCell ref="D21:D22"/>
    <mergeCell ref="D23:D24"/>
    <mergeCell ref="D25:D26"/>
    <mergeCell ref="D27:D36"/>
    <mergeCell ref="D37:D39"/>
    <mergeCell ref="C40:C46"/>
    <mergeCell ref="D41:D46"/>
    <mergeCell ref="C47:C64"/>
    <mergeCell ref="D47:D61"/>
    <mergeCell ref="E49:E52"/>
    <mergeCell ref="E56:E61"/>
    <mergeCell ref="D62:D64"/>
    <mergeCell ref="C65:C69"/>
    <mergeCell ref="D65:D66"/>
    <mergeCell ref="D68:D69"/>
    <mergeCell ref="B70:B133"/>
    <mergeCell ref="C70:C76"/>
    <mergeCell ref="D70:D73"/>
    <mergeCell ref="E71:E73"/>
    <mergeCell ref="D75:D76"/>
    <mergeCell ref="C77:C78"/>
    <mergeCell ref="C79:C82"/>
    <mergeCell ref="D79:D82"/>
    <mergeCell ref="C83:C93"/>
    <mergeCell ref="D84:D86"/>
    <mergeCell ref="D87:D91"/>
    <mergeCell ref="D92:D93"/>
    <mergeCell ref="C94:C100"/>
    <mergeCell ref="D94:D99"/>
    <mergeCell ref="C101:C113"/>
    <mergeCell ref="D102:D103"/>
    <mergeCell ref="D104:D105"/>
    <mergeCell ref="D106:D107"/>
    <mergeCell ref="D108:D111"/>
    <mergeCell ref="D112:D113"/>
    <mergeCell ref="C115:C120"/>
    <mergeCell ref="D115:D116"/>
    <mergeCell ref="D117:D118"/>
    <mergeCell ref="D119:D120"/>
    <mergeCell ref="C121:C123"/>
    <mergeCell ref="D121:D123"/>
    <mergeCell ref="C124:C132"/>
    <mergeCell ref="D124:D125"/>
    <mergeCell ref="D126:D131"/>
    <mergeCell ref="B134:B142"/>
    <mergeCell ref="C134:C139"/>
    <mergeCell ref="D134:D135"/>
    <mergeCell ref="D136:D137"/>
    <mergeCell ref="D138:D139"/>
    <mergeCell ref="C141:C142"/>
    <mergeCell ref="B143:B148"/>
    <mergeCell ref="C143:C146"/>
    <mergeCell ref="D145:D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2413B28A-6DA1-466F-AA18-1AFA2CBC1C41}" type="list" allowBlank="1" errorStyle="stop" imeMode="noControl" operator="between" showDropDown="0" showErrorMessage="0" showInputMessage="0">
          <x14:formula1>
            <xm:f>"High,Medium,Low,Critical"</xm:f>
          </x14:formula1>
          <xm:sqref>F13:F148</xm:sqref>
        </x14:dataValidation>
        <x14:dataValidation xr:uid="{CEFF9757-4870-49A7-99B8-5D6F0647C482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8" style="51" width="10.5703125"/>
    <col customWidth="1" min="19" max="19" style="51" width="9.5703125"/>
    <col customWidth="1" min="20" max="20" style="51" width="11.7109375"/>
    <col customWidth="1" min="21" max="21" style="51" width="9.5703125"/>
    <col customWidth="1" min="22" max="22" style="51" width="17.710937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131</v>
      </c>
      <c r="C3" s="57" t="s">
        <v>1193</v>
      </c>
      <c r="D3" s="58"/>
      <c r="E3" s="54"/>
      <c r="F3" s="54"/>
      <c r="G3" s="54"/>
      <c r="H3" s="54"/>
      <c r="I3" s="54"/>
      <c r="J3" s="54"/>
      <c r="K3" s="56" t="s">
        <v>133</v>
      </c>
      <c r="L3" s="42" t="s">
        <v>57</v>
      </c>
      <c r="M3" s="42" t="s">
        <v>58</v>
      </c>
      <c r="N3" s="42" t="s">
        <v>59</v>
      </c>
      <c r="O3" s="42" t="s">
        <v>60</v>
      </c>
      <c r="P3" s="59" t="s">
        <v>61</v>
      </c>
      <c r="Q3" s="42" t="s">
        <v>62</v>
      </c>
      <c r="R3" s="42" t="s">
        <v>63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24" customHeight="1">
      <c r="A4" s="53"/>
      <c r="B4" s="56" t="s">
        <v>134</v>
      </c>
      <c r="C4" s="66" t="s">
        <v>1194</v>
      </c>
      <c r="D4" s="61"/>
      <c r="E4" s="54"/>
      <c r="F4" s="54"/>
      <c r="G4" s="54"/>
      <c r="H4" s="54"/>
      <c r="I4" s="54"/>
      <c r="J4" s="54"/>
      <c r="K4" s="56" t="s">
        <v>136</v>
      </c>
      <c r="L4" s="62">
        <f>COUNTA($G$13:$G$74)</f>
        <v>62</v>
      </c>
      <c r="M4" s="63">
        <f>COUNTIF($M$13:$M$74,M3)</f>
        <v>0</v>
      </c>
      <c r="N4" s="63">
        <f>COUNTIF($M$13:$M$74,N3)</f>
        <v>0</v>
      </c>
      <c r="O4" s="63">
        <f>COUNTIF($M$13:$M$74,O3)</f>
        <v>0</v>
      </c>
      <c r="P4" s="64">
        <f>COUNTIF($M$13:$M$74,P3)</f>
        <v>0</v>
      </c>
      <c r="Q4" s="63">
        <f>COUNTIF($M$13:$M$74,Q3)</f>
        <v>0</v>
      </c>
      <c r="R4" s="63">
        <f>L4-SUM(M4:Q4)</f>
        <v>62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60" t="s">
        <v>1195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6">M4/$L$4</f>
        <v>0</v>
      </c>
      <c r="N5" s="67">
        <f t="shared" si="26"/>
        <v>0</v>
      </c>
      <c r="O5" s="67">
        <f t="shared" si="26"/>
        <v>0</v>
      </c>
      <c r="P5" s="68">
        <f t="shared" si="26"/>
        <v>0</v>
      </c>
      <c r="Q5" s="67">
        <f t="shared" si="26"/>
        <v>0</v>
      </c>
      <c r="R5" s="67">
        <f t="shared" si="26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138</v>
      </c>
      <c r="C6" s="69" t="s">
        <v>33</v>
      </c>
      <c r="D6" s="61"/>
      <c r="E6" s="54"/>
      <c r="F6" s="54"/>
      <c r="G6" s="54"/>
      <c r="H6" s="54"/>
      <c r="I6" s="54"/>
      <c r="J6" s="54"/>
      <c r="K6" s="56" t="s">
        <v>139</v>
      </c>
      <c r="L6" s="62">
        <f>COUNTA($G$13:$G$74)</f>
        <v>62</v>
      </c>
      <c r="M6" s="63">
        <f>COUNTIF($R$13:$R$74,M3)</f>
        <v>0</v>
      </c>
      <c r="N6" s="63">
        <f>COUNTIF($R$13:$R$74,N3)</f>
        <v>0</v>
      </c>
      <c r="O6" s="63">
        <f>COUNTIF($R$13:$R$74,O3)</f>
        <v>0</v>
      </c>
      <c r="P6" s="64">
        <f>COUNTIF($R$13:$R$74,P3)</f>
        <v>0</v>
      </c>
      <c r="Q6" s="63">
        <f>COUNTIF($R$13:$R$74,Q3)</f>
        <v>0</v>
      </c>
      <c r="R6" s="63">
        <f>L6-SUM(M6:Q6)</f>
        <v>62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5.75" customHeight="1">
      <c r="A7" s="53"/>
      <c r="B7" s="56" t="s">
        <v>17</v>
      </c>
      <c r="C7" s="91" t="s">
        <v>1196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7">M6/$L$6</f>
        <v>0</v>
      </c>
      <c r="N7" s="67">
        <f t="shared" si="27"/>
        <v>0</v>
      </c>
      <c r="O7" s="67">
        <f t="shared" si="27"/>
        <v>0</v>
      </c>
      <c r="P7" s="68">
        <f t="shared" si="27"/>
        <v>0</v>
      </c>
      <c r="Q7" s="67">
        <f t="shared" si="27"/>
        <v>0</v>
      </c>
      <c r="R7" s="67">
        <f t="shared" si="27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136</v>
      </c>
      <c r="N10" s="4"/>
      <c r="O10" s="4"/>
      <c r="P10" s="4"/>
      <c r="Q10" s="5"/>
      <c r="R10" s="56" t="s">
        <v>139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141</v>
      </c>
      <c r="C11" s="4"/>
      <c r="D11" s="5"/>
      <c r="E11" s="42"/>
      <c r="F11" s="73" t="s">
        <v>142</v>
      </c>
      <c r="G11" s="73" t="s">
        <v>143</v>
      </c>
      <c r="H11" s="73" t="s">
        <v>144</v>
      </c>
      <c r="I11" s="73" t="s">
        <v>145</v>
      </c>
      <c r="J11" s="73" t="s">
        <v>146</v>
      </c>
      <c r="K11" s="73" t="s">
        <v>147</v>
      </c>
      <c r="L11" s="73" t="s">
        <v>148</v>
      </c>
      <c r="M11" s="73" t="s">
        <v>149</v>
      </c>
      <c r="N11" s="73" t="s">
        <v>150</v>
      </c>
      <c r="O11" s="73" t="s">
        <v>151</v>
      </c>
      <c r="P11" s="74" t="s">
        <v>152</v>
      </c>
      <c r="Q11" s="73" t="s">
        <v>153</v>
      </c>
      <c r="R11" s="75" t="s">
        <v>149</v>
      </c>
      <c r="S11" s="75" t="s">
        <v>150</v>
      </c>
      <c r="T11" s="75" t="s">
        <v>151</v>
      </c>
      <c r="U11" s="75" t="s">
        <v>152</v>
      </c>
      <c r="V11" s="75" t="s">
        <v>153</v>
      </c>
      <c r="W11" s="73" t="s">
        <v>154</v>
      </c>
      <c r="X11" s="73" t="s">
        <v>155</v>
      </c>
      <c r="Y11" s="54"/>
      <c r="Z11" s="54"/>
      <c r="AA11" s="54"/>
      <c r="AB11" s="54"/>
      <c r="AC11" s="54"/>
    </row>
    <row r="12" ht="15.75" customHeight="1">
      <c r="A12" s="72" t="s">
        <v>156</v>
      </c>
      <c r="B12" s="73" t="s">
        <v>157</v>
      </c>
      <c r="C12" s="73" t="s">
        <v>158</v>
      </c>
      <c r="D12" s="73" t="s">
        <v>159</v>
      </c>
      <c r="E12" s="73" t="s">
        <v>160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48.600000000000001" customHeight="1">
      <c r="A13" s="76">
        <v>1</v>
      </c>
      <c r="B13" s="60" t="s">
        <v>66</v>
      </c>
      <c r="C13" s="60" t="s">
        <v>105</v>
      </c>
      <c r="D13" s="60" t="s">
        <v>460</v>
      </c>
      <c r="E13" s="60" t="s">
        <v>1197</v>
      </c>
      <c r="F13" s="60" t="s">
        <v>163</v>
      </c>
      <c r="G13" s="60" t="s">
        <v>164</v>
      </c>
      <c r="H13" s="60" t="s">
        <v>1198</v>
      </c>
      <c r="I13" s="60" t="s">
        <v>1199</v>
      </c>
      <c r="J13" s="60" t="s">
        <v>1200</v>
      </c>
      <c r="K13" s="60" t="s">
        <v>1201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79" t="s">
        <v>1202</v>
      </c>
      <c r="X13" s="60" t="s">
        <v>1203</v>
      </c>
      <c r="Y13" s="54"/>
      <c r="Z13" s="54"/>
      <c r="AA13" s="54"/>
      <c r="AB13" s="54"/>
      <c r="AC13" s="54"/>
    </row>
    <row r="14" ht="47.450000000000003" customHeight="1">
      <c r="A14" s="76">
        <v>2</v>
      </c>
      <c r="B14" s="77"/>
      <c r="C14" s="80"/>
      <c r="D14" s="80"/>
      <c r="E14" s="60" t="s">
        <v>1204</v>
      </c>
      <c r="F14" s="60" t="s">
        <v>163</v>
      </c>
      <c r="G14" s="60" t="s">
        <v>171</v>
      </c>
      <c r="H14" s="60" t="s">
        <v>1205</v>
      </c>
      <c r="I14" s="60" t="s">
        <v>1206</v>
      </c>
      <c r="J14" s="60" t="s">
        <v>1207</v>
      </c>
      <c r="K14" s="60" t="s">
        <v>1208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79" t="s">
        <v>1209</v>
      </c>
      <c r="X14" s="60" t="s">
        <v>1203</v>
      </c>
      <c r="Y14" s="54"/>
      <c r="Z14" s="54"/>
      <c r="AA14" s="54"/>
      <c r="AB14" s="54"/>
      <c r="AC14" s="54"/>
    </row>
    <row r="15" ht="60.950000000000003" customHeight="1">
      <c r="A15" s="76">
        <v>3</v>
      </c>
      <c r="B15" s="80"/>
      <c r="C15" s="60" t="s">
        <v>106</v>
      </c>
      <c r="D15" s="60" t="s">
        <v>473</v>
      </c>
      <c r="E15" s="60" t="s">
        <v>1210</v>
      </c>
      <c r="F15" s="60" t="s">
        <v>163</v>
      </c>
      <c r="G15" s="60" t="s">
        <v>177</v>
      </c>
      <c r="H15" s="60" t="s">
        <v>1211</v>
      </c>
      <c r="I15" s="60" t="s">
        <v>1212</v>
      </c>
      <c r="J15" s="60" t="s">
        <v>1213</v>
      </c>
      <c r="K15" s="60" t="s">
        <v>1214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 t="s">
        <v>1215</v>
      </c>
      <c r="Y15" s="54"/>
      <c r="Z15" s="54"/>
      <c r="AA15" s="54"/>
      <c r="AB15" s="54"/>
      <c r="AC15" s="54"/>
    </row>
    <row r="16" ht="87.950000000000003" customHeight="1">
      <c r="A16" s="76">
        <v>4</v>
      </c>
      <c r="B16" s="60" t="s">
        <v>107</v>
      </c>
      <c r="C16" s="60" t="s">
        <v>108</v>
      </c>
      <c r="D16" s="60" t="s">
        <v>498</v>
      </c>
      <c r="E16" s="60" t="s">
        <v>1216</v>
      </c>
      <c r="F16" s="60" t="s">
        <v>163</v>
      </c>
      <c r="G16" s="60" t="s">
        <v>186</v>
      </c>
      <c r="H16" s="60" t="s">
        <v>1217</v>
      </c>
      <c r="I16" s="60" t="s">
        <v>1218</v>
      </c>
      <c r="J16" s="60" t="s">
        <v>1219</v>
      </c>
      <c r="K16" s="60" t="s">
        <v>1220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1203</v>
      </c>
      <c r="Y16" s="54"/>
      <c r="Z16" s="54"/>
      <c r="AA16" s="54"/>
      <c r="AB16" s="54"/>
      <c r="AC16" s="54"/>
    </row>
    <row r="17" ht="128.44999999999999" customHeight="1">
      <c r="A17" s="76">
        <v>5</v>
      </c>
      <c r="B17" s="77"/>
      <c r="C17" s="80"/>
      <c r="D17" s="60" t="s">
        <v>1221</v>
      </c>
      <c r="E17" s="60" t="s">
        <v>1222</v>
      </c>
      <c r="F17" s="60" t="s">
        <v>163</v>
      </c>
      <c r="G17" s="60" t="s">
        <v>192</v>
      </c>
      <c r="H17" s="60" t="s">
        <v>1223</v>
      </c>
      <c r="I17" s="60" t="s">
        <v>1224</v>
      </c>
      <c r="J17" s="60" t="s">
        <v>1225</v>
      </c>
      <c r="K17" s="60" t="s">
        <v>1226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79" t="s">
        <v>1227</v>
      </c>
      <c r="X17" s="60" t="s">
        <v>1203</v>
      </c>
      <c r="Y17" s="54"/>
      <c r="Z17" s="54"/>
      <c r="AA17" s="54"/>
      <c r="AB17" s="54"/>
      <c r="AC17" s="54"/>
    </row>
    <row r="18" ht="75.599999999999994" customHeight="1">
      <c r="A18" s="76">
        <v>6</v>
      </c>
      <c r="B18" s="80"/>
      <c r="C18" s="60" t="s">
        <v>109</v>
      </c>
      <c r="D18" s="60" t="s">
        <v>228</v>
      </c>
      <c r="E18" s="60" t="s">
        <v>1228</v>
      </c>
      <c r="F18" s="60" t="s">
        <v>170</v>
      </c>
      <c r="G18" s="60" t="s">
        <v>197</v>
      </c>
      <c r="H18" s="60" t="s">
        <v>1229</v>
      </c>
      <c r="I18" s="60" t="s">
        <v>1230</v>
      </c>
      <c r="J18" s="60" t="s">
        <v>1231</v>
      </c>
      <c r="K18" s="60" t="s">
        <v>1232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79" t="s">
        <v>1233</v>
      </c>
      <c r="X18" s="60" t="s">
        <v>1203</v>
      </c>
      <c r="Y18" s="54"/>
      <c r="Z18" s="54"/>
      <c r="AA18" s="54"/>
      <c r="AB18" s="54"/>
      <c r="AC18" s="54"/>
    </row>
    <row r="19" ht="101.45" customHeight="1">
      <c r="A19" s="76">
        <v>7</v>
      </c>
      <c r="B19" s="60" t="s">
        <v>110</v>
      </c>
      <c r="C19" s="60" t="s">
        <v>111</v>
      </c>
      <c r="D19" s="60" t="s">
        <v>98</v>
      </c>
      <c r="E19" s="60" t="s">
        <v>1234</v>
      </c>
      <c r="F19" s="60" t="s">
        <v>163</v>
      </c>
      <c r="G19" s="60" t="s">
        <v>202</v>
      </c>
      <c r="H19" s="60" t="s">
        <v>1235</v>
      </c>
      <c r="I19" s="60" t="s">
        <v>1236</v>
      </c>
      <c r="J19" s="60" t="s">
        <v>1237</v>
      </c>
      <c r="K19" s="60" t="s">
        <v>1238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79" t="s">
        <v>1239</v>
      </c>
      <c r="X19" s="60" t="s">
        <v>1215</v>
      </c>
      <c r="Y19" s="54"/>
      <c r="Z19" s="54"/>
      <c r="AA19" s="54"/>
      <c r="AB19" s="54"/>
      <c r="AC19" s="54"/>
    </row>
    <row r="20" ht="62.100000000000001" customHeight="1">
      <c r="A20" s="76">
        <v>8</v>
      </c>
      <c r="B20" s="80"/>
      <c r="C20" s="80"/>
      <c r="D20" s="60" t="s">
        <v>1240</v>
      </c>
      <c r="E20" s="60" t="s">
        <v>1228</v>
      </c>
      <c r="F20" s="60" t="s">
        <v>170</v>
      </c>
      <c r="G20" s="60" t="s">
        <v>208</v>
      </c>
      <c r="H20" s="60" t="s">
        <v>1241</v>
      </c>
      <c r="I20" s="60" t="s">
        <v>1242</v>
      </c>
      <c r="J20" s="60" t="s">
        <v>1243</v>
      </c>
      <c r="K20" s="78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79" t="s">
        <v>1244</v>
      </c>
      <c r="X20" s="60" t="s">
        <v>1215</v>
      </c>
      <c r="Y20" s="54"/>
      <c r="Z20" s="54"/>
      <c r="AA20" s="54"/>
      <c r="AB20" s="54"/>
      <c r="AC20" s="54"/>
    </row>
    <row r="21" ht="62.100000000000001" customHeight="1">
      <c r="A21" s="76">
        <v>9</v>
      </c>
      <c r="B21" s="60" t="s">
        <v>112</v>
      </c>
      <c r="C21" s="60" t="s">
        <v>113</v>
      </c>
      <c r="D21" s="60" t="s">
        <v>498</v>
      </c>
      <c r="E21" s="60" t="s">
        <v>1245</v>
      </c>
      <c r="F21" s="60" t="s">
        <v>163</v>
      </c>
      <c r="G21" s="60" t="s">
        <v>214</v>
      </c>
      <c r="H21" s="60" t="s">
        <v>1246</v>
      </c>
      <c r="I21" s="60" t="s">
        <v>1212</v>
      </c>
      <c r="J21" s="60" t="s">
        <v>1247</v>
      </c>
      <c r="K21" s="60" t="s">
        <v>1248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 t="s">
        <v>1249</v>
      </c>
      <c r="Y21" s="54"/>
      <c r="Z21" s="54"/>
      <c r="AA21" s="54"/>
      <c r="AB21" s="54"/>
      <c r="AC21" s="54"/>
    </row>
    <row r="22" ht="60.950000000000003" customHeight="1">
      <c r="A22" s="76">
        <v>10</v>
      </c>
      <c r="B22" s="77"/>
      <c r="C22" s="80"/>
      <c r="D22" s="60" t="s">
        <v>1221</v>
      </c>
      <c r="E22" s="60" t="s">
        <v>1250</v>
      </c>
      <c r="F22" s="60" t="s">
        <v>163</v>
      </c>
      <c r="G22" s="60" t="s">
        <v>219</v>
      </c>
      <c r="H22" s="60" t="s">
        <v>1251</v>
      </c>
      <c r="I22" s="60" t="s">
        <v>1206</v>
      </c>
      <c r="J22" s="60" t="s">
        <v>1247</v>
      </c>
      <c r="K22" s="60" t="s">
        <v>1252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 t="s">
        <v>1249</v>
      </c>
      <c r="Y22" s="54"/>
      <c r="Z22" s="54"/>
      <c r="AA22" s="54"/>
      <c r="AB22" s="54"/>
      <c r="AC22" s="54"/>
    </row>
    <row r="23" ht="75.599999999999994" customHeight="1">
      <c r="A23" s="76">
        <v>11</v>
      </c>
      <c r="B23" s="77"/>
      <c r="C23" s="60" t="s">
        <v>114</v>
      </c>
      <c r="D23" s="60" t="s">
        <v>329</v>
      </c>
      <c r="E23" s="60" t="s">
        <v>1253</v>
      </c>
      <c r="F23" s="60" t="s">
        <v>163</v>
      </c>
      <c r="G23" s="60" t="s">
        <v>224</v>
      </c>
      <c r="H23" s="60" t="s">
        <v>1254</v>
      </c>
      <c r="I23" s="60" t="s">
        <v>1212</v>
      </c>
      <c r="J23" s="60" t="s">
        <v>1255</v>
      </c>
      <c r="K23" s="60" t="s">
        <v>1256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 t="s">
        <v>1249</v>
      </c>
      <c r="Y23" s="54"/>
      <c r="Z23" s="54"/>
      <c r="AA23" s="54"/>
      <c r="AB23" s="54"/>
      <c r="AC23" s="54"/>
    </row>
    <row r="24" ht="74.450000000000003" customHeight="1">
      <c r="A24" s="76">
        <v>12</v>
      </c>
      <c r="B24" s="77"/>
      <c r="C24" s="77"/>
      <c r="D24" s="77"/>
      <c r="E24" s="60" t="s">
        <v>1257</v>
      </c>
      <c r="F24" s="60" t="s">
        <v>163</v>
      </c>
      <c r="G24" s="60" t="s">
        <v>230</v>
      </c>
      <c r="H24" s="60" t="s">
        <v>1258</v>
      </c>
      <c r="I24" s="60" t="s">
        <v>1259</v>
      </c>
      <c r="J24" s="60" t="s">
        <v>1260</v>
      </c>
      <c r="K24" s="60" t="s">
        <v>1261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79" t="s">
        <v>1262</v>
      </c>
      <c r="X24" s="60" t="s">
        <v>1263</v>
      </c>
      <c r="Y24" s="54"/>
      <c r="Z24" s="54"/>
      <c r="AA24" s="54"/>
      <c r="AB24" s="54"/>
      <c r="AC24" s="54"/>
    </row>
    <row r="25" ht="74.450000000000003" customHeight="1">
      <c r="A25" s="76">
        <v>13</v>
      </c>
      <c r="B25" s="77"/>
      <c r="C25" s="77"/>
      <c r="D25" s="77"/>
      <c r="E25" s="60" t="s">
        <v>1264</v>
      </c>
      <c r="F25" s="60" t="s">
        <v>163</v>
      </c>
      <c r="G25" s="60" t="s">
        <v>235</v>
      </c>
      <c r="H25" s="60" t="s">
        <v>1265</v>
      </c>
      <c r="I25" s="60" t="s">
        <v>1259</v>
      </c>
      <c r="J25" s="60" t="s">
        <v>1266</v>
      </c>
      <c r="K25" s="60" t="s">
        <v>1267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1268</v>
      </c>
      <c r="Y25" s="54"/>
      <c r="Z25" s="54"/>
      <c r="AA25" s="54"/>
      <c r="AB25" s="54"/>
      <c r="AC25" s="54"/>
    </row>
    <row r="26" ht="62.100000000000001" customHeight="1">
      <c r="A26" s="76">
        <v>14</v>
      </c>
      <c r="B26" s="77"/>
      <c r="C26" s="77"/>
      <c r="D26" s="77"/>
      <c r="E26" s="60" t="s">
        <v>1269</v>
      </c>
      <c r="F26" s="60" t="s">
        <v>170</v>
      </c>
      <c r="G26" s="60" t="s">
        <v>241</v>
      </c>
      <c r="H26" s="60" t="s">
        <v>1270</v>
      </c>
      <c r="I26" s="60" t="s">
        <v>1271</v>
      </c>
      <c r="J26" s="60" t="s">
        <v>1272</v>
      </c>
      <c r="K26" s="78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79" t="s">
        <v>1273</v>
      </c>
      <c r="X26" s="60" t="s">
        <v>1215</v>
      </c>
      <c r="Y26" s="54"/>
      <c r="Z26" s="54"/>
      <c r="AA26" s="54"/>
      <c r="AB26" s="54"/>
      <c r="AC26" s="54"/>
    </row>
    <row r="27" ht="60.950000000000003" customHeight="1">
      <c r="A27" s="76">
        <v>15</v>
      </c>
      <c r="B27" s="77"/>
      <c r="C27" s="77"/>
      <c r="D27" s="77"/>
      <c r="E27" s="60" t="s">
        <v>99</v>
      </c>
      <c r="F27" s="60" t="s">
        <v>170</v>
      </c>
      <c r="G27" s="60" t="s">
        <v>246</v>
      </c>
      <c r="H27" s="60" t="s">
        <v>1274</v>
      </c>
      <c r="I27" s="60" t="s">
        <v>1212</v>
      </c>
      <c r="J27" s="60" t="s">
        <v>1275</v>
      </c>
      <c r="K27" s="60" t="s">
        <v>1276</v>
      </c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 t="s">
        <v>1249</v>
      </c>
      <c r="Y27" s="54"/>
      <c r="Z27" s="54"/>
      <c r="AA27" s="54"/>
      <c r="AB27" s="54"/>
      <c r="AC27" s="54"/>
    </row>
    <row r="28" ht="60.950000000000003" customHeight="1">
      <c r="A28" s="76">
        <v>16</v>
      </c>
      <c r="B28" s="77"/>
      <c r="C28" s="77"/>
      <c r="D28" s="77"/>
      <c r="E28" s="60" t="s">
        <v>498</v>
      </c>
      <c r="F28" s="60" t="s">
        <v>170</v>
      </c>
      <c r="G28" s="60" t="s">
        <v>251</v>
      </c>
      <c r="H28" s="60" t="s">
        <v>1277</v>
      </c>
      <c r="I28" s="60" t="s">
        <v>1212</v>
      </c>
      <c r="J28" s="60" t="s">
        <v>1278</v>
      </c>
      <c r="K28" s="60" t="s">
        <v>1279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 t="s">
        <v>1249</v>
      </c>
      <c r="Y28" s="54"/>
      <c r="Z28" s="54"/>
      <c r="AA28" s="54"/>
      <c r="AB28" s="54"/>
      <c r="AC28" s="54"/>
    </row>
    <row r="29" ht="75.599999999999994" customHeight="1">
      <c r="A29" s="76">
        <v>17</v>
      </c>
      <c r="B29" s="77"/>
      <c r="C29" s="77"/>
      <c r="D29" s="80"/>
      <c r="E29" s="60" t="s">
        <v>1280</v>
      </c>
      <c r="F29" s="60" t="s">
        <v>163</v>
      </c>
      <c r="G29" s="60" t="s">
        <v>257</v>
      </c>
      <c r="H29" s="60" t="s">
        <v>1281</v>
      </c>
      <c r="I29" s="60" t="s">
        <v>1206</v>
      </c>
      <c r="J29" s="60" t="s">
        <v>1282</v>
      </c>
      <c r="K29" s="60" t="s">
        <v>1283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 t="s">
        <v>1249</v>
      </c>
      <c r="Y29" s="54"/>
      <c r="Z29" s="54"/>
      <c r="AA29" s="54"/>
      <c r="AB29" s="54"/>
      <c r="AC29" s="54"/>
    </row>
    <row r="30" ht="60.950000000000003" customHeight="1">
      <c r="A30" s="76">
        <v>18</v>
      </c>
      <c r="B30" s="77"/>
      <c r="C30" s="77"/>
      <c r="D30" s="60" t="s">
        <v>353</v>
      </c>
      <c r="E30" s="60" t="s">
        <v>1284</v>
      </c>
      <c r="F30" s="60" t="s">
        <v>170</v>
      </c>
      <c r="G30" s="60" t="s">
        <v>262</v>
      </c>
      <c r="H30" s="60" t="s">
        <v>1285</v>
      </c>
      <c r="I30" s="60" t="s">
        <v>1212</v>
      </c>
      <c r="J30" s="60" t="s">
        <v>1286</v>
      </c>
      <c r="K30" s="60" t="s">
        <v>1287</v>
      </c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79" t="s">
        <v>1288</v>
      </c>
      <c r="X30" s="60" t="s">
        <v>1249</v>
      </c>
      <c r="Y30" s="54"/>
      <c r="Z30" s="54"/>
      <c r="AA30" s="54"/>
      <c r="AB30" s="54"/>
      <c r="AC30" s="54"/>
    </row>
    <row r="31" ht="62.100000000000001" customHeight="1">
      <c r="A31" s="76">
        <v>19</v>
      </c>
      <c r="B31" s="77"/>
      <c r="C31" s="77"/>
      <c r="D31" s="77"/>
      <c r="E31" s="60" t="s">
        <v>1289</v>
      </c>
      <c r="F31" s="60" t="s">
        <v>170</v>
      </c>
      <c r="G31" s="60" t="s">
        <v>268</v>
      </c>
      <c r="H31" s="60" t="s">
        <v>1290</v>
      </c>
      <c r="I31" s="60" t="s">
        <v>1212</v>
      </c>
      <c r="J31" s="60" t="s">
        <v>1291</v>
      </c>
      <c r="K31" s="60" t="s">
        <v>1287</v>
      </c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79" t="s">
        <v>1288</v>
      </c>
      <c r="X31" s="60" t="s">
        <v>1249</v>
      </c>
      <c r="Y31" s="54"/>
      <c r="Z31" s="54"/>
      <c r="AA31" s="54"/>
      <c r="AB31" s="54"/>
      <c r="AC31" s="54"/>
    </row>
    <row r="32" ht="62.100000000000001" customHeight="1">
      <c r="A32" s="76">
        <v>20</v>
      </c>
      <c r="B32" s="77"/>
      <c r="C32" s="77"/>
      <c r="D32" s="77"/>
      <c r="E32" s="60" t="s">
        <v>1292</v>
      </c>
      <c r="F32" s="60" t="s">
        <v>170</v>
      </c>
      <c r="G32" s="60" t="s">
        <v>274</v>
      </c>
      <c r="H32" s="60" t="s">
        <v>1293</v>
      </c>
      <c r="I32" s="60" t="s">
        <v>1212</v>
      </c>
      <c r="J32" s="60" t="s">
        <v>1294</v>
      </c>
      <c r="K32" s="60" t="s">
        <v>1287</v>
      </c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79" t="s">
        <v>1288</v>
      </c>
      <c r="X32" s="60" t="s">
        <v>1249</v>
      </c>
      <c r="Y32" s="54"/>
      <c r="Z32" s="54"/>
      <c r="AA32" s="54"/>
      <c r="AB32" s="54"/>
      <c r="AC32" s="54"/>
    </row>
    <row r="33" ht="62.100000000000001" customHeight="1">
      <c r="A33" s="76">
        <v>21</v>
      </c>
      <c r="B33" s="77"/>
      <c r="C33" s="77"/>
      <c r="D33" s="77"/>
      <c r="E33" s="60" t="s">
        <v>1295</v>
      </c>
      <c r="F33" s="60" t="s">
        <v>163</v>
      </c>
      <c r="G33" s="60" t="s">
        <v>278</v>
      </c>
      <c r="H33" s="60" t="s">
        <v>1296</v>
      </c>
      <c r="I33" s="60" t="s">
        <v>1212</v>
      </c>
      <c r="J33" s="60" t="s">
        <v>1297</v>
      </c>
      <c r="K33" s="78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79" t="s">
        <v>1298</v>
      </c>
      <c r="X33" s="60" t="s">
        <v>1249</v>
      </c>
      <c r="Y33" s="54"/>
      <c r="Z33" s="54"/>
      <c r="AA33" s="54"/>
      <c r="AB33" s="54"/>
      <c r="AC33" s="54"/>
    </row>
    <row r="34" ht="62.100000000000001" customHeight="1">
      <c r="A34" s="76">
        <v>22</v>
      </c>
      <c r="B34" s="77"/>
      <c r="C34" s="77"/>
      <c r="D34" s="77"/>
      <c r="E34" s="60" t="s">
        <v>1299</v>
      </c>
      <c r="F34" s="60" t="s">
        <v>170</v>
      </c>
      <c r="G34" s="60" t="s">
        <v>283</v>
      </c>
      <c r="H34" s="60" t="s">
        <v>1300</v>
      </c>
      <c r="I34" s="60" t="s">
        <v>1242</v>
      </c>
      <c r="J34" s="60" t="s">
        <v>1301</v>
      </c>
      <c r="K34" s="78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79" t="s">
        <v>1298</v>
      </c>
      <c r="X34" s="60" t="s">
        <v>1249</v>
      </c>
      <c r="Y34" s="54"/>
      <c r="Z34" s="54"/>
      <c r="AA34" s="54"/>
      <c r="AB34" s="54"/>
      <c r="AC34" s="54"/>
    </row>
    <row r="35" ht="62.100000000000001" customHeight="1">
      <c r="A35" s="76">
        <v>23</v>
      </c>
      <c r="B35" s="77"/>
      <c r="C35" s="77"/>
      <c r="D35" s="77"/>
      <c r="E35" s="60" t="s">
        <v>1302</v>
      </c>
      <c r="F35" s="60" t="s">
        <v>170</v>
      </c>
      <c r="G35" s="60" t="s">
        <v>288</v>
      </c>
      <c r="H35" s="60" t="s">
        <v>1303</v>
      </c>
      <c r="I35" s="60" t="s">
        <v>1212</v>
      </c>
      <c r="J35" s="60" t="s">
        <v>1304</v>
      </c>
      <c r="K35" s="78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79" t="s">
        <v>1298</v>
      </c>
      <c r="X35" s="60" t="s">
        <v>1249</v>
      </c>
      <c r="Y35" s="54"/>
      <c r="Z35" s="54"/>
      <c r="AA35" s="54"/>
      <c r="AB35" s="54"/>
      <c r="AC35" s="54"/>
    </row>
    <row r="36" ht="62.100000000000001" customHeight="1">
      <c r="A36" s="76">
        <v>24</v>
      </c>
      <c r="B36" s="77"/>
      <c r="C36" s="80"/>
      <c r="D36" s="80"/>
      <c r="E36" s="60" t="s">
        <v>1305</v>
      </c>
      <c r="F36" s="60" t="s">
        <v>185</v>
      </c>
      <c r="G36" s="60" t="s">
        <v>292</v>
      </c>
      <c r="H36" s="60" t="s">
        <v>1306</v>
      </c>
      <c r="I36" s="60" t="s">
        <v>1212</v>
      </c>
      <c r="J36" s="60" t="s">
        <v>1307</v>
      </c>
      <c r="K36" s="60" t="s">
        <v>1287</v>
      </c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 t="s">
        <v>1249</v>
      </c>
      <c r="Y36" s="54"/>
      <c r="Z36" s="54"/>
      <c r="AA36" s="54"/>
      <c r="AB36" s="54"/>
      <c r="AC36" s="54"/>
    </row>
    <row r="37" ht="62.100000000000001" customHeight="1">
      <c r="A37" s="76">
        <v>25</v>
      </c>
      <c r="B37" s="77"/>
      <c r="C37" s="60" t="s">
        <v>115</v>
      </c>
      <c r="D37" s="60" t="s">
        <v>1308</v>
      </c>
      <c r="E37" s="60" t="s">
        <v>1309</v>
      </c>
      <c r="F37" s="60" t="s">
        <v>163</v>
      </c>
      <c r="G37" s="60" t="s">
        <v>295</v>
      </c>
      <c r="H37" s="60" t="s">
        <v>1310</v>
      </c>
      <c r="I37" s="60" t="s">
        <v>1242</v>
      </c>
      <c r="J37" s="60" t="s">
        <v>1311</v>
      </c>
      <c r="K37" s="60" t="s">
        <v>1312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 t="s">
        <v>1249</v>
      </c>
      <c r="Y37" s="54"/>
      <c r="Z37" s="54"/>
      <c r="AA37" s="54"/>
      <c r="AB37" s="54"/>
      <c r="AC37" s="54"/>
    </row>
    <row r="38" ht="62.100000000000001" customHeight="1">
      <c r="A38" s="76">
        <v>26</v>
      </c>
      <c r="B38" s="77"/>
      <c r="C38" s="77"/>
      <c r="D38" s="80"/>
      <c r="E38" s="60" t="s">
        <v>1313</v>
      </c>
      <c r="F38" s="60" t="s">
        <v>170</v>
      </c>
      <c r="G38" s="60" t="s">
        <v>299</v>
      </c>
      <c r="H38" s="60" t="s">
        <v>1314</v>
      </c>
      <c r="I38" s="60" t="s">
        <v>1315</v>
      </c>
      <c r="J38" s="60" t="s">
        <v>1316</v>
      </c>
      <c r="K38" s="78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79" t="s">
        <v>1317</v>
      </c>
      <c r="X38" s="60" t="s">
        <v>1249</v>
      </c>
      <c r="Y38" s="54"/>
      <c r="Z38" s="54"/>
      <c r="AA38" s="54"/>
      <c r="AB38" s="54"/>
      <c r="AC38" s="54"/>
    </row>
    <row r="39" ht="62.100000000000001" customHeight="1">
      <c r="A39" s="76">
        <v>27</v>
      </c>
      <c r="B39" s="77"/>
      <c r="C39" s="77"/>
      <c r="D39" s="60" t="s">
        <v>1318</v>
      </c>
      <c r="E39" s="60" t="s">
        <v>1319</v>
      </c>
      <c r="F39" s="60" t="s">
        <v>163</v>
      </c>
      <c r="G39" s="60" t="s">
        <v>304</v>
      </c>
      <c r="H39" s="60" t="s">
        <v>1320</v>
      </c>
      <c r="I39" s="60" t="s">
        <v>1242</v>
      </c>
      <c r="J39" s="60" t="s">
        <v>1321</v>
      </c>
      <c r="K39" s="78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79" t="s">
        <v>1322</v>
      </c>
      <c r="X39" s="60" t="s">
        <v>1249</v>
      </c>
      <c r="Y39" s="54"/>
      <c r="Z39" s="54"/>
      <c r="AA39" s="54"/>
      <c r="AB39" s="54"/>
      <c r="AC39" s="54"/>
    </row>
    <row r="40" ht="62.100000000000001" customHeight="1">
      <c r="A40" s="76">
        <v>28</v>
      </c>
      <c r="B40" s="80"/>
      <c r="C40" s="80"/>
      <c r="D40" s="80"/>
      <c r="E40" s="60" t="s">
        <v>1323</v>
      </c>
      <c r="F40" s="60" t="s">
        <v>163</v>
      </c>
      <c r="G40" s="60" t="s">
        <v>309</v>
      </c>
      <c r="H40" s="60" t="s">
        <v>1324</v>
      </c>
      <c r="I40" s="60" t="s">
        <v>1325</v>
      </c>
      <c r="J40" s="60" t="s">
        <v>1326</v>
      </c>
      <c r="K40" s="60" t="s">
        <v>1327</v>
      </c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79" t="s">
        <v>1328</v>
      </c>
      <c r="X40" s="60" t="s">
        <v>1249</v>
      </c>
      <c r="Y40" s="54"/>
      <c r="Z40" s="54"/>
      <c r="AA40" s="54"/>
      <c r="AB40" s="54"/>
      <c r="AC40" s="54"/>
    </row>
    <row r="41" ht="60.950000000000003" customHeight="1">
      <c r="A41" s="76">
        <v>29</v>
      </c>
      <c r="B41" s="60" t="s">
        <v>116</v>
      </c>
      <c r="C41" s="60" t="s">
        <v>116</v>
      </c>
      <c r="D41" s="60" t="s">
        <v>329</v>
      </c>
      <c r="E41" s="60" t="s">
        <v>1329</v>
      </c>
      <c r="F41" s="60" t="s">
        <v>163</v>
      </c>
      <c r="G41" s="60" t="s">
        <v>314</v>
      </c>
      <c r="H41" s="60" t="s">
        <v>1330</v>
      </c>
      <c r="I41" s="60" t="s">
        <v>1212</v>
      </c>
      <c r="J41" s="60" t="s">
        <v>1331</v>
      </c>
      <c r="K41" s="60" t="s">
        <v>1332</v>
      </c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 t="s">
        <v>1333</v>
      </c>
      <c r="Y41" s="54"/>
      <c r="Z41" s="54"/>
      <c r="AA41" s="54"/>
      <c r="AB41" s="54"/>
      <c r="AC41" s="54"/>
    </row>
    <row r="42" ht="74.450000000000003" customHeight="1">
      <c r="A42" s="76">
        <v>30</v>
      </c>
      <c r="B42" s="77"/>
      <c r="C42" s="77"/>
      <c r="D42" s="77"/>
      <c r="E42" s="60" t="s">
        <v>1334</v>
      </c>
      <c r="F42" s="60" t="s">
        <v>163</v>
      </c>
      <c r="G42" s="60" t="s">
        <v>320</v>
      </c>
      <c r="H42" s="60" t="s">
        <v>1335</v>
      </c>
      <c r="I42" s="60" t="s">
        <v>1336</v>
      </c>
      <c r="J42" s="60" t="s">
        <v>1337</v>
      </c>
      <c r="K42" s="60" t="s">
        <v>1338</v>
      </c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 t="s">
        <v>1333</v>
      </c>
      <c r="Y42" s="54"/>
      <c r="Z42" s="54"/>
      <c r="AA42" s="54"/>
      <c r="AB42" s="54"/>
      <c r="AC42" s="54"/>
    </row>
    <row r="43" ht="114.95" customHeight="1">
      <c r="A43" s="76">
        <v>31</v>
      </c>
      <c r="B43" s="77"/>
      <c r="C43" s="77"/>
      <c r="D43" s="77"/>
      <c r="E43" s="60" t="s">
        <v>1339</v>
      </c>
      <c r="F43" s="60" t="s">
        <v>170</v>
      </c>
      <c r="G43" s="60" t="s">
        <v>325</v>
      </c>
      <c r="H43" s="60" t="s">
        <v>1340</v>
      </c>
      <c r="I43" s="60" t="s">
        <v>1341</v>
      </c>
      <c r="J43" s="60" t="s">
        <v>1342</v>
      </c>
      <c r="K43" s="78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79" t="s">
        <v>1343</v>
      </c>
      <c r="X43" s="60" t="s">
        <v>1333</v>
      </c>
      <c r="Y43" s="54"/>
      <c r="Z43" s="54"/>
      <c r="AA43" s="54"/>
      <c r="AB43" s="54"/>
      <c r="AC43" s="54"/>
    </row>
    <row r="44" ht="74.450000000000003" customHeight="1">
      <c r="A44" s="76">
        <v>32</v>
      </c>
      <c r="B44" s="77"/>
      <c r="C44" s="77"/>
      <c r="D44" s="77"/>
      <c r="E44" s="60" t="s">
        <v>1344</v>
      </c>
      <c r="F44" s="60" t="s">
        <v>163</v>
      </c>
      <c r="G44" s="60" t="s">
        <v>331</v>
      </c>
      <c r="H44" s="60" t="s">
        <v>1345</v>
      </c>
      <c r="I44" s="60" t="s">
        <v>1346</v>
      </c>
      <c r="J44" s="60" t="s">
        <v>1347</v>
      </c>
      <c r="K44" s="60" t="s">
        <v>1348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 t="s">
        <v>1333</v>
      </c>
      <c r="Y44" s="54"/>
      <c r="Z44" s="54"/>
      <c r="AA44" s="54"/>
      <c r="AB44" s="54"/>
      <c r="AC44" s="54"/>
    </row>
    <row r="45" ht="47.450000000000003" customHeight="1">
      <c r="A45" s="76">
        <v>33</v>
      </c>
      <c r="B45" s="77"/>
      <c r="C45" s="77"/>
      <c r="D45" s="80"/>
      <c r="E45" s="60" t="s">
        <v>1349</v>
      </c>
      <c r="F45" s="60" t="s">
        <v>170</v>
      </c>
      <c r="G45" s="60" t="s">
        <v>337</v>
      </c>
      <c r="H45" s="60" t="s">
        <v>1350</v>
      </c>
      <c r="I45" s="60" t="s">
        <v>1206</v>
      </c>
      <c r="J45" s="60" t="s">
        <v>1351</v>
      </c>
      <c r="K45" s="60" t="s">
        <v>1352</v>
      </c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 t="s">
        <v>1333</v>
      </c>
      <c r="Y45" s="54"/>
      <c r="Z45" s="54"/>
      <c r="AA45" s="54"/>
      <c r="AB45" s="54"/>
      <c r="AC45" s="54"/>
    </row>
    <row r="46" ht="74.450000000000003" customHeight="1">
      <c r="A46" s="76">
        <v>34</v>
      </c>
      <c r="B46" s="77"/>
      <c r="C46" s="77"/>
      <c r="D46" s="60" t="s">
        <v>353</v>
      </c>
      <c r="E46" s="60" t="s">
        <v>1353</v>
      </c>
      <c r="F46" s="60" t="s">
        <v>163</v>
      </c>
      <c r="G46" s="60" t="s">
        <v>343</v>
      </c>
      <c r="H46" s="60" t="s">
        <v>1354</v>
      </c>
      <c r="I46" s="60" t="s">
        <v>1355</v>
      </c>
      <c r="J46" s="60" t="s">
        <v>1356</v>
      </c>
      <c r="K46" s="60" t="s">
        <v>1357</v>
      </c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79" t="s">
        <v>1358</v>
      </c>
      <c r="X46" s="60" t="s">
        <v>1333</v>
      </c>
      <c r="Y46" s="54"/>
      <c r="Z46" s="54"/>
      <c r="AA46" s="54"/>
      <c r="AB46" s="54"/>
      <c r="AC46" s="54"/>
    </row>
    <row r="47" ht="60.950000000000003" customHeight="1">
      <c r="A47" s="76">
        <v>35</v>
      </c>
      <c r="B47" s="77"/>
      <c r="C47" s="77"/>
      <c r="D47" s="80"/>
      <c r="E47" s="60" t="s">
        <v>1359</v>
      </c>
      <c r="F47" s="60" t="s">
        <v>185</v>
      </c>
      <c r="G47" s="60" t="s">
        <v>348</v>
      </c>
      <c r="H47" s="60" t="s">
        <v>1360</v>
      </c>
      <c r="I47" s="60" t="s">
        <v>1212</v>
      </c>
      <c r="J47" s="60" t="s">
        <v>1361</v>
      </c>
      <c r="K47" s="60" t="s">
        <v>1362</v>
      </c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 t="s">
        <v>1333</v>
      </c>
      <c r="Y47" s="54"/>
      <c r="Z47" s="54"/>
      <c r="AA47" s="54"/>
      <c r="AB47" s="54"/>
      <c r="AC47" s="54"/>
    </row>
    <row r="48" ht="62.100000000000001" customHeight="1">
      <c r="A48" s="76">
        <v>36</v>
      </c>
      <c r="B48" s="77"/>
      <c r="C48" s="77"/>
      <c r="D48" s="60" t="s">
        <v>1363</v>
      </c>
      <c r="E48" s="60" t="s">
        <v>1364</v>
      </c>
      <c r="F48" s="60" t="s">
        <v>170</v>
      </c>
      <c r="G48" s="60" t="s">
        <v>355</v>
      </c>
      <c r="H48" s="60" t="s">
        <v>1365</v>
      </c>
      <c r="I48" s="60" t="s">
        <v>1346</v>
      </c>
      <c r="J48" s="60" t="s">
        <v>1356</v>
      </c>
      <c r="K48" s="78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79" t="s">
        <v>1366</v>
      </c>
      <c r="X48" s="60" t="s">
        <v>1333</v>
      </c>
      <c r="Y48" s="54"/>
      <c r="Z48" s="54"/>
      <c r="AA48" s="54"/>
      <c r="AB48" s="54"/>
      <c r="AC48" s="54"/>
    </row>
    <row r="49" ht="62.100000000000001" customHeight="1">
      <c r="A49" s="76">
        <v>37</v>
      </c>
      <c r="B49" s="80"/>
      <c r="C49" s="80"/>
      <c r="D49" s="60" t="s">
        <v>1367</v>
      </c>
      <c r="E49" s="60" t="s">
        <v>1368</v>
      </c>
      <c r="F49" s="60" t="s">
        <v>163</v>
      </c>
      <c r="G49" s="60" t="s">
        <v>361</v>
      </c>
      <c r="H49" s="60" t="s">
        <v>1369</v>
      </c>
      <c r="I49" s="60" t="s">
        <v>1370</v>
      </c>
      <c r="J49" s="60" t="s">
        <v>1371</v>
      </c>
      <c r="K49" s="78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79" t="s">
        <v>1372</v>
      </c>
      <c r="X49" s="60" t="s">
        <v>1333</v>
      </c>
      <c r="Y49" s="54"/>
      <c r="Z49" s="54"/>
      <c r="AA49" s="54"/>
      <c r="AB49" s="54"/>
      <c r="AC49" s="54"/>
    </row>
    <row r="50" ht="62.100000000000001" customHeight="1">
      <c r="A50" s="76">
        <v>38</v>
      </c>
      <c r="B50" s="60" t="s">
        <v>117</v>
      </c>
      <c r="C50" s="60" t="s">
        <v>118</v>
      </c>
      <c r="D50" s="60" t="s">
        <v>329</v>
      </c>
      <c r="E50" s="60" t="s">
        <v>1373</v>
      </c>
      <c r="F50" s="60" t="s">
        <v>163</v>
      </c>
      <c r="G50" s="60" t="s">
        <v>367</v>
      </c>
      <c r="H50" s="60" t="s">
        <v>1374</v>
      </c>
      <c r="I50" s="60" t="s">
        <v>1375</v>
      </c>
      <c r="J50" s="60" t="s">
        <v>1376</v>
      </c>
      <c r="K50" s="60" t="s">
        <v>1377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 t="s">
        <v>1378</v>
      </c>
      <c r="Y50" s="54"/>
      <c r="Z50" s="54"/>
      <c r="AA50" s="54"/>
      <c r="AB50" s="54"/>
      <c r="AC50" s="54"/>
    </row>
    <row r="51" ht="74.450000000000003" customHeight="1">
      <c r="A51" s="76">
        <v>39</v>
      </c>
      <c r="B51" s="77"/>
      <c r="C51" s="77"/>
      <c r="D51" s="77"/>
      <c r="E51" s="60" t="s">
        <v>1379</v>
      </c>
      <c r="F51" s="60" t="s">
        <v>163</v>
      </c>
      <c r="G51" s="60" t="s">
        <v>375</v>
      </c>
      <c r="H51" s="60" t="s">
        <v>1380</v>
      </c>
      <c r="I51" s="60" t="s">
        <v>1381</v>
      </c>
      <c r="J51" s="60" t="s">
        <v>1382</v>
      </c>
      <c r="K51" s="60" t="s">
        <v>1383</v>
      </c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 t="s">
        <v>1378</v>
      </c>
      <c r="Y51" s="54"/>
      <c r="Z51" s="54"/>
      <c r="AA51" s="54"/>
      <c r="AB51" s="54"/>
      <c r="AC51" s="54"/>
    </row>
    <row r="52" ht="101.45" customHeight="1">
      <c r="A52" s="76">
        <v>40</v>
      </c>
      <c r="B52" s="77"/>
      <c r="C52" s="77"/>
      <c r="D52" s="77"/>
      <c r="E52" s="60" t="s">
        <v>1384</v>
      </c>
      <c r="F52" s="60" t="s">
        <v>170</v>
      </c>
      <c r="G52" s="60" t="s">
        <v>381</v>
      </c>
      <c r="H52" s="60" t="s">
        <v>1385</v>
      </c>
      <c r="I52" s="60" t="s">
        <v>1386</v>
      </c>
      <c r="J52" s="60" t="s">
        <v>1387</v>
      </c>
      <c r="K52" s="60" t="s">
        <v>1388</v>
      </c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 t="s">
        <v>1378</v>
      </c>
      <c r="Y52" s="54"/>
      <c r="Z52" s="54"/>
      <c r="AA52" s="54"/>
      <c r="AB52" s="54"/>
      <c r="AC52" s="54"/>
    </row>
    <row r="53" ht="74.450000000000003" customHeight="1">
      <c r="A53" s="76">
        <v>41</v>
      </c>
      <c r="B53" s="77"/>
      <c r="C53" s="77"/>
      <c r="D53" s="77"/>
      <c r="E53" s="60" t="s">
        <v>1389</v>
      </c>
      <c r="F53" s="60" t="s">
        <v>170</v>
      </c>
      <c r="G53" s="60" t="s">
        <v>386</v>
      </c>
      <c r="H53" s="60" t="s">
        <v>1390</v>
      </c>
      <c r="I53" s="60" t="s">
        <v>1391</v>
      </c>
      <c r="J53" s="60" t="s">
        <v>1392</v>
      </c>
      <c r="K53" s="60" t="s">
        <v>1393</v>
      </c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 t="s">
        <v>1378</v>
      </c>
      <c r="Y53" s="54"/>
      <c r="Z53" s="54"/>
      <c r="AA53" s="54"/>
      <c r="AB53" s="54"/>
      <c r="AC53" s="54"/>
    </row>
    <row r="54" ht="75.599999999999994" customHeight="1">
      <c r="A54" s="76">
        <v>42</v>
      </c>
      <c r="B54" s="77"/>
      <c r="C54" s="77"/>
      <c r="D54" s="80"/>
      <c r="E54" s="60" t="s">
        <v>1394</v>
      </c>
      <c r="F54" s="60" t="s">
        <v>170</v>
      </c>
      <c r="G54" s="60" t="s">
        <v>394</v>
      </c>
      <c r="H54" s="60" t="s">
        <v>1395</v>
      </c>
      <c r="I54" s="60" t="s">
        <v>1230</v>
      </c>
      <c r="J54" s="60" t="s">
        <v>1396</v>
      </c>
      <c r="K54" s="60" t="s">
        <v>1397</v>
      </c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 t="s">
        <v>1378</v>
      </c>
      <c r="Y54" s="54"/>
      <c r="Z54" s="54"/>
      <c r="AA54" s="54"/>
      <c r="AB54" s="54"/>
      <c r="AC54" s="54"/>
    </row>
    <row r="55" ht="60.950000000000003" customHeight="1">
      <c r="A55" s="76">
        <v>43</v>
      </c>
      <c r="B55" s="77"/>
      <c r="C55" s="80"/>
      <c r="D55" s="60" t="s">
        <v>353</v>
      </c>
      <c r="E55" s="60" t="s">
        <v>1359</v>
      </c>
      <c r="F55" s="60" t="s">
        <v>185</v>
      </c>
      <c r="G55" s="60" t="s">
        <v>399</v>
      </c>
      <c r="H55" s="60" t="s">
        <v>1398</v>
      </c>
      <c r="I55" s="60" t="s">
        <v>1212</v>
      </c>
      <c r="J55" s="60" t="s">
        <v>1399</v>
      </c>
      <c r="K55" s="60" t="s">
        <v>1400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 t="s">
        <v>1378</v>
      </c>
      <c r="Y55" s="54"/>
      <c r="Z55" s="54"/>
      <c r="AA55" s="54"/>
      <c r="AB55" s="54"/>
      <c r="AC55" s="54"/>
    </row>
    <row r="56" ht="62.100000000000001" customHeight="1">
      <c r="A56" s="76">
        <v>44</v>
      </c>
      <c r="B56" s="77"/>
      <c r="C56" s="60" t="s">
        <v>119</v>
      </c>
      <c r="D56" s="60" t="s">
        <v>329</v>
      </c>
      <c r="E56" s="60" t="s">
        <v>1373</v>
      </c>
      <c r="F56" s="60" t="s">
        <v>163</v>
      </c>
      <c r="G56" s="60" t="s">
        <v>404</v>
      </c>
      <c r="H56" s="60" t="s">
        <v>1401</v>
      </c>
      <c r="I56" s="60" t="s">
        <v>1375</v>
      </c>
      <c r="J56" s="60" t="s">
        <v>1402</v>
      </c>
      <c r="K56" s="60" t="s">
        <v>1403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79" t="s">
        <v>1404</v>
      </c>
      <c r="X56" s="60" t="s">
        <v>1378</v>
      </c>
      <c r="Y56" s="54"/>
      <c r="Z56" s="54"/>
      <c r="AA56" s="54"/>
      <c r="AB56" s="54"/>
      <c r="AC56" s="54"/>
    </row>
    <row r="57" ht="74.450000000000003" customHeight="1">
      <c r="A57" s="76">
        <v>45</v>
      </c>
      <c r="B57" s="77"/>
      <c r="C57" s="77"/>
      <c r="D57" s="77"/>
      <c r="E57" s="60" t="s">
        <v>1405</v>
      </c>
      <c r="F57" s="60" t="s">
        <v>163</v>
      </c>
      <c r="G57" s="60" t="s">
        <v>410</v>
      </c>
      <c r="H57" s="60" t="s">
        <v>1406</v>
      </c>
      <c r="I57" s="60" t="s">
        <v>1407</v>
      </c>
      <c r="J57" s="60" t="s">
        <v>1408</v>
      </c>
      <c r="K57" s="60" t="s">
        <v>1409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79" t="s">
        <v>1410</v>
      </c>
      <c r="X57" s="60" t="s">
        <v>1378</v>
      </c>
      <c r="Y57" s="54"/>
      <c r="Z57" s="54"/>
      <c r="AA57" s="54"/>
      <c r="AB57" s="54"/>
      <c r="AC57" s="54"/>
    </row>
    <row r="58" ht="101.45" customHeight="1">
      <c r="A58" s="76">
        <v>46</v>
      </c>
      <c r="B58" s="77"/>
      <c r="C58" s="77"/>
      <c r="D58" s="80"/>
      <c r="E58" s="60" t="s">
        <v>1411</v>
      </c>
      <c r="F58" s="60" t="s">
        <v>170</v>
      </c>
      <c r="G58" s="60" t="s">
        <v>415</v>
      </c>
      <c r="H58" s="60" t="s">
        <v>1412</v>
      </c>
      <c r="I58" s="60" t="s">
        <v>1413</v>
      </c>
      <c r="J58" s="60" t="s">
        <v>1387</v>
      </c>
      <c r="K58" s="60" t="s">
        <v>1414</v>
      </c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 t="s">
        <v>1378</v>
      </c>
      <c r="Y58" s="54"/>
      <c r="Z58" s="54"/>
      <c r="AA58" s="54"/>
      <c r="AB58" s="54"/>
      <c r="AC58" s="54"/>
    </row>
    <row r="59" ht="62.100000000000001" customHeight="1">
      <c r="A59" s="76">
        <v>47</v>
      </c>
      <c r="B59" s="77"/>
      <c r="C59" s="80"/>
      <c r="D59" s="60" t="s">
        <v>353</v>
      </c>
      <c r="E59" s="60" t="s">
        <v>1359</v>
      </c>
      <c r="F59" s="60" t="s">
        <v>185</v>
      </c>
      <c r="G59" s="60" t="s">
        <v>421</v>
      </c>
      <c r="H59" s="60" t="s">
        <v>1415</v>
      </c>
      <c r="I59" s="60" t="s">
        <v>1375</v>
      </c>
      <c r="J59" s="60" t="s">
        <v>1416</v>
      </c>
      <c r="K59" s="60" t="s">
        <v>1417</v>
      </c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 t="s">
        <v>1378</v>
      </c>
      <c r="Y59" s="54"/>
      <c r="Z59" s="54"/>
      <c r="AA59" s="54"/>
      <c r="AB59" s="54"/>
      <c r="AC59" s="54"/>
    </row>
    <row r="60" ht="62.100000000000001" customHeight="1">
      <c r="A60" s="76">
        <v>48</v>
      </c>
      <c r="B60" s="77"/>
      <c r="C60" s="60" t="s">
        <v>120</v>
      </c>
      <c r="D60" s="60" t="s">
        <v>498</v>
      </c>
      <c r="E60" s="60" t="s">
        <v>1418</v>
      </c>
      <c r="F60" s="60" t="s">
        <v>170</v>
      </c>
      <c r="G60" s="60" t="s">
        <v>428</v>
      </c>
      <c r="H60" s="60" t="s">
        <v>1419</v>
      </c>
      <c r="I60" s="60" t="s">
        <v>1346</v>
      </c>
      <c r="J60" s="60" t="s">
        <v>1420</v>
      </c>
      <c r="K60" s="60" t="s">
        <v>1421</v>
      </c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 t="s">
        <v>1378</v>
      </c>
      <c r="Y60" s="54"/>
      <c r="Z60" s="54"/>
      <c r="AA60" s="54"/>
      <c r="AB60" s="54"/>
      <c r="AC60" s="54"/>
    </row>
    <row r="61" ht="35.100000000000001" customHeight="1">
      <c r="A61" s="76">
        <v>49</v>
      </c>
      <c r="B61" s="80"/>
      <c r="C61" s="80"/>
      <c r="D61" s="60" t="s">
        <v>99</v>
      </c>
      <c r="E61" s="60" t="s">
        <v>1422</v>
      </c>
      <c r="F61" s="60" t="s">
        <v>170</v>
      </c>
      <c r="G61" s="60" t="s">
        <v>433</v>
      </c>
      <c r="H61" s="60" t="s">
        <v>1423</v>
      </c>
      <c r="I61" s="60" t="s">
        <v>1212</v>
      </c>
      <c r="J61" s="60" t="s">
        <v>1424</v>
      </c>
      <c r="K61" s="78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79" t="s">
        <v>1425</v>
      </c>
      <c r="X61" s="60" t="s">
        <v>1378</v>
      </c>
      <c r="Y61" s="54"/>
      <c r="Z61" s="54"/>
      <c r="AA61" s="54"/>
      <c r="AB61" s="54"/>
      <c r="AC61" s="54"/>
    </row>
    <row r="62" ht="62.100000000000001" customHeight="1">
      <c r="A62" s="76">
        <v>50</v>
      </c>
      <c r="B62" s="60" t="s">
        <v>121</v>
      </c>
      <c r="C62" s="60" t="s">
        <v>122</v>
      </c>
      <c r="D62" s="60" t="s">
        <v>498</v>
      </c>
      <c r="E62" s="60" t="s">
        <v>1426</v>
      </c>
      <c r="F62" s="60" t="s">
        <v>170</v>
      </c>
      <c r="G62" s="60" t="s">
        <v>439</v>
      </c>
      <c r="H62" s="60" t="s">
        <v>1427</v>
      </c>
      <c r="I62" s="60" t="s">
        <v>1212</v>
      </c>
      <c r="J62" s="60" t="s">
        <v>1428</v>
      </c>
      <c r="K62" s="60" t="s">
        <v>1429</v>
      </c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79" t="s">
        <v>1430</v>
      </c>
      <c r="X62" s="60" t="s">
        <v>1431</v>
      </c>
      <c r="Y62" s="54"/>
      <c r="Z62" s="54"/>
      <c r="AA62" s="54"/>
      <c r="AB62" s="54"/>
      <c r="AC62" s="54"/>
    </row>
    <row r="63" ht="62.100000000000001" customHeight="1">
      <c r="A63" s="76">
        <v>51</v>
      </c>
      <c r="B63" s="80"/>
      <c r="C63" s="80"/>
      <c r="D63" s="60" t="s">
        <v>1221</v>
      </c>
      <c r="E63" s="60" t="s">
        <v>1426</v>
      </c>
      <c r="F63" s="60" t="s">
        <v>170</v>
      </c>
      <c r="G63" s="60" t="s">
        <v>445</v>
      </c>
      <c r="H63" s="60" t="s">
        <v>1432</v>
      </c>
      <c r="I63" s="60" t="s">
        <v>1206</v>
      </c>
      <c r="J63" s="60" t="s">
        <v>1428</v>
      </c>
      <c r="K63" s="60" t="s">
        <v>1429</v>
      </c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79" t="s">
        <v>1430</v>
      </c>
      <c r="X63" s="60" t="s">
        <v>1431</v>
      </c>
      <c r="Y63" s="54"/>
      <c r="Z63" s="54"/>
      <c r="AA63" s="54"/>
      <c r="AB63" s="54"/>
      <c r="AC63" s="54"/>
    </row>
    <row r="64" ht="35.100000000000001" customHeight="1">
      <c r="A64" s="76">
        <v>52</v>
      </c>
      <c r="B64" s="60" t="s">
        <v>97</v>
      </c>
      <c r="C64" s="60" t="s">
        <v>98</v>
      </c>
      <c r="D64" s="60" t="s">
        <v>1433</v>
      </c>
      <c r="E64" s="60" t="s">
        <v>1434</v>
      </c>
      <c r="F64" s="60" t="s">
        <v>163</v>
      </c>
      <c r="G64" s="60" t="s">
        <v>451</v>
      </c>
      <c r="H64" s="60" t="s">
        <v>1435</v>
      </c>
      <c r="I64" s="60" t="s">
        <v>1436</v>
      </c>
      <c r="J64" s="60" t="s">
        <v>1437</v>
      </c>
      <c r="K64" s="60" t="s">
        <v>1438</v>
      </c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 t="s">
        <v>1203</v>
      </c>
      <c r="Y64" s="54"/>
      <c r="Z64" s="54"/>
      <c r="AA64" s="54"/>
      <c r="AB64" s="54"/>
      <c r="AC64" s="54"/>
    </row>
    <row r="65" ht="35.100000000000001" customHeight="1">
      <c r="A65" s="76">
        <v>53</v>
      </c>
      <c r="B65" s="77"/>
      <c r="C65" s="77"/>
      <c r="D65" s="60" t="s">
        <v>1167</v>
      </c>
      <c r="E65" s="60" t="s">
        <v>1439</v>
      </c>
      <c r="F65" s="60" t="s">
        <v>163</v>
      </c>
      <c r="G65" s="60" t="s">
        <v>1440</v>
      </c>
      <c r="H65" s="60" t="s">
        <v>1441</v>
      </c>
      <c r="I65" s="60" t="s">
        <v>1436</v>
      </c>
      <c r="J65" s="60" t="s">
        <v>1442</v>
      </c>
      <c r="K65" s="60" t="s">
        <v>1443</v>
      </c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79" t="s">
        <v>1444</v>
      </c>
      <c r="X65" s="60" t="s">
        <v>1445</v>
      </c>
      <c r="Y65" s="54"/>
      <c r="Z65" s="54"/>
      <c r="AA65" s="54"/>
      <c r="AB65" s="54"/>
      <c r="AC65" s="54"/>
    </row>
    <row r="66" ht="62.100000000000001" customHeight="1">
      <c r="A66" s="76">
        <v>54</v>
      </c>
      <c r="B66" s="77"/>
      <c r="C66" s="80"/>
      <c r="D66" s="60" t="s">
        <v>1129</v>
      </c>
      <c r="E66" s="60" t="s">
        <v>1446</v>
      </c>
      <c r="F66" s="60" t="s">
        <v>163</v>
      </c>
      <c r="G66" s="60" t="s">
        <v>1447</v>
      </c>
      <c r="H66" s="60" t="s">
        <v>1448</v>
      </c>
      <c r="I66" s="60" t="s">
        <v>1436</v>
      </c>
      <c r="J66" s="60" t="s">
        <v>1449</v>
      </c>
      <c r="K66" s="60" t="s">
        <v>1139</v>
      </c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 t="s">
        <v>1445</v>
      </c>
      <c r="Y66" s="54"/>
      <c r="Z66" s="54"/>
      <c r="AA66" s="54"/>
      <c r="AB66" s="54"/>
      <c r="AC66" s="54"/>
    </row>
    <row r="67" ht="48.600000000000001" customHeight="1">
      <c r="A67" s="76">
        <v>55</v>
      </c>
      <c r="B67" s="77"/>
      <c r="C67" s="60" t="s">
        <v>99</v>
      </c>
      <c r="D67" s="60" t="s">
        <v>1450</v>
      </c>
      <c r="E67" s="60" t="s">
        <v>1451</v>
      </c>
      <c r="F67" s="60" t="s">
        <v>163</v>
      </c>
      <c r="G67" s="60" t="s">
        <v>1452</v>
      </c>
      <c r="H67" s="60" t="s">
        <v>1453</v>
      </c>
      <c r="I67" s="60" t="s">
        <v>1144</v>
      </c>
      <c r="J67" s="60" t="s">
        <v>1454</v>
      </c>
      <c r="K67" s="60" t="s">
        <v>1455</v>
      </c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 t="s">
        <v>1445</v>
      </c>
      <c r="Y67" s="54"/>
      <c r="Z67" s="54"/>
      <c r="AA67" s="54"/>
      <c r="AB67" s="54"/>
      <c r="AC67" s="54"/>
    </row>
    <row r="68" ht="48.600000000000001" customHeight="1">
      <c r="A68" s="76">
        <v>56</v>
      </c>
      <c r="B68" s="80"/>
      <c r="C68" s="60" t="s">
        <v>100</v>
      </c>
      <c r="D68" s="60" t="s">
        <v>1280</v>
      </c>
      <c r="E68" s="60" t="s">
        <v>1456</v>
      </c>
      <c r="F68" s="60" t="s">
        <v>163</v>
      </c>
      <c r="G68" s="60" t="s">
        <v>1457</v>
      </c>
      <c r="H68" s="60" t="s">
        <v>1458</v>
      </c>
      <c r="I68" s="60" t="s">
        <v>1459</v>
      </c>
      <c r="J68" s="60" t="s">
        <v>1460</v>
      </c>
      <c r="K68" s="60" t="s">
        <v>1461</v>
      </c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 t="s">
        <v>1445</v>
      </c>
      <c r="Y68" s="54"/>
      <c r="Z68" s="54"/>
      <c r="AA68" s="54"/>
      <c r="AB68" s="54"/>
      <c r="AC68" s="54"/>
    </row>
    <row r="69" ht="48.600000000000001" customHeight="1">
      <c r="A69" s="76">
        <v>57</v>
      </c>
      <c r="B69" s="60" t="s">
        <v>75</v>
      </c>
      <c r="C69" s="60" t="s">
        <v>101</v>
      </c>
      <c r="D69" s="60" t="s">
        <v>1167</v>
      </c>
      <c r="E69" s="60" t="s">
        <v>1462</v>
      </c>
      <c r="F69" s="60" t="s">
        <v>163</v>
      </c>
      <c r="G69" s="60" t="s">
        <v>1463</v>
      </c>
      <c r="H69" s="60" t="s">
        <v>1464</v>
      </c>
      <c r="I69" s="60" t="s">
        <v>1165</v>
      </c>
      <c r="J69" s="60" t="s">
        <v>1465</v>
      </c>
      <c r="K69" s="60" t="s">
        <v>1466</v>
      </c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79" t="s">
        <v>1128</v>
      </c>
      <c r="X69" s="60" t="s">
        <v>1445</v>
      </c>
      <c r="Y69" s="54"/>
      <c r="Z69" s="54"/>
      <c r="AA69" s="54"/>
      <c r="AB69" s="54"/>
      <c r="AC69" s="54"/>
    </row>
    <row r="70" ht="62.100000000000001" customHeight="1">
      <c r="A70" s="76">
        <v>58</v>
      </c>
      <c r="B70" s="77"/>
      <c r="C70" s="77"/>
      <c r="D70" s="60" t="s">
        <v>1129</v>
      </c>
      <c r="E70" s="60" t="s">
        <v>1467</v>
      </c>
      <c r="F70" s="60" t="s">
        <v>163</v>
      </c>
      <c r="G70" s="60" t="s">
        <v>1468</v>
      </c>
      <c r="H70" s="60" t="s">
        <v>1469</v>
      </c>
      <c r="I70" s="60" t="s">
        <v>1165</v>
      </c>
      <c r="J70" s="60" t="s">
        <v>1470</v>
      </c>
      <c r="K70" s="60" t="s">
        <v>1471</v>
      </c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 t="s">
        <v>1445</v>
      </c>
      <c r="Y70" s="54"/>
      <c r="Z70" s="54"/>
      <c r="AA70" s="54"/>
      <c r="AB70" s="54"/>
      <c r="AC70" s="54"/>
    </row>
    <row r="71" ht="48.600000000000001" customHeight="1">
      <c r="A71" s="76">
        <v>59</v>
      </c>
      <c r="B71" s="77"/>
      <c r="C71" s="80"/>
      <c r="D71" s="80"/>
      <c r="E71" s="60" t="s">
        <v>1472</v>
      </c>
      <c r="F71" s="60" t="s">
        <v>163</v>
      </c>
      <c r="G71" s="60" t="s">
        <v>1473</v>
      </c>
      <c r="H71" s="60" t="s">
        <v>1474</v>
      </c>
      <c r="I71" s="60" t="s">
        <v>1212</v>
      </c>
      <c r="J71" s="60" t="s">
        <v>1475</v>
      </c>
      <c r="K71" s="60" t="s">
        <v>1476</v>
      </c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 t="s">
        <v>1445</v>
      </c>
      <c r="Y71" s="54"/>
      <c r="Z71" s="54"/>
      <c r="AA71" s="54"/>
      <c r="AB71" s="54"/>
      <c r="AC71" s="54"/>
    </row>
    <row r="72" ht="62.100000000000001" customHeight="1">
      <c r="A72" s="76">
        <v>60</v>
      </c>
      <c r="B72" s="77"/>
      <c r="C72" s="60" t="s">
        <v>123</v>
      </c>
      <c r="D72" s="60" t="s">
        <v>1129</v>
      </c>
      <c r="E72" s="60" t="s">
        <v>1477</v>
      </c>
      <c r="F72" s="60" t="s">
        <v>163</v>
      </c>
      <c r="G72" s="60" t="s">
        <v>1478</v>
      </c>
      <c r="H72" s="60" t="s">
        <v>1479</v>
      </c>
      <c r="I72" s="60" t="s">
        <v>1480</v>
      </c>
      <c r="J72" s="60" t="s">
        <v>1481</v>
      </c>
      <c r="K72" s="60" t="s">
        <v>1482</v>
      </c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 t="s">
        <v>1445</v>
      </c>
      <c r="Y72" s="54"/>
      <c r="Z72" s="54"/>
      <c r="AA72" s="54"/>
      <c r="AB72" s="54"/>
      <c r="AC72" s="54"/>
    </row>
    <row r="73" ht="62.100000000000001" customHeight="1">
      <c r="A73" s="76">
        <v>61</v>
      </c>
      <c r="B73" s="77"/>
      <c r="C73" s="60" t="s">
        <v>102</v>
      </c>
      <c r="D73" s="60" t="s">
        <v>1181</v>
      </c>
      <c r="E73" s="60" t="s">
        <v>1483</v>
      </c>
      <c r="F73" s="60" t="s">
        <v>170</v>
      </c>
      <c r="G73" s="60" t="s">
        <v>1484</v>
      </c>
      <c r="H73" s="60" t="s">
        <v>1485</v>
      </c>
      <c r="I73" s="60" t="s">
        <v>1212</v>
      </c>
      <c r="J73" s="60" t="s">
        <v>1486</v>
      </c>
      <c r="K73" s="60" t="s">
        <v>1487</v>
      </c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 t="s">
        <v>1249</v>
      </c>
      <c r="Y73" s="54"/>
      <c r="Z73" s="54"/>
      <c r="AA73" s="54"/>
      <c r="AB73" s="54"/>
      <c r="AC73" s="54"/>
    </row>
    <row r="74" ht="48.600000000000001" customHeight="1">
      <c r="A74" s="76">
        <v>62</v>
      </c>
      <c r="B74" s="80"/>
      <c r="C74" s="60" t="s">
        <v>103</v>
      </c>
      <c r="D74" s="60" t="s">
        <v>1187</v>
      </c>
      <c r="E74" s="60" t="s">
        <v>1488</v>
      </c>
      <c r="F74" s="60" t="s">
        <v>170</v>
      </c>
      <c r="G74" s="60" t="s">
        <v>1489</v>
      </c>
      <c r="H74" s="60" t="s">
        <v>1490</v>
      </c>
      <c r="I74" s="60" t="s">
        <v>1212</v>
      </c>
      <c r="J74" s="60" t="s">
        <v>1491</v>
      </c>
      <c r="K74" s="78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79" t="s">
        <v>1492</v>
      </c>
      <c r="X74" s="60" t="s">
        <v>1493</v>
      </c>
      <c r="Y74" s="54"/>
      <c r="Z74" s="54"/>
      <c r="AA74" s="54"/>
      <c r="AB74" s="54"/>
      <c r="AC74" s="54"/>
    </row>
  </sheetData>
  <mergeCells count="59">
    <mergeCell ref="X11:X12"/>
    <mergeCell ref="C37:C40"/>
    <mergeCell ref="D41:D45"/>
    <mergeCell ref="G11:G12"/>
    <mergeCell ref="B69:B74"/>
    <mergeCell ref="O11:O12"/>
    <mergeCell ref="K4:K5"/>
    <mergeCell ref="D37:D38"/>
    <mergeCell ref="L6:L7"/>
    <mergeCell ref="B41:B49"/>
    <mergeCell ref="F11:F12"/>
    <mergeCell ref="L11:L12"/>
    <mergeCell ref="C62:C63"/>
    <mergeCell ref="N11:N12"/>
    <mergeCell ref="C13:C14"/>
    <mergeCell ref="C19:C20"/>
    <mergeCell ref="D39:D40"/>
    <mergeCell ref="B13:B15"/>
    <mergeCell ref="B21:B40"/>
    <mergeCell ref="K6:K7"/>
    <mergeCell ref="W11:W12"/>
    <mergeCell ref="D50:D54"/>
    <mergeCell ref="T11:T12"/>
    <mergeCell ref="C50:C55"/>
    <mergeCell ref="C60:C61"/>
    <mergeCell ref="I11:I12"/>
    <mergeCell ref="Q11:Q12"/>
    <mergeCell ref="R11:R12"/>
    <mergeCell ref="K2:S2"/>
    <mergeCell ref="K11:K12"/>
    <mergeCell ref="C69:C71"/>
    <mergeCell ref="D13:D14"/>
    <mergeCell ref="L4:L5"/>
    <mergeCell ref="M10:Q10"/>
    <mergeCell ref="C21:C22"/>
    <mergeCell ref="C56:C59"/>
    <mergeCell ref="D23:D29"/>
    <mergeCell ref="D30:D36"/>
    <mergeCell ref="C64:C66"/>
    <mergeCell ref="B64:B68"/>
    <mergeCell ref="C23:C36"/>
    <mergeCell ref="C16:C17"/>
    <mergeCell ref="H11:H12"/>
    <mergeCell ref="J11:J12"/>
    <mergeCell ref="B50:B61"/>
    <mergeCell ref="B16:B18"/>
    <mergeCell ref="B19:B20"/>
    <mergeCell ref="D70:D71"/>
    <mergeCell ref="M11:M12"/>
    <mergeCell ref="C41:C49"/>
    <mergeCell ref="D46:D47"/>
    <mergeCell ref="R10:V10"/>
    <mergeCell ref="P11:P12"/>
    <mergeCell ref="V11:V12"/>
    <mergeCell ref="S11:S12"/>
    <mergeCell ref="B11:D11"/>
    <mergeCell ref="U11:U12"/>
    <mergeCell ref="D56:D58"/>
    <mergeCell ref="B62:B6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3746F22-111F-4845-9465-E44F490B12E6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29202C10-C9E9-4CAE-829E-F11088237F3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2" width="4.140625"/>
    <col customWidth="1" min="2" max="3" style="51" width="22.85546875"/>
    <col customWidth="1" min="4" max="4" style="51" width="14.42578125"/>
    <col customWidth="1" min="5" max="5" style="51" width="21.7109375"/>
    <col customWidth="1" min="6" max="6" style="51" width="9.5703125"/>
    <col customWidth="1" min="7" max="7" style="51" width="9.42578125"/>
    <col customWidth="1" min="8" max="8" style="51" width="31.85546875"/>
    <col customWidth="1" min="9" max="9" style="51" width="21.5703125"/>
    <col customWidth="1" min="10" max="10" style="51" width="46.42578125"/>
    <col customWidth="1" min="11" max="11" style="51" width="34.42578125"/>
    <col customWidth="1" min="12" max="12" style="51" width="10.28515625"/>
    <col customWidth="1" min="13" max="16" style="51" width="9.5703125"/>
    <col customWidth="1" min="17" max="17" style="51" width="13.42578125"/>
    <col customWidth="1" min="18" max="18" style="51" width="10.5703125"/>
    <col customWidth="1" min="19" max="19" style="51" width="9.5703125"/>
    <col customWidth="1" min="20" max="20" style="51" width="11.7109375"/>
    <col customWidth="1" min="21" max="21" style="51" width="9.5703125"/>
    <col customWidth="1" min="22" max="22" style="51" width="17.7109375"/>
    <col customWidth="1" min="23" max="23" style="51" width="34"/>
    <col customWidth="1" min="24" max="24" style="51" width="22.7109375"/>
    <col customWidth="1" min="25" max="29" style="51" width="34"/>
    <col customWidth="1" min="30" max="30" style="51" width="12.5703125"/>
    <col min="31" max="16384" style="51" width="12.5703125"/>
  </cols>
  <sheetData>
    <row r="1" ht="15.75" customHeight="1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</row>
    <row r="2" ht="15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1"/>
      <c r="M2" s="51"/>
      <c r="N2" s="51"/>
      <c r="O2" s="51"/>
      <c r="P2" s="51"/>
      <c r="Q2" s="51"/>
      <c r="R2" s="51"/>
      <c r="S2" s="51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ht="15.75" customHeight="1">
      <c r="A3" s="53"/>
      <c r="B3" s="56" t="s">
        <v>131</v>
      </c>
      <c r="C3" s="57" t="s">
        <v>1494</v>
      </c>
      <c r="D3" s="58"/>
      <c r="E3" s="54"/>
      <c r="F3" s="54"/>
      <c r="G3" s="54"/>
      <c r="H3" s="54"/>
      <c r="I3" s="54"/>
      <c r="J3" s="54"/>
      <c r="K3" s="56" t="s">
        <v>133</v>
      </c>
      <c r="L3" s="42" t="s">
        <v>57</v>
      </c>
      <c r="M3" s="42" t="s">
        <v>58</v>
      </c>
      <c r="N3" s="42" t="s">
        <v>59</v>
      </c>
      <c r="O3" s="42" t="s">
        <v>60</v>
      </c>
      <c r="P3" s="59" t="s">
        <v>61</v>
      </c>
      <c r="Q3" s="42" t="s">
        <v>62</v>
      </c>
      <c r="R3" s="42" t="s">
        <v>63</v>
      </c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ht="15.75" customHeight="1">
      <c r="A4" s="53"/>
      <c r="B4" s="56" t="s">
        <v>134</v>
      </c>
      <c r="C4" s="60" t="s">
        <v>1495</v>
      </c>
      <c r="D4" s="61"/>
      <c r="E4" s="54"/>
      <c r="F4" s="54"/>
      <c r="G4" s="54"/>
      <c r="H4" s="54"/>
      <c r="I4" s="54"/>
      <c r="J4" s="54"/>
      <c r="K4" s="56" t="s">
        <v>136</v>
      </c>
      <c r="L4" s="62">
        <f>COUNTA($G$13:$G$25)</f>
        <v>13</v>
      </c>
      <c r="M4" s="63">
        <f>COUNTIF($M$13:$M$25,M3)</f>
        <v>0</v>
      </c>
      <c r="N4" s="63">
        <f>COUNTIF($M$13:$M$25,N3)</f>
        <v>0</v>
      </c>
      <c r="O4" s="63">
        <f>COUNTIF($M$13:$M$25,O3)</f>
        <v>0</v>
      </c>
      <c r="P4" s="64">
        <f>COUNTIF($M$13:$M$25,P3)</f>
        <v>0</v>
      </c>
      <c r="Q4" s="63">
        <f>COUNTIF($M$13:$M$25,Q3)</f>
        <v>0</v>
      </c>
      <c r="R4" s="63">
        <f>L4-SUM(M4:Q4)</f>
        <v>13</v>
      </c>
      <c r="S4" s="65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ht="15.75" customHeight="1">
      <c r="A5" s="53"/>
      <c r="B5" s="56" t="s">
        <v>3</v>
      </c>
      <c r="C5" s="60" t="s">
        <v>1195</v>
      </c>
      <c r="D5" s="61"/>
      <c r="E5" s="54"/>
      <c r="F5" s="54"/>
      <c r="G5" s="54"/>
      <c r="H5" s="54"/>
      <c r="I5" s="54"/>
      <c r="J5" s="54"/>
      <c r="K5" s="12"/>
      <c r="L5" s="12"/>
      <c r="M5" s="67">
        <f t="shared" ref="M5:R5" si="28">M4/$L$4</f>
        <v>0</v>
      </c>
      <c r="N5" s="67">
        <f t="shared" si="28"/>
        <v>0</v>
      </c>
      <c r="O5" s="67">
        <f t="shared" si="28"/>
        <v>0</v>
      </c>
      <c r="P5" s="68">
        <f t="shared" si="28"/>
        <v>0</v>
      </c>
      <c r="Q5" s="67">
        <f t="shared" si="28"/>
        <v>0</v>
      </c>
      <c r="R5" s="67">
        <f t="shared" si="28"/>
        <v>1</v>
      </c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ht="15.75" customHeight="1">
      <c r="A6" s="53"/>
      <c r="B6" s="56" t="s">
        <v>138</v>
      </c>
      <c r="C6" s="69" t="s">
        <v>33</v>
      </c>
      <c r="D6" s="61"/>
      <c r="E6" s="54"/>
      <c r="F6" s="54"/>
      <c r="G6" s="54"/>
      <c r="H6" s="54"/>
      <c r="I6" s="54"/>
      <c r="J6" s="54"/>
      <c r="K6" s="56" t="s">
        <v>139</v>
      </c>
      <c r="L6" s="62">
        <f>COUNTA($G$13:$G$25)</f>
        <v>13</v>
      </c>
      <c r="M6" s="63">
        <f>COUNTIF($R$13:$R$25,M3)</f>
        <v>0</v>
      </c>
      <c r="N6" s="63">
        <f>COUNTIF($R$13:$R$25,N3)</f>
        <v>0</v>
      </c>
      <c r="O6" s="63">
        <f>COUNTIF($R$13:$R$25,O3)</f>
        <v>0</v>
      </c>
      <c r="P6" s="64">
        <f>COUNTIF($R$13:$R$25,P3)</f>
        <v>0</v>
      </c>
      <c r="Q6" s="63">
        <f>COUNTIF($R$13:$R$25,Q3)</f>
        <v>0</v>
      </c>
      <c r="R6" s="63">
        <f>L6-SUM(M6:Q6)</f>
        <v>13</v>
      </c>
      <c r="S6" s="65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5.75" customHeight="1">
      <c r="A7" s="53"/>
      <c r="B7" s="56" t="s">
        <v>17</v>
      </c>
      <c r="C7" s="91" t="s">
        <v>1496</v>
      </c>
      <c r="D7" s="71"/>
      <c r="E7" s="54"/>
      <c r="F7" s="54"/>
      <c r="G7" s="54"/>
      <c r="H7" s="54"/>
      <c r="I7" s="54"/>
      <c r="J7" s="54"/>
      <c r="K7" s="12"/>
      <c r="L7" s="12"/>
      <c r="M7" s="67">
        <f t="shared" ref="M7:R7" si="29">M6/$L$6</f>
        <v>0</v>
      </c>
      <c r="N7" s="67">
        <f t="shared" si="29"/>
        <v>0</v>
      </c>
      <c r="O7" s="67">
        <f t="shared" si="29"/>
        <v>0</v>
      </c>
      <c r="P7" s="68">
        <f t="shared" si="29"/>
        <v>0</v>
      </c>
      <c r="Q7" s="67">
        <f t="shared" si="29"/>
        <v>0</v>
      </c>
      <c r="R7" s="67">
        <f t="shared" si="29"/>
        <v>1</v>
      </c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5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5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53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6" t="s">
        <v>136</v>
      </c>
      <c r="N10" s="4"/>
      <c r="O10" s="4"/>
      <c r="P10" s="4"/>
      <c r="Q10" s="5"/>
      <c r="R10" s="56" t="s">
        <v>139</v>
      </c>
      <c r="S10" s="4"/>
      <c r="T10" s="4"/>
      <c r="U10" s="4"/>
      <c r="V10" s="5"/>
      <c r="W10" s="54"/>
      <c r="X10" s="54"/>
      <c r="Y10" s="54"/>
      <c r="Z10" s="54"/>
      <c r="AA10" s="54"/>
      <c r="AB10" s="54"/>
      <c r="AC10" s="54"/>
    </row>
    <row r="11" ht="15.75" customHeight="1">
      <c r="A11" s="72"/>
      <c r="B11" s="42" t="s">
        <v>141</v>
      </c>
      <c r="C11" s="4"/>
      <c r="D11" s="5"/>
      <c r="E11" s="42"/>
      <c r="F11" s="73" t="s">
        <v>142</v>
      </c>
      <c r="G11" s="73" t="s">
        <v>143</v>
      </c>
      <c r="H11" s="73" t="s">
        <v>144</v>
      </c>
      <c r="I11" s="73" t="s">
        <v>145</v>
      </c>
      <c r="J11" s="73" t="s">
        <v>146</v>
      </c>
      <c r="K11" s="73" t="s">
        <v>147</v>
      </c>
      <c r="L11" s="73" t="s">
        <v>148</v>
      </c>
      <c r="M11" s="73" t="s">
        <v>149</v>
      </c>
      <c r="N11" s="73" t="s">
        <v>150</v>
      </c>
      <c r="O11" s="73" t="s">
        <v>151</v>
      </c>
      <c r="P11" s="74" t="s">
        <v>152</v>
      </c>
      <c r="Q11" s="73" t="s">
        <v>153</v>
      </c>
      <c r="R11" s="75" t="s">
        <v>149</v>
      </c>
      <c r="S11" s="75" t="s">
        <v>150</v>
      </c>
      <c r="T11" s="75" t="s">
        <v>151</v>
      </c>
      <c r="U11" s="75" t="s">
        <v>152</v>
      </c>
      <c r="V11" s="75" t="s">
        <v>153</v>
      </c>
      <c r="W11" s="73" t="s">
        <v>154</v>
      </c>
      <c r="X11" s="73" t="s">
        <v>155</v>
      </c>
      <c r="Y11" s="54"/>
      <c r="Z11" s="54"/>
      <c r="AA11" s="54"/>
      <c r="AB11" s="54"/>
      <c r="AC11" s="54"/>
    </row>
    <row r="12" ht="15.75" customHeight="1">
      <c r="A12" s="72" t="s">
        <v>156</v>
      </c>
      <c r="B12" s="73" t="s">
        <v>157</v>
      </c>
      <c r="C12" s="73" t="s">
        <v>158</v>
      </c>
      <c r="D12" s="73" t="s">
        <v>159</v>
      </c>
      <c r="E12" s="73" t="s">
        <v>160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54"/>
      <c r="Z12" s="54"/>
      <c r="AA12" s="54"/>
      <c r="AB12" s="54"/>
      <c r="AC12" s="54"/>
    </row>
    <row r="13" ht="33.950000000000003" customHeight="1">
      <c r="A13" s="76">
        <v>1</v>
      </c>
      <c r="B13" s="60" t="s">
        <v>66</v>
      </c>
      <c r="C13" s="60" t="s">
        <v>125</v>
      </c>
      <c r="D13" s="60" t="s">
        <v>1497</v>
      </c>
      <c r="E13" s="60" t="s">
        <v>1197</v>
      </c>
      <c r="F13" s="60" t="s">
        <v>170</v>
      </c>
      <c r="G13" s="60" t="s">
        <v>164</v>
      </c>
      <c r="H13" s="60" t="s">
        <v>1498</v>
      </c>
      <c r="I13" s="60" t="s">
        <v>1436</v>
      </c>
      <c r="J13" s="60" t="s">
        <v>1499</v>
      </c>
      <c r="K13" s="60" t="s">
        <v>1500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79" t="s">
        <v>1501</v>
      </c>
      <c r="X13" s="60" t="s">
        <v>1502</v>
      </c>
      <c r="Y13" s="54"/>
      <c r="Z13" s="54"/>
      <c r="AA13" s="54"/>
      <c r="AB13" s="54"/>
      <c r="AC13" s="54"/>
    </row>
    <row r="14" ht="60.950000000000003" customHeight="1">
      <c r="A14" s="76">
        <v>2</v>
      </c>
      <c r="B14" s="60" t="s">
        <v>126</v>
      </c>
      <c r="C14" s="60" t="s">
        <v>127</v>
      </c>
      <c r="D14" s="60" t="s">
        <v>1503</v>
      </c>
      <c r="E14" s="60" t="s">
        <v>1504</v>
      </c>
      <c r="F14" s="60" t="s">
        <v>163</v>
      </c>
      <c r="G14" s="60" t="s">
        <v>171</v>
      </c>
      <c r="H14" s="60" t="s">
        <v>1505</v>
      </c>
      <c r="I14" s="60" t="s">
        <v>1506</v>
      </c>
      <c r="J14" s="60" t="s">
        <v>1507</v>
      </c>
      <c r="K14" s="60" t="s">
        <v>1508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 t="s">
        <v>1502</v>
      </c>
      <c r="Y14" s="54"/>
      <c r="Z14" s="54"/>
      <c r="AA14" s="54"/>
      <c r="AB14" s="54"/>
      <c r="AC14" s="54"/>
    </row>
    <row r="15" ht="47.450000000000003" customHeight="1">
      <c r="A15" s="76">
        <v>3</v>
      </c>
      <c r="B15" s="77"/>
      <c r="C15" s="80"/>
      <c r="D15" s="60" t="s">
        <v>1509</v>
      </c>
      <c r="E15" s="60" t="s">
        <v>1510</v>
      </c>
      <c r="F15" s="60" t="s">
        <v>170</v>
      </c>
      <c r="G15" s="60" t="s">
        <v>177</v>
      </c>
      <c r="H15" s="60" t="s">
        <v>1511</v>
      </c>
      <c r="I15" s="60" t="s">
        <v>1512</v>
      </c>
      <c r="J15" s="60" t="s">
        <v>1513</v>
      </c>
      <c r="K15" s="60" t="s">
        <v>1514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 t="s">
        <v>1502</v>
      </c>
      <c r="Y15" s="54"/>
      <c r="Z15" s="54"/>
      <c r="AA15" s="54"/>
      <c r="AB15" s="54"/>
      <c r="AC15" s="54"/>
    </row>
    <row r="16" ht="87.950000000000003" customHeight="1">
      <c r="A16" s="76">
        <v>4</v>
      </c>
      <c r="B16" s="77"/>
      <c r="C16" s="60" t="s">
        <v>128</v>
      </c>
      <c r="D16" s="60" t="s">
        <v>1515</v>
      </c>
      <c r="E16" s="60" t="s">
        <v>1516</v>
      </c>
      <c r="F16" s="60" t="s">
        <v>163</v>
      </c>
      <c r="G16" s="60" t="s">
        <v>186</v>
      </c>
      <c r="H16" s="60" t="s">
        <v>1517</v>
      </c>
      <c r="I16" s="60" t="s">
        <v>1518</v>
      </c>
      <c r="J16" s="60" t="s">
        <v>1519</v>
      </c>
      <c r="K16" s="60" t="s">
        <v>1520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 t="s">
        <v>1502</v>
      </c>
      <c r="Y16" s="54"/>
      <c r="Z16" s="54"/>
      <c r="AA16" s="54"/>
      <c r="AB16" s="54"/>
      <c r="AC16" s="54"/>
    </row>
    <row r="17" ht="87.950000000000003" customHeight="1">
      <c r="A17" s="76">
        <v>5</v>
      </c>
      <c r="B17" s="77"/>
      <c r="C17" s="77"/>
      <c r="D17" s="60" t="s">
        <v>1521</v>
      </c>
      <c r="E17" s="60" t="s">
        <v>1522</v>
      </c>
      <c r="F17" s="60" t="s">
        <v>170</v>
      </c>
      <c r="G17" s="60" t="s">
        <v>192</v>
      </c>
      <c r="H17" s="60" t="s">
        <v>1523</v>
      </c>
      <c r="I17" s="60" t="s">
        <v>1524</v>
      </c>
      <c r="J17" s="60" t="s">
        <v>1525</v>
      </c>
      <c r="K17" s="60" t="s">
        <v>1526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 t="s">
        <v>1502</v>
      </c>
      <c r="Y17" s="54"/>
      <c r="Z17" s="54"/>
      <c r="AA17" s="54"/>
      <c r="AB17" s="54"/>
      <c r="AC17" s="54"/>
    </row>
    <row r="18" ht="60.950000000000003" customHeight="1">
      <c r="A18" s="76">
        <v>6</v>
      </c>
      <c r="B18" s="80"/>
      <c r="C18" s="80"/>
      <c r="D18" s="60" t="s">
        <v>1527</v>
      </c>
      <c r="E18" s="60" t="s">
        <v>1528</v>
      </c>
      <c r="F18" s="60" t="s">
        <v>170</v>
      </c>
      <c r="G18" s="60" t="s">
        <v>197</v>
      </c>
      <c r="H18" s="60" t="s">
        <v>1529</v>
      </c>
      <c r="I18" s="60" t="s">
        <v>1530</v>
      </c>
      <c r="J18" s="60" t="s">
        <v>1531</v>
      </c>
      <c r="K18" s="60" t="s">
        <v>1532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 t="s">
        <v>1502</v>
      </c>
      <c r="Y18" s="54"/>
      <c r="Z18" s="54"/>
      <c r="AA18" s="54"/>
      <c r="AB18" s="54"/>
      <c r="AC18" s="54"/>
    </row>
    <row r="19" ht="47.450000000000003" customHeight="1">
      <c r="A19" s="76">
        <v>7</v>
      </c>
      <c r="B19" s="60" t="s">
        <v>129</v>
      </c>
      <c r="C19" s="60" t="s">
        <v>130</v>
      </c>
      <c r="D19" s="60" t="s">
        <v>1533</v>
      </c>
      <c r="E19" s="60" t="s">
        <v>1534</v>
      </c>
      <c r="F19" s="60" t="s">
        <v>163</v>
      </c>
      <c r="G19" s="60" t="s">
        <v>202</v>
      </c>
      <c r="H19" s="60" t="s">
        <v>1535</v>
      </c>
      <c r="I19" s="60" t="s">
        <v>1536</v>
      </c>
      <c r="J19" s="60" t="s">
        <v>1537</v>
      </c>
      <c r="K19" s="60" t="s">
        <v>1538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 t="s">
        <v>1502</v>
      </c>
      <c r="Y19" s="54"/>
      <c r="Z19" s="54"/>
      <c r="AA19" s="54"/>
      <c r="AB19" s="54"/>
      <c r="AC19" s="54"/>
    </row>
    <row r="20" ht="60.950000000000003" customHeight="1">
      <c r="A20" s="76">
        <v>8</v>
      </c>
      <c r="B20" s="77"/>
      <c r="C20" s="77"/>
      <c r="D20" s="60" t="s">
        <v>1539</v>
      </c>
      <c r="E20" s="60" t="s">
        <v>1534</v>
      </c>
      <c r="F20" s="60" t="s">
        <v>170</v>
      </c>
      <c r="G20" s="60" t="s">
        <v>208</v>
      </c>
      <c r="H20" s="60" t="s">
        <v>1540</v>
      </c>
      <c r="I20" s="60" t="s">
        <v>1541</v>
      </c>
      <c r="J20" s="60" t="s">
        <v>1542</v>
      </c>
      <c r="K20" s="60" t="s">
        <v>1543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 t="s">
        <v>1502</v>
      </c>
      <c r="Y20" s="54"/>
      <c r="Z20" s="54"/>
      <c r="AA20" s="54"/>
      <c r="AB20" s="54"/>
      <c r="AC20" s="54"/>
    </row>
    <row r="21" ht="74.450000000000003" customHeight="1">
      <c r="A21" s="76">
        <v>9</v>
      </c>
      <c r="B21" s="77"/>
      <c r="C21" s="77"/>
      <c r="D21" s="60" t="s">
        <v>1544</v>
      </c>
      <c r="E21" s="60" t="s">
        <v>1545</v>
      </c>
      <c r="F21" s="60" t="s">
        <v>170</v>
      </c>
      <c r="G21" s="60" t="s">
        <v>214</v>
      </c>
      <c r="H21" s="60" t="s">
        <v>1546</v>
      </c>
      <c r="I21" s="60" t="s">
        <v>1547</v>
      </c>
      <c r="J21" s="60" t="s">
        <v>1548</v>
      </c>
      <c r="K21" s="60" t="s">
        <v>1549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 t="s">
        <v>1502</v>
      </c>
      <c r="Y21" s="54"/>
      <c r="Z21" s="54"/>
      <c r="AA21" s="54"/>
      <c r="AB21" s="54"/>
      <c r="AC21" s="54"/>
    </row>
    <row r="22" ht="60.950000000000003" customHeight="1">
      <c r="A22" s="76">
        <v>10</v>
      </c>
      <c r="B22" s="77"/>
      <c r="C22" s="77"/>
      <c r="D22" s="60" t="s">
        <v>1550</v>
      </c>
      <c r="E22" s="60" t="s">
        <v>1551</v>
      </c>
      <c r="F22" s="60" t="s">
        <v>185</v>
      </c>
      <c r="G22" s="60" t="s">
        <v>219</v>
      </c>
      <c r="H22" s="60" t="s">
        <v>1552</v>
      </c>
      <c r="I22" s="60" t="s">
        <v>1553</v>
      </c>
      <c r="J22" s="60" t="s">
        <v>1554</v>
      </c>
      <c r="K22" s="78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79" t="s">
        <v>1555</v>
      </c>
      <c r="X22" s="60" t="s">
        <v>1502</v>
      </c>
      <c r="Y22" s="54"/>
      <c r="Z22" s="54"/>
      <c r="AA22" s="54"/>
      <c r="AB22" s="54"/>
      <c r="AC22" s="54"/>
    </row>
    <row r="23" ht="47.450000000000003" customHeight="1">
      <c r="A23" s="76">
        <v>11</v>
      </c>
      <c r="B23" s="80"/>
      <c r="C23" s="80"/>
      <c r="D23" s="60" t="s">
        <v>1556</v>
      </c>
      <c r="E23" s="60" t="s">
        <v>1557</v>
      </c>
      <c r="F23" s="60" t="s">
        <v>170</v>
      </c>
      <c r="G23" s="60" t="s">
        <v>224</v>
      </c>
      <c r="H23" s="60" t="s">
        <v>1558</v>
      </c>
      <c r="I23" s="60" t="s">
        <v>1559</v>
      </c>
      <c r="J23" s="60" t="s">
        <v>1560</v>
      </c>
      <c r="K23" s="78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79" t="s">
        <v>1561</v>
      </c>
      <c r="X23" s="60" t="s">
        <v>1502</v>
      </c>
      <c r="Y23" s="54"/>
      <c r="Z23" s="54"/>
      <c r="AA23" s="54"/>
      <c r="AB23" s="54"/>
      <c r="AC23" s="54"/>
    </row>
    <row r="24" ht="47.450000000000003" customHeight="1">
      <c r="A24" s="76">
        <v>12</v>
      </c>
      <c r="B24" s="60" t="s">
        <v>97</v>
      </c>
      <c r="C24" s="60" t="s">
        <v>100</v>
      </c>
      <c r="D24" s="60" t="s">
        <v>1221</v>
      </c>
      <c r="E24" s="60" t="s">
        <v>1562</v>
      </c>
      <c r="F24" s="60" t="s">
        <v>170</v>
      </c>
      <c r="G24" s="60" t="s">
        <v>230</v>
      </c>
      <c r="H24" s="60" t="s">
        <v>1563</v>
      </c>
      <c r="I24" s="60" t="s">
        <v>1206</v>
      </c>
      <c r="J24" s="60" t="s">
        <v>1564</v>
      </c>
      <c r="K24" s="60" t="s">
        <v>1565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 t="s">
        <v>1502</v>
      </c>
      <c r="Y24" s="54"/>
      <c r="Z24" s="54"/>
      <c r="AA24" s="54"/>
      <c r="AB24" s="54"/>
      <c r="AC24" s="54"/>
    </row>
    <row r="25" ht="33.950000000000003" customHeight="1">
      <c r="A25" s="76">
        <v>13</v>
      </c>
      <c r="B25" s="80"/>
      <c r="C25" s="60" t="s">
        <v>99</v>
      </c>
      <c r="D25" s="60" t="s">
        <v>99</v>
      </c>
      <c r="E25" s="60" t="s">
        <v>1566</v>
      </c>
      <c r="F25" s="60" t="s">
        <v>185</v>
      </c>
      <c r="G25" s="60" t="s">
        <v>235</v>
      </c>
      <c r="H25" s="60" t="s">
        <v>1567</v>
      </c>
      <c r="I25" s="60" t="s">
        <v>1144</v>
      </c>
      <c r="J25" s="60" t="s">
        <v>1568</v>
      </c>
      <c r="K25" s="60" t="s">
        <v>1543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 t="s">
        <v>1502</v>
      </c>
      <c r="Y25" s="54"/>
      <c r="Z25" s="54"/>
      <c r="AA25" s="54"/>
      <c r="AB25" s="54"/>
      <c r="AC25" s="54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D196ECF6-71E7-48CC-9C53-988497C08D82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7A412E5C-2A73-4A47-AD14-A4E63D550653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92" width="9"/>
    <col customWidth="1" min="2" max="2" style="92" width="12"/>
    <col customWidth="1" min="3" max="4" style="92" width="52"/>
    <col customWidth="1" min="5" max="5" style="92" width="24"/>
    <col customWidth="1" min="6" max="6" style="92" width="38"/>
    <col customWidth="1" min="7" max="7" style="92" width="14"/>
    <col customWidth="1" min="8" max="8" style="92" width="11"/>
  </cols>
  <sheetData>
    <row r="1" ht="21.949999999999999" customHeight="1">
      <c r="A1" s="73" t="s">
        <v>1527</v>
      </c>
      <c r="B1" s="73" t="s">
        <v>1569</v>
      </c>
      <c r="C1" s="73" t="s">
        <v>1570</v>
      </c>
      <c r="D1" s="73" t="s">
        <v>1571</v>
      </c>
      <c r="E1" s="73" t="s">
        <v>1572</v>
      </c>
      <c r="F1" s="73" t="s">
        <v>1573</v>
      </c>
      <c r="G1" s="73" t="s">
        <v>1574</v>
      </c>
      <c r="H1" s="73" t="s">
        <v>1575</v>
      </c>
    </row>
    <row r="2" ht="47.450000000000003" customHeight="1">
      <c r="A2" s="60" t="s">
        <v>1576</v>
      </c>
      <c r="B2" s="60" t="s">
        <v>104</v>
      </c>
      <c r="C2" s="60" t="s">
        <v>1577</v>
      </c>
      <c r="D2" s="60" t="s">
        <v>1578</v>
      </c>
      <c r="E2" s="60" t="s">
        <v>1579</v>
      </c>
      <c r="F2" s="60" t="s">
        <v>1580</v>
      </c>
      <c r="G2" s="60" t="s">
        <v>1581</v>
      </c>
      <c r="H2" s="60" t="s">
        <v>1582</v>
      </c>
    </row>
    <row r="3" ht="47.450000000000003" customHeight="1">
      <c r="A3" s="60" t="s">
        <v>1583</v>
      </c>
      <c r="B3" s="60" t="s">
        <v>104</v>
      </c>
      <c r="C3" s="60" t="s">
        <v>1584</v>
      </c>
      <c r="D3" s="60" t="s">
        <v>1585</v>
      </c>
      <c r="E3" s="60" t="s">
        <v>1586</v>
      </c>
      <c r="F3" s="60" t="s">
        <v>1587</v>
      </c>
      <c r="G3" s="60" t="s">
        <v>1588</v>
      </c>
      <c r="H3" s="60" t="s">
        <v>1582</v>
      </c>
    </row>
    <row r="4" ht="47.450000000000003" customHeight="1">
      <c r="A4" s="60" t="s">
        <v>1589</v>
      </c>
      <c r="B4" s="60" t="s">
        <v>104</v>
      </c>
      <c r="C4" s="60" t="s">
        <v>1590</v>
      </c>
      <c r="D4" s="60" t="s">
        <v>1591</v>
      </c>
      <c r="E4" s="60" t="s">
        <v>1592</v>
      </c>
      <c r="F4" s="60" t="s">
        <v>1593</v>
      </c>
      <c r="G4" s="60" t="s">
        <v>1588</v>
      </c>
      <c r="H4" s="60" t="s">
        <v>1582</v>
      </c>
    </row>
    <row r="5" ht="60.950000000000003" customHeight="1">
      <c r="A5" s="60" t="s">
        <v>1594</v>
      </c>
      <c r="B5" s="60" t="s">
        <v>104</v>
      </c>
      <c r="C5" s="60" t="s">
        <v>1595</v>
      </c>
      <c r="D5" s="60" t="s">
        <v>1596</v>
      </c>
      <c r="E5" s="60" t="s">
        <v>1597</v>
      </c>
      <c r="F5" s="60" t="s">
        <v>1598</v>
      </c>
      <c r="G5" s="60" t="s">
        <v>1581</v>
      </c>
      <c r="H5" s="60" t="s">
        <v>1582</v>
      </c>
    </row>
    <row r="6" ht="47.450000000000003" customHeight="1">
      <c r="A6" s="60" t="s">
        <v>1599</v>
      </c>
      <c r="B6" s="60" t="s">
        <v>104</v>
      </c>
      <c r="C6" s="60" t="s">
        <v>1600</v>
      </c>
      <c r="D6" s="60" t="s">
        <v>1601</v>
      </c>
      <c r="E6" s="60" t="s">
        <v>1602</v>
      </c>
      <c r="F6" s="60" t="s">
        <v>1603</v>
      </c>
      <c r="G6" s="60" t="s">
        <v>1588</v>
      </c>
      <c r="H6" s="60" t="s">
        <v>1582</v>
      </c>
    </row>
    <row r="7" ht="33.950000000000003" customHeight="1">
      <c r="A7" s="60" t="s">
        <v>1604</v>
      </c>
      <c r="B7" s="60" t="s">
        <v>104</v>
      </c>
      <c r="C7" s="60" t="s">
        <v>1605</v>
      </c>
      <c r="D7" s="60" t="s">
        <v>1606</v>
      </c>
      <c r="E7" s="60" t="s">
        <v>1607</v>
      </c>
      <c r="F7" s="60" t="s">
        <v>1608</v>
      </c>
      <c r="G7" s="60" t="s">
        <v>1588</v>
      </c>
      <c r="H7" s="60" t="s">
        <v>1582</v>
      </c>
    </row>
    <row r="8" ht="33.950000000000003" customHeight="1">
      <c r="A8" s="60" t="s">
        <v>1609</v>
      </c>
      <c r="B8" s="60" t="s">
        <v>104</v>
      </c>
      <c r="C8" s="60" t="s">
        <v>1610</v>
      </c>
      <c r="D8" s="60" t="s">
        <v>1611</v>
      </c>
      <c r="E8" s="60" t="s">
        <v>1612</v>
      </c>
      <c r="F8" s="60" t="s">
        <v>1613</v>
      </c>
      <c r="G8" s="60" t="s">
        <v>1588</v>
      </c>
      <c r="H8" s="60" t="s">
        <v>1582</v>
      </c>
    </row>
    <row r="9" ht="33.950000000000003" customHeight="1">
      <c r="A9" s="60" t="s">
        <v>1614</v>
      </c>
      <c r="B9" s="60" t="s">
        <v>104</v>
      </c>
      <c r="C9" s="60" t="s">
        <v>1615</v>
      </c>
      <c r="D9" s="60" t="s">
        <v>1616</v>
      </c>
      <c r="E9" s="60" t="s">
        <v>1617</v>
      </c>
      <c r="F9" s="60" t="s">
        <v>1618</v>
      </c>
      <c r="G9" s="60" t="s">
        <v>1588</v>
      </c>
      <c r="H9" s="60" t="s">
        <v>1582</v>
      </c>
    </row>
    <row r="10" ht="33.950000000000003" customHeight="1">
      <c r="A10" s="60" t="s">
        <v>1619</v>
      </c>
      <c r="B10" s="60" t="s">
        <v>104</v>
      </c>
      <c r="C10" s="60" t="s">
        <v>1620</v>
      </c>
      <c r="D10" s="60" t="s">
        <v>1621</v>
      </c>
      <c r="E10" s="60" t="s">
        <v>1622</v>
      </c>
      <c r="F10" s="60" t="s">
        <v>1623</v>
      </c>
      <c r="G10" s="60" t="s">
        <v>1581</v>
      </c>
      <c r="H10" s="60" t="s">
        <v>1582</v>
      </c>
    </row>
    <row r="11" ht="47.450000000000003" customHeight="1">
      <c r="A11" s="60" t="s">
        <v>1624</v>
      </c>
      <c r="B11" s="60" t="s">
        <v>104</v>
      </c>
      <c r="C11" s="60" t="s">
        <v>1625</v>
      </c>
      <c r="D11" s="60" t="s">
        <v>1626</v>
      </c>
      <c r="E11" s="60" t="s">
        <v>1627</v>
      </c>
      <c r="F11" s="60" t="s">
        <v>1628</v>
      </c>
      <c r="G11" s="60" t="s">
        <v>1588</v>
      </c>
      <c r="H11" s="60" t="s">
        <v>1582</v>
      </c>
    </row>
    <row r="12" ht="47.450000000000003" customHeight="1">
      <c r="A12" s="60" t="s">
        <v>1629</v>
      </c>
      <c r="B12" s="60" t="s">
        <v>104</v>
      </c>
      <c r="C12" s="60" t="s">
        <v>1630</v>
      </c>
      <c r="D12" s="60" t="s">
        <v>1631</v>
      </c>
      <c r="E12" s="60" t="s">
        <v>1632</v>
      </c>
      <c r="F12" s="60" t="s">
        <v>1633</v>
      </c>
      <c r="G12" s="60" t="s">
        <v>1581</v>
      </c>
      <c r="H12" s="60" t="s">
        <v>1582</v>
      </c>
    </row>
    <row r="13" ht="33.950000000000003" customHeight="1">
      <c r="A13" s="60" t="s">
        <v>1634</v>
      </c>
      <c r="B13" s="60" t="s">
        <v>104</v>
      </c>
      <c r="C13" s="60" t="s">
        <v>1635</v>
      </c>
      <c r="D13" s="60" t="s">
        <v>1636</v>
      </c>
      <c r="E13" s="60" t="s">
        <v>1637</v>
      </c>
      <c r="F13" s="60" t="s">
        <v>1638</v>
      </c>
      <c r="G13" s="60" t="s">
        <v>1581</v>
      </c>
      <c r="H13" s="60" t="s">
        <v>1582</v>
      </c>
    </row>
    <row r="14" ht="33.950000000000003" customHeight="1">
      <c r="A14" s="60" t="s">
        <v>1639</v>
      </c>
      <c r="B14" s="60" t="s">
        <v>124</v>
      </c>
      <c r="C14" s="60" t="s">
        <v>1640</v>
      </c>
      <c r="D14" s="60" t="s">
        <v>1641</v>
      </c>
      <c r="E14" s="60" t="s">
        <v>1642</v>
      </c>
      <c r="F14" s="60" t="s">
        <v>1643</v>
      </c>
      <c r="G14" s="60" t="s">
        <v>1581</v>
      </c>
      <c r="H14" s="60" t="s">
        <v>1582</v>
      </c>
    </row>
    <row r="15" ht="47.450000000000003" customHeight="1">
      <c r="A15" s="60" t="s">
        <v>1644</v>
      </c>
      <c r="B15" s="60" t="s">
        <v>124</v>
      </c>
      <c r="C15" s="60" t="s">
        <v>1645</v>
      </c>
      <c r="D15" s="60" t="s">
        <v>1646</v>
      </c>
      <c r="E15" s="60" t="s">
        <v>1647</v>
      </c>
      <c r="F15" s="60" t="s">
        <v>1648</v>
      </c>
      <c r="G15" s="60" t="s">
        <v>1588</v>
      </c>
      <c r="H15" s="60" t="s">
        <v>1582</v>
      </c>
    </row>
    <row r="16" ht="33.950000000000003" customHeight="1">
      <c r="A16" s="60" t="s">
        <v>1649</v>
      </c>
      <c r="B16" s="60" t="s">
        <v>124</v>
      </c>
      <c r="C16" s="60" t="s">
        <v>1650</v>
      </c>
      <c r="D16" s="60" t="s">
        <v>1651</v>
      </c>
      <c r="E16" s="60" t="s">
        <v>1652</v>
      </c>
      <c r="F16" s="60" t="s">
        <v>1653</v>
      </c>
      <c r="G16" s="60" t="s">
        <v>1581</v>
      </c>
      <c r="H16" s="60" t="s">
        <v>1582</v>
      </c>
    </row>
    <row r="17" ht="47.450000000000003" customHeight="1">
      <c r="A17" s="60" t="s">
        <v>1654</v>
      </c>
      <c r="B17" s="60" t="s">
        <v>1655</v>
      </c>
      <c r="C17" s="60" t="s">
        <v>1656</v>
      </c>
      <c r="D17" s="60" t="s">
        <v>1657</v>
      </c>
      <c r="E17" s="60" t="s">
        <v>1658</v>
      </c>
      <c r="F17" s="60" t="s">
        <v>1659</v>
      </c>
      <c r="G17" s="60" t="s">
        <v>1659</v>
      </c>
      <c r="H17" s="60" t="s">
        <v>1582</v>
      </c>
    </row>
    <row r="18" ht="33.950000000000003" customHeight="1">
      <c r="A18" s="60" t="s">
        <v>1660</v>
      </c>
      <c r="B18" s="60" t="s">
        <v>1655</v>
      </c>
      <c r="C18" s="60" t="s">
        <v>1661</v>
      </c>
      <c r="D18" s="60" t="s">
        <v>1662</v>
      </c>
      <c r="E18" s="60" t="s">
        <v>1663</v>
      </c>
      <c r="F18" s="60" t="s">
        <v>1659</v>
      </c>
      <c r="G18" s="60" t="s">
        <v>1659</v>
      </c>
      <c r="H18" s="60" t="s">
        <v>1582</v>
      </c>
    </row>
    <row r="19" ht="47.450000000000003" customHeight="1">
      <c r="A19" s="60" t="s">
        <v>1664</v>
      </c>
      <c r="B19" s="60" t="s">
        <v>1655</v>
      </c>
      <c r="C19" s="60" t="s">
        <v>1665</v>
      </c>
      <c r="D19" s="60" t="s">
        <v>1666</v>
      </c>
      <c r="E19" s="60" t="s">
        <v>1667</v>
      </c>
      <c r="F19" s="60" t="s">
        <v>1659</v>
      </c>
      <c r="G19" s="60" t="s">
        <v>1659</v>
      </c>
      <c r="H19" s="60" t="s">
        <v>1582</v>
      </c>
    </row>
    <row r="20" ht="47.450000000000003" customHeight="1">
      <c r="A20" s="60" t="s">
        <v>1668</v>
      </c>
      <c r="B20" s="60" t="s">
        <v>43</v>
      </c>
      <c r="C20" s="60" t="s">
        <v>1669</v>
      </c>
      <c r="D20" s="60" t="s">
        <v>1670</v>
      </c>
      <c r="E20" s="60" t="s">
        <v>1671</v>
      </c>
      <c r="F20" s="60" t="s">
        <v>1672</v>
      </c>
      <c r="G20" s="60" t="s">
        <v>1588</v>
      </c>
      <c r="H20" s="60" t="s">
        <v>1582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9</cp:revision>
  <dcterms:created xsi:type="dcterms:W3CDTF">2026-10-01T04:51:11Z</dcterms:created>
  <dcterms:modified xsi:type="dcterms:W3CDTF">2026-10-07T01:25:46Z</dcterms:modified>
</cp:coreProperties>
</file>