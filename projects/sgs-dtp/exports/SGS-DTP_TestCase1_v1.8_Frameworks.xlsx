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 firstSheet="0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Frameworks" sheetId="9" state="visible" r:id="rId12"/>
    <sheet name="Users" sheetId="6" state="visible" r:id="rId6"/>
    <sheet name="Profile" sheetId="7" state="visible" r:id="rId7"/>
    <sheet name="Cần xác nhận" sheetId="8" state="visible" r:id="rId8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<sst xmlns="http://schemas.openxmlformats.org/spreadsheetml/2006/main" count="5743" uniqueCount="3108">
  <si>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</si>
  <si>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</si>
  <si>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</si>
  <si>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</si>
  <si>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</si>
  <si>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</si>
  <si>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</si>
  <si>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</si>
  <si>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</si>
  <si>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1.6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</si>
  <si>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</si>
  <si>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</si>
  <si>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</si>
  <si>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</si>
  <si>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</si>
  <si>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</si>
  <si>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</si>
  <si>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</si>
  <si>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</si>
  <si>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</si>
  <si>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</si>
  <si>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</si>
  <si>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</si>
  <si>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</si>
  <si>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</si>
  <si>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</si>
  <si>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</si>
  <si>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</si>
  <si>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</si>
  <si>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</si>
  <si>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</si>
  <si>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</si>
  <si>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</si>
  <si>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</si>
  <si>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</si>
  <si>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</si>
  <si>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</si>
  <si>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</si>
  <si>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</si>
  <si>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</si>
  <si>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</si>
  <si>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</si>
  <si>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</si>
  <si>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</si>
  <si>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</si>
  <si>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</si>
  <si>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07/10/2026</t>
  </si>
  <si>
    <t>1.4</t>
  </si>
  <si>
    <t xml:space="preserve">Hanna viết lại khu vực Điều hướng và Danh sách scope (No. 1–67)</t>
  </si>
  <si>
    <t xml:space="preserve">FB-042 → FB-046</t>
  </si>
  <si>
    <t>1.5</t>
  </si>
  <si>
    <t xml:space="preserve">Viết lại từ Chi tiết scope trở xuống theo cách viết của bản 1.4; thêm case biên cho Evidence coverage, Coverage; đánh lại No. và TVP_ID</t>
  </si>
  <si>
    <t xml:space="preserve">FB-042 → FB-048</t>
  </si>
  <si>
    <t xml:space="preserve">Mọi ô Times New Roman 10; ô bắt đầu bằng dấu - có dấu nháy đơn ở đầu</t>
  </si>
  <si>
    <t xml:space="preserve">FB-016, FB-049</t>
  </si>
  <si>
    <t>08/10/2026</t>
  </si>
  <si>
    <t>1.6</t>
  </si>
  <si>
    <t>Frameworks</t>
  </si>
  <si>
    <t xml:space="preserve">Thêm sheet Frameworks (118 case; Expected để trống ở case còn câu hỏi Q-F)</t>
  </si>
  <si>
    <t xml:space="preserve">UC v4 FWK-01…07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</si>
  <si>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</si>
  <si>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</si>
  <si>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</si>
  <si>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</si>
  <si>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</si>
  <si>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</si>
  <si>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</si>
  <si>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</si>
  <si>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</si>
  <si>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</si>
  <si>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</si>
  <si>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</si>
  <si>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</si>
  <si>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</si>
  <si>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</si>
  <si>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</si>
  <si>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</si>
  <si>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</si>
  <si>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</si>
  <si>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</si>
  <si>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</si>
  <si>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</si>
  <si>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</si>
  <si>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</si>
  <si>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</si>
  <si>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</si>
  <si>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</si>
  <si>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</si>
  <si>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</si>
  <si>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</si>
  <si>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</si>
  <si>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</si>
  <si>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</si>
  <si>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</si>
  <si>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Trạng thái rỗng - Empty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</si>
  <si>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</si>
  <si>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</si>
  <si>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</si>
  <si>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</si>
  <si>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</si>
  <si>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</si>
  <si>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</si>
  <si>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</si>
  <si>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</si>
  <si>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</si>
  <si>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</si>
  <si>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</si>
  <si>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</si>
  <si>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</si>
  <si>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</si>
  <si>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</si>
  <si>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</si>
  <si>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</si>
  <si>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</si>
  <si>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</si>
  <si>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</si>
  <si>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</si>
  <si>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 xml:space="preserve">Vào danh sách - Framework list</t>
  </si>
  <si>
    <t xml:space="preserve">Vào chi tiết - Framework detail</t>
  </si>
  <si>
    <t xml:space="preserve">Quay lại - Back</t>
  </si>
  <si>
    <t xml:space="preserve">Danh sách framework - Framework list</t>
  </si>
  <si>
    <t xml:space="preserve">Tiêu đề trang - Page header</t>
  </si>
  <si>
    <t xml:space="preserve">Phân trang - Pagination</t>
  </si>
  <si>
    <t xml:space="preserve">Chi tiết framework - Framework detail</t>
  </si>
  <si>
    <t xml:space="preserve">Menu ba chấm - More menu</t>
  </si>
  <si>
    <t xml:space="preserve">Điều hướng trong màn - In-page tabs</t>
  </si>
  <si>
    <t xml:space="preserve">Yêu cầu - Requirements</t>
  </si>
  <si>
    <t xml:space="preserve">Nhập framework - Import framework</t>
  </si>
  <si>
    <t xml:space="preserve">Hộp thoại Import - Import dialog</t>
  </si>
  <si>
    <t xml:space="preserve">Chọn file - File picker</t>
  </si>
  <si>
    <t xml:space="preserve">Kiểm tra file - Check file</t>
  </si>
  <si>
    <t xml:space="preserve">Bản nháp - Draft preview</t>
  </si>
  <si>
    <t xml:space="preserve">Nội dung bản nháp - Draft content</t>
  </si>
  <si>
    <t xml:space="preserve">Khung Import bên phải - Import panel</t>
  </si>
  <si>
    <t xml:space="preserve">Huỷ bản nháp - Discard draft</t>
  </si>
  <si>
    <t xml:space="preserve">Kích hoạt framework - Activate framework</t>
  </si>
  <si>
    <t xml:space="preserve">Hộp thoại Activate - Activate dialog</t>
  </si>
  <si>
    <t xml:space="preserve">Hiển thị với khách hàng - Customer view</t>
  </si>
  <si>
    <t xml:space="preserve">SGS Admin</t>
  </si>
  <si>
    <t xml:space="preserve">SGS User</t>
  </si>
  <si>
    <t xml:space="preserve">SGS Consultant</t>
  </si>
  <si>
    <t xml:space="preserve">SGS Auditor/Certification</t>
  </si>
  <si>
    <t xml:space="preserve">Vai trò Customer</t>
  </si>
  <si>
    <t xml:space="preserve">Dữ liệu trong file import - Imported data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</si>
  <si>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</si>
  <si>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</si>
  <si>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</si>
  <si>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</si>
  <si>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</si>
  <si>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</si>
  <si>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</si>
  <si>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</si>
  <si>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</si>
  <si>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</si>
  <si>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</si>
  <si>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</si>
  <si>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</si>
  <si>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</si>
  <si>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</si>
  <si>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</si>
  <si>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</si>
  <si>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</si>
  <si>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</si>
  <si>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</si>
  <si>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</si>
  <si>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</si>
  <si>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</si>
  <si>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</si>
  <si>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</si>
  <si>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</si>
  <si>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</si>
  <si>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</si>
  <si>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</si>
  <si>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</si>
  <si>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</si>
  <si>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</si>
  <si>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</si>
  <si>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</si>
  <si>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</si>
  <si>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</si>
  <si>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</si>
  <si>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</si>
  <si>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</si>
  <si>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</si>
  <si>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</si>
  <si>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</si>
  <si>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</si>
  <si>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</si>
  <si>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</si>
  <si>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</si>
  <si>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</si>
  <si>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</si>
  <si>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</si>
  <si>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</si>
  <si>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</si>
  <si>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</si>
  <si>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</si>
  <si>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</si>
  <si>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</si>
  <si>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</si>
  <si>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</si>
  <si>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</si>
  <si>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</si>
  <si>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</si>
  <si>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</si>
  <si>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</si>
  <si>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</si>
  <si>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</si>
  <si>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</si>
  <si>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</si>
  <si>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</si>
  <si>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</si>
  <si>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</si>
  <si>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</si>
  <si>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</si>
  <si>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</si>
  <si>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</si>
  <si>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</si>
  <si>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</si>
  <si>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</si>
  <si>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</si>
  <si>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</si>
  <si>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</si>
  <si>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</si>
  <si>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</si>
  <si>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</si>
  <si>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</si>
  <si>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</si>
  <si>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</si>
  <si>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</si>
  <si>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</si>
  <si>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</si>
  <si>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</si>
  <si>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</si>
  <si>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</si>
  <si>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</si>
  <si>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</si>
  <si>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</si>
  <si>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</si>
  <si>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</si>
  <si>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</si>
  <si>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</si>
  <si>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</si>
  <si>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</si>
  <si>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</si>
  <si>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</si>
  <si>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</si>
  <si>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</si>
  <si>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</si>
  <si>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</si>
  <si>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</si>
  <si>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</si>
  <si>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</si>
  <si>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</si>
  <si>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</si>
  <si>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</si>
  <si>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</si>
  <si>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</si>
  <si>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</si>
  <si>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</si>
  <si>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</si>
  <si>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</si>
  <si>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</si>
  <si>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</si>
  <si>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</si>
  <si>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</si>
  <si>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</si>
  <si>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</si>
  <si>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</si>
  <si>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</si>
  <si>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</si>
  <si>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</si>
  <si>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</si>
  <si>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</si>
  <si>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</si>
  <si>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</si>
  <si>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</si>
  <si>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</si>
  <si>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</si>
  <si>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</si>
  <si>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</si>
  <si>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</si>
  <si>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</si>
  <si>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</si>
  <si>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</si>
  <si>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</si>
  <si>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</si>
  <si>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</si>
  <si>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</si>
  <si>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</si>
  <si>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</si>
  <si>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</si>
  <si>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</si>
  <si>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</si>
  <si>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</si>
  <si>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</si>
  <si>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</si>
  <si>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</si>
  <si>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</si>
  <si>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</si>
  <si>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</si>
  <si>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</si>
  <si>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</si>
  <si>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</si>
  <si>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</si>
  <si>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</si>
  <si>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</si>
  <si>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</si>
  <si>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</si>
  <si>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</si>
  <si>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</si>
  <si>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</si>
  <si>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</si>
  <si>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</si>
  <si>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</si>
  <si>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</si>
  <si>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</si>
  <si>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</si>
  <si>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</si>
  <si>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</si>
  <si>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</si>
  <si>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</si>
  <si>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</si>
  <si>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</si>
  <si>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</si>
  <si>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</si>
  <si>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</si>
  <si>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</si>
  <si>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</si>
  <si>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</si>
  <si>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</si>
  <si>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</si>
  <si>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</si>
  <si>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</si>
  <si>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</si>
  <si>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</si>
  <si>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</si>
  <si>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</si>
  <si>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</si>
  <si>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</si>
  <si>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</si>
  <si>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</si>
  <si>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</si>
  <si>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</si>
  <si>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</si>
  <si>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</si>
  <si>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</si>
  <si>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</si>
  <si>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</si>
  <si>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</si>
  <si>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</si>
  <si>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</si>
  <si>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</si>
  <si>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</si>
  <si>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</si>
  <si>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</si>
  <si>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</si>
  <si>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</si>
  <si>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</si>
  <si>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</si>
  <si>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</si>
  <si>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</si>
  <si>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</si>
  <si>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</si>
  <si>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</si>
  <si>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</si>
  <si>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</si>
  <si>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</si>
  <si>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</si>
  <si>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</si>
  <si>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</si>
  <si>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</si>
  <si>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</si>
  <si>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</si>
  <si>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</si>
  <si>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</si>
  <si>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</si>
  <si>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</si>
  <si>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</si>
  <si>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</si>
  <si>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</si>
  <si>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</si>
  <si>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</si>
  <si>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</si>
  <si>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</si>
  <si>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</si>
  <si>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</si>
  <si>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</si>
  <si>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</si>
  <si>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</si>
  <si>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</si>
  <si>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</si>
  <si>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</si>
  <si>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</si>
  <si>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</si>
  <si>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</si>
  <si>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</si>
  <si>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</si>
  <si>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</si>
  <si>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</si>
  <si>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</si>
  <si>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</si>
  <si>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</si>
  <si>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</si>
  <si>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</si>
  <si>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</si>
  <si>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</si>
  <si>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</si>
  <si>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</si>
  <si>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</si>
  <si>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</si>
  <si>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</si>
  <si>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</si>
  <si>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</si>
  <si>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</si>
  <si>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</si>
  <si>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</si>
  <si>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</si>
  <si>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</si>
  <si>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</si>
  <si>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</si>
  <si>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</si>
  <si>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</si>
  <si>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</si>
  <si>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</si>
  <si>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</si>
  <si>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</si>
  <si>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</si>
  <si>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</si>
  <si>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</si>
  <si>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</si>
  <si>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</si>
  <si>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</si>
  <si>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</si>
  <si>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</si>
  <si>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</si>
  <si>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</si>
  <si>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</si>
  <si>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</si>
  <si>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</si>
  <si>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</si>
  <si>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</si>
  <si>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</si>
  <si>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</si>
  <si>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</si>
  <si>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</si>
  <si>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</si>
  <si>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</si>
  <si>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</si>
  <si>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</si>
  <si>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</si>
  <si>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</si>
  <si>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</si>
  <si>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</si>
  <si>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</si>
  <si>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</si>
  <si>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</si>
  <si>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</si>
  <si>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</si>
  <si>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</si>
  <si>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</si>
  <si>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</si>
  <si>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</si>
  <si>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</si>
  <si>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</si>
  <si>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</si>
  <si>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</si>
  <si>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</si>
  <si>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</si>
  <si>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</si>
  <si>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</si>
  <si>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</si>
  <si>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</si>
  <si>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</si>
  <si>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</si>
  <si>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</si>
  <si>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</si>
  <si>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</si>
  <si>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</si>
  <si>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</si>
  <si>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</si>
  <si>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</si>
  <si>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</si>
  <si>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</si>
  <si>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</si>
  <si>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</si>
  <si>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</si>
  <si>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</si>
  <si>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</si>
  <si>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</si>
  <si>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</si>
  <si>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</si>
  <si>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</si>
  <si>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</si>
  <si>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</si>
  <si>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</si>
  <si>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</si>
  <si>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</si>
  <si>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</si>
  <si>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</si>
  <si>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</si>
  <si>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</si>
  <si>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</si>
  <si>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</si>
  <si>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</si>
  <si>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</si>
  <si>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</si>
  <si>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</si>
  <si>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</si>
  <si>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</si>
  <si>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</si>
  <si>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</si>
  <si>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</si>
  <si>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</si>
  <si>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</si>
  <si>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</si>
  <si>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</si>
  <si>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</si>
  <si>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đúng dạng URL
- Tiêu đề trang đúng định dạng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</si>
  <si>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</si>
  <si>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</si>
  <si>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</si>
  <si>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</si>
  <si>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đúng định dạng</t>
  </si>
  <si>
    <t xml:space="preserve">- Hiển thị màn chi tiết của màn hình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</si>
  <si>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</si>
  <si>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</si>
  <si>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</si>
  <si>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định dạng</t>
  </si>
  <si>
    <t xml:space="preserve">- Hiển thị lỗi: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</si>
  <si>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</si>
  <si>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</si>
  <si>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</si>
  <si>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</si>
  <si>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</si>
  <si>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</si>
  <si>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</si>
  <si>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</si>
  <si>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</si>
  <si>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Scope_007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</si>
  <si>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</si>
  <si>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</si>
  <si>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</si>
  <si>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</si>
  <si>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</si>
  <si>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</si>
  <si>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Scope_008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</si>
  <si>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</si>
  <si>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</si>
  <si>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</si>
  <si>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</si>
  <si>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</si>
  <si>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</si>
  <si>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</si>
  <si>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Scope_009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</si>
  <si>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</si>
  <si>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</si>
  <si>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</si>
  <si>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</si>
  <si>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Scope_010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</si>
  <si>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</si>
  <si>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</si>
  <si>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</si>
  <si>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</si>
  <si>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</si>
  <si>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Scope_011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</si>
  <si>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</si>
  <si>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</si>
  <si>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</si>
  <si>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</si>
  <si>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</si>
  <si>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Scope_012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</si>
  <si>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</si>
  <si>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</si>
  <si>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</si>
  <si>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</si>
  <si>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</si>
  <si>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</si>
  <si>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Scope_013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</si>
  <si>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</si>
  <si>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</si>
  <si>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</si>
  <si>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</si>
  <si>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Scope_014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</si>
  <si>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</si>
  <si>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</si>
  <si>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</si>
  <si>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chọn Type</t>
  </si>
  <si>
    <t>Scope_015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</si>
  <si>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</si>
  <si>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</si>
  <si>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</si>
  <si>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</si>
  <si>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</si>
  <si>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Scope_016</t>
  </si>
  <si>
    <t xml:space="preserve"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</si>
  <si>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</si>
  <si>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</si>
  <si>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 xml:space="preserve">Name chỉ có khoảng trắng</t>
  </si>
  <si>
    <t>Scope_017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</si>
  <si>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</si>
  <si>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</si>
  <si>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</si>
  <si>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</si>
  <si>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Scope_018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</si>
  <si>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</si>
  <si>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</si>
  <si>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</si>
  <si>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</si>
  <si>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>Scope_019</t>
  </si>
  <si>
    <t xml:space="preserve"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</si>
  <si>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</si>
  <si>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Trùng tên</t>
  </si>
  <si>
    <t>Scope_020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</si>
  <si>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</si>
  <si>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</si>
  <si>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</si>
  <si>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</si>
  <si>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</si>
  <si>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Scope_021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</si>
  <si>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</si>
  <si>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</si>
  <si>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</si>
  <si>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Scope_022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</si>
  <si>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</si>
  <si>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</si>
  <si>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</si>
  <si>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</si>
  <si>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</si>
  <si>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Scope_023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</si>
  <si>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</si>
  <si>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</si>
  <si>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</si>
  <si>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</si>
  <si>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Scope_024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</si>
  <si>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</si>
  <si>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</si>
  <si>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</si>
  <si>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</si>
  <si>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Scope_025</t>
  </si>
  <si>
    <t xml:space="preserve"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</si>
  <si>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</si>
  <si>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</si>
  <si>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</si>
  <si>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</si>
  <si>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</si>
  <si>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</si>
  <si>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</si>
  <si>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System — hiện ở danh sách</t>
  </si>
  <si>
    <t>Scope_027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</si>
  <si>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</si>
  <si>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</si>
  <si>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</si>
  <si>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 xml:space="preserve">Dòng đếm</t>
  </si>
  <si>
    <t xml:space="preserve">Tổng số scope</t>
  </si>
  <si>
    <t>Scope_028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</si>
  <si>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</si>
  <si>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</si>
  <si>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</si>
  <si>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</si>
  <si>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</si>
  <si>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Scope_029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</si>
  <si>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</si>
  <si>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</si>
  <si>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</si>
  <si>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</si>
  <si>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Scope_030</t>
  </si>
  <si>
    <t xml:space="preserve"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</si>
  <si>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</si>
  <si>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</si>
  <si>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</si>
  <si>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</si>
  <si>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Scope_031</t>
  </si>
  <si>
    <t xml:space="preserve">Kiểm tra tìm kiếm khi nhập chữ hoa</t>
  </si>
  <si>
    <t xml:space="preserve">1. Mở màn Scopes
2. Nhập [từ khóa] viết hoa vào ô tìm kiếm</t>
  </si>
  <si>
    <t xml:space="preserve">- Hệ thống hiển thị data đúng định dạng, không phân biệt chữ hoa hay không</t>
  </si>
  <si>
    <t xml:space="preserve">Có phân biệt hoa thường không (prototype không phân biệt) → Q-S-07</t>
  </si>
  <si>
    <t xml:space="preserve">Không có kết quả</t>
  </si>
  <si>
    <t>Scope_032</t>
  </si>
  <si>
    <t xml:space="preserve"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</si>
  <si>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</si>
  <si>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</si>
  <si>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 xml:space="preserve">Text lấy từ prototype, Figma chưa có trạng thái này → Q-S-07</t>
  </si>
  <si>
    <t xml:space="preserve">Ký tự đặc biệt</t>
  </si>
  <si>
    <t>Scope_033</t>
  </si>
  <si>
    <t xml:space="preserve"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</si>
  <si>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</si>
  <si>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</si>
  <si>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</si>
  <si>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Scope_034</t>
  </si>
  <si>
    <t xml:space="preserve"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</si>
  <si>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</si>
  <si>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</si>
  <si>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</si>
  <si>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Scope_035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</si>
  <si>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</si>
  <si>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</si>
  <si>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</si>
  <si>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</si>
  <si>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</si>
  <si>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Scope_036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</si>
  <si>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</si>
  <si>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</si>
  <si>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</si>
  <si>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</si>
  <si>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Scope_037</t>
  </si>
  <si>
    <t xml:space="preserve">Kiểm tra cột Belongs to với scope Organization</t>
  </si>
  <si>
    <t xml:space="preserve">1. Mở màn Scopes
2. Kiểm tra cột Belongs to của type: Organization</t>
  </si>
  <si>
    <t xml:space="preserve">- Hiển thị Belongs to: —</t>
  </si>
  <si>
    <t>Scope_038</t>
  </si>
  <si>
    <t xml:space="preserve">Kiểm tra cột Belongs to với scope Product</t>
  </si>
  <si>
    <t xml:space="preserve">1. Mở màn Scopes
2. Kiểm tra cột Belongs to của type: Product</t>
  </si>
  <si>
    <t>Scope_039</t>
  </si>
  <si>
    <t xml:space="preserve"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</si>
  <si>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</si>
  <si>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</si>
  <si>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</si>
  <si>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 xml:space="preserve"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</si>
  <si>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</si>
  <si>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 xml:space="preserve">Cột Frameworks — đã gắn</t>
  </si>
  <si>
    <t>Scope_041</t>
  </si>
  <si>
    <t xml:space="preserve"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</si>
  <si>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</si>
  <si>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</si>
  <si>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</si>
  <si>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Scope_042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</si>
  <si>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</si>
  <si>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</si>
  <si>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gắn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</si>
  <si>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</si>
  <si>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</si>
  <si>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</si>
  <si>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Scope_043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</si>
  <si>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</si>
  <si>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</si>
  <si>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</si>
  <si>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</si>
  <si>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</si>
  <si>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>Scope_044</t>
  </si>
  <si>
    <t xml:space="preserve"> Evidence coverage có nhiều framework</t>
  </si>
  <si>
    <t xml:space="preserve">1. Mở màn hình Scopes
2. Tạo Frameworks với:
- Framework A: 74/116;
- Framework B: 6/31;
- Framework C: 0/78</t>
  </si>
  <si>
    <t xml:space="preserve">- Hiển thị Evidence coverage = (74+6+0)/(116+31+78) × 100 = 35.56% → 36%</t>
  </si>
  <si>
    <t>UC-RDN-004</t>
  </si>
  <si>
    <t>Scope_045</t>
  </si>
  <si>
    <t xml:space="preserve"> Evidence coverage có 2 framework</t>
  </si>
  <si>
    <t xml:space="preserve">1. Mở màn hình Scopes
2. Tạo Frameworks với:
- Framework A: 16/40;
- Framework B: 38/61;</t>
  </si>
  <si>
    <t xml:space="preserve">- Hiển thị Evidence coverage = (16+38)/(40+61) × 100 = 53.47% → 53%</t>
  </si>
  <si>
    <t>Scope_046</t>
  </si>
  <si>
    <t xml:space="preserve">Tất cả requirement đều có mandatory evidence</t>
  </si>
  <si>
    <t xml:space="preserve">1. Mở màn hình Scopes
2. Tạo Frameworks với:
- Framework A: 40/40;
- Framework B: 61/61;</t>
  </si>
  <si>
    <t xml:space="preserve">- Hiển thị Evidence coverage = 101/101 × 100 = 100%</t>
  </si>
  <si>
    <t>Scope_047</t>
  </si>
  <si>
    <t xml:space="preserve">Không có requirement nào có mandatory evidence</t>
  </si>
  <si>
    <t xml:space="preserve">1. Mở màn hình Scopes
2. Tạo Frameworks với:
- Framework A: 0/116;
- Framework B: 0/31;</t>
  </si>
  <si>
    <t xml:space="preserve">- Hiển thị Evidence coverage = 0/147 × 100 = 0%</t>
  </si>
  <si>
    <t>Scope_048</t>
  </si>
  <si>
    <t xml:space="preserve">Chỉ có 1 framework được gắn link</t>
  </si>
  <si>
    <t xml:space="preserve">1. Mở màn hình Scopes
2. Tạo Frameworks với:
- Framework A: 16/40;</t>
  </si>
  <si>
    <t xml:space="preserve">- Hiển thị Evidence coverage = 16/40 × 100 = 40%</t>
  </si>
  <si>
    <t>Scope_049</t>
  </si>
  <si>
    <t xml:space="preserve">Một framework đạt 100%, một framework đạt 0%</t>
  </si>
  <si>
    <t xml:space="preserve">1. Mở màn hình Scopes
2. Tạo Frameworks với:
- Framework A: 40/40;
- Framework B: 0/60;</t>
  </si>
  <si>
    <t xml:space="preserve">- Hiển thị Evidence coverage = 40/100 × 100 = 40%</t>
  </si>
  <si>
    <t xml:space="preserve">[ĐỀ XUẤT LÙI] RDN-004 0 giờ, LTS đề xuất Phase 2. Prototype: 54% = (74+6)/(116+31) → Q-S-11</t>
  </si>
  <si>
    <t>Scope_050</t>
  </si>
  <si>
    <t xml:space="preserve">Kiểm tra Evidence coverage khi scope chưa gắn framework nào</t>
  </si>
  <si>
    <t xml:space="preserve">1. Mở màn hình Scopes
2. Kiểm tra cột Evidence coverage của scope chưa gắn framework</t>
  </si>
  <si>
    <t xml:space="preserve">- Hiển thị Evidence coverage:—</t>
  </si>
  <si>
    <t xml:space="preserve">Scope chưa gắn framework: cột Evidence coverage hiện —, 0% hay để trống → Q-S-13</t>
  </si>
  <si>
    <t>Scope_051</t>
  </si>
  <si>
    <t xml:space="preserve">Kiểm tra Evidence coverage khi phần thập phân đúng bằng .5</t>
  </si>
  <si>
    <t xml:space="preserve">1. Mở màn hình Scopes
2. Tạo Frameworks với:
- Framework A: 1/8</t>
  </si>
  <si>
    <t xml:space="preserve">- Hiển thị Evidence coverage = 1/8 × 100 = 12.5% → 13%</t>
  </si>
  <si>
    <t xml:space="preserve">1/8 × 100 = 12.5%: hiển thị 12% hay 13% (cách làm tròn khi phần thập phân đúng bằng .5) → Q-S-11</t>
  </si>
  <si>
    <t>Scope_052</t>
  </si>
  <si>
    <t xml:space="preserve">Kiểm tra Evidence coverage khi kết quả trên 0% và dưới 0.5%</t>
  </si>
  <si>
    <t xml:space="preserve">1. Mở màn hình Scopes
2. Tạo Frameworks với:
- Framework A: 1/250</t>
  </si>
  <si>
    <t xml:space="preserve">- Hiển thị Evidence coverage = 1/250 × 100 = 0.4% → 0%.</t>
  </si>
  <si>
    <t xml:space="preserve">1/250 × 100 = 0.4%: làm tròn như các case trên thì ra 0% dù đã có 1 requirement đủ evidence; hiển thị 0%, 1% hay &lt;1% → Q-S-11</t>
  </si>
  <si>
    <t>Scope_053</t>
  </si>
  <si>
    <t xml:space="preserve">Kiểm tra Evidence coverage khi kết quả từ 99.5% đến dưới 100%</t>
  </si>
  <si>
    <t xml:space="preserve">1. Mở màn hình Scopes
2. Tạo Frameworks với:
- Framework A: 249/250</t>
  </si>
  <si>
    <t xml:space="preserve">- Hiển thị Evidence coverage = 249/250 × 100 = 99.6% → 100%.</t>
  </si>
  <si>
    <t xml:space="preserve">249/250 × 100 = 99.6%: làm tròn như các case trên thì ra 100% dù còn 1 requirement chưa đủ evidence; hiển thị 100% hay 99% → Q-S-11</t>
  </si>
  <si>
    <t xml:space="preserve">Sắp xếp</t>
  </si>
  <si>
    <t xml:space="preserve">Thứ tự mặc định</t>
  </si>
  <si>
    <t>Scope_054</t>
  </si>
  <si>
    <t xml:space="preserve">Kiểm tra thứ tự mặc định của danh sách</t>
  </si>
  <si>
    <t xml:space="preserve">1. Mở màn Scopes, kiểm tra thứ tự các dòng</t>
  </si>
  <si>
    <t xml:space="preserve">- Hiển thị theo thứ tự thời gian cũ nhất xuống mới nhất</t>
  </si>
  <si>
    <t xml:space="preserve">Mặc định sắp theo gì (prototype không theo tên) → Q-S-08</t>
  </si>
  <si>
    <t xml:space="preserve">Bấm lần 1</t>
  </si>
  <si>
    <t>Scope_055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</si>
  <si>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</si>
  <si>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</si>
  <si>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</si>
  <si>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</si>
  <si>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</si>
  <si>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Scope_056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</si>
  <si>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</si>
  <si>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</si>
  <si>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</si>
  <si>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Scope_057</t>
  </si>
  <si>
    <t xml:space="preserve">Kiểm tra dòng phân trang mặc định</t>
  </si>
  <si>
    <t xml:space="preserve">1. Mở màn Scopes
2. Kiểm tra thông tin: Items per page</t>
  </si>
  <si>
    <t xml:space="preserve">- Hiển thị mặc định là 10 items</t>
  </si>
  <si>
    <t xml:space="preserve">Figma: 1–4 of 4 items · Page 1 of 1. Prototype: Items per page 10 · 1–4 of 4 items · [1] of 1 page · ‹ › → Q-S-09</t>
  </si>
  <si>
    <t xml:space="preserve">Các giá trị khác</t>
  </si>
  <si>
    <t>Scope_058</t>
  </si>
  <si>
    <t xml:space="preserve"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</si>
  <si>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</si>
  <si>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</si>
  <si>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 xml:space="preserve">Đổi số dòng</t>
  </si>
  <si>
    <t xml:space="preserve">Chọn giá trị khác</t>
  </si>
  <si>
    <t>Scope_059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</si>
  <si>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</si>
  <si>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</si>
  <si>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</si>
  <si>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Hiển thị đủ 11 items trên bảng dữ liệu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</si>
  <si>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</si>
  <si>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</si>
  <si>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</si>
  <si>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>Scope_060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</si>
  <si>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</si>
  <si>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</si>
  <si>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</si>
  <si>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</si>
  <si>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Scope_061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</si>
  <si>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</si>
  <si>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</si>
  <si>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</si>
  <si>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</si>
  <si>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</si>
  <si>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Scope_062</t>
  </si>
  <si>
    <t xml:space="preserve"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</si>
  <si>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</si>
  <si>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</si>
  <si>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</si>
  <si>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</si>
  <si>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>Scope_063</t>
  </si>
  <si>
    <t xml:space="preserve">Kiểm tra dòng phụ theo loại scope Organization</t>
  </si>
  <si>
    <t xml:space="preserve">1. Mở chi tiết scope Organization</t>
  </si>
  <si>
    <t xml:space="preserve">- Hiển thị title: Organization scope · [Tên Organization]</t>
  </si>
  <si>
    <t>Scope_064</t>
  </si>
  <si>
    <t xml:space="preserve">Kiểm tra dòng phụ theo loại scope Product</t>
  </si>
  <si>
    <t xml:space="preserve">1. Mở chi tiết scope Product</t>
  </si>
  <si>
    <t xml:space="preserve">- Hiển thị title: Product scope · [Tên Organization]</t>
  </si>
  <si>
    <t>Scope_065</t>
  </si>
  <si>
    <t xml:space="preserve">Kiểm tra dòng phụ theo loại scope System</t>
  </si>
  <si>
    <t xml:space="preserve">1. Mở chi tiết scope System</t>
  </si>
  <si>
    <t xml:space="preserve">- Hiển thị title: System scope · [Tên Organization]</t>
  </si>
  <si>
    <t xml:space="preserve">Nút quay lại</t>
  </si>
  <si>
    <t xml:space="preserve">Bấm ←</t>
  </si>
  <si>
    <t>Scope_066</t>
  </si>
  <si>
    <t xml:space="preserve">Kiểm tra nút quay lại</t>
  </si>
  <si>
    <t xml:space="preserve">1. Mở chi tiết scope (bấm tên scope ở màn Scopes)
2. Bấm nút ←</t>
  </si>
  <si>
    <t xml:space="preserve">- Quay về màn Scopes</t>
  </si>
  <si>
    <t xml:space="preserve">Menu ⋮</t>
  </si>
  <si>
    <t xml:space="preserve">Các mục</t>
  </si>
  <si>
    <t>Scope_067</t>
  </si>
  <si>
    <t xml:space="preserve">Kiểm tra menu ⋮ của scope</t>
  </si>
  <si>
    <t xml:space="preserve">1. Mở chi tiết scope (bấm tên scope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</si>
  <si>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</si>
  <si>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</si>
  <si>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</si>
  <si>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</si>
  <si>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Scope_068</t>
  </si>
  <si>
    <t xml:space="preserve">Kiểm tra mục Edit scope trong menu ⋮</t>
  </si>
  <si>
    <t xml:space="preserve">1. Mở chi tiết scope (bấm tên scope ở màn Scopes)
2. Bấm nút ⋮
3. Bấm Edit scope</t>
  </si>
  <si>
    <t xml:space="preserve">- Mở hộp thoại Edit scope</t>
  </si>
  <si>
    <t xml:space="preserve">Figma không có frame sửa scope → Q-S-15</t>
  </si>
  <si>
    <t xml:space="preserve">Ba mục</t>
  </si>
  <si>
    <t>Scope_069</t>
  </si>
  <si>
    <t xml:space="preserve"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</si>
  <si>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</si>
  <si>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</si>
  <si>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 xml:space="preserve">Bấm mục</t>
  </si>
  <si>
    <t xml:space="preserve">Frameworks, Users</t>
  </si>
  <si>
    <t>Scope_070</t>
  </si>
  <si>
    <t xml:space="preserve"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</si>
  <si>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</si>
  <si>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</si>
  <si>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 xml:space="preserve">Scope Organization</t>
  </si>
  <si>
    <t>Scope_071</t>
  </si>
  <si>
    <t xml:space="preserve">Kiểm tra khối Overview của scope Organization</t>
  </si>
  <si>
    <t xml:space="preserve"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</si>
  <si>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</si>
  <si>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</si>
  <si>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 xml:space="preserve">Scope Product</t>
  </si>
  <si>
    <t>Scope_072</t>
  </si>
  <si>
    <t xml:space="preserve">Kiểm tra khối Overview của scope Product</t>
  </si>
  <si>
    <t xml:space="preserve"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</si>
  <si>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</si>
  <si>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</si>
  <si>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 xml:space="preserve">Scope System</t>
  </si>
  <si>
    <t>Scope_073</t>
  </si>
  <si>
    <t xml:space="preserve">Kiểm tra khối Overview của scope System</t>
  </si>
  <si>
    <t xml:space="preserve"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</si>
  <si>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</si>
  <si>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</si>
  <si>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 xml:space="preserve">Trường không có dữ liệu</t>
  </si>
  <si>
    <t>Scope_074</t>
  </si>
  <si>
    <t xml:space="preserve">Kiểm tra trường không có dữ liệu</t>
  </si>
  <si>
    <t xml:space="preserve">Đăng nhập account Customer Admin; scope Product chưa có scope System thuộc về, What is out of scope (optional) để trống</t>
  </si>
  <si>
    <t xml:space="preserve">- Contains: —
- Out of scope: —</t>
  </si>
  <si>
    <t xml:space="preserve">Bấm Edit</t>
  </si>
  <si>
    <t>Scope_075</t>
  </si>
  <si>
    <t xml:space="preserve"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</si>
  <si>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</si>
  <si>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</si>
  <si>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 xml:space="preserve">Figma không có frame sửa scope; không cho đổi Type, Belongs to có đúng chủ ý → Q-S-15</t>
  </si>
  <si>
    <t xml:space="preserve">Xoá trống Name</t>
  </si>
  <si>
    <t>Scope_076</t>
  </si>
  <si>
    <t xml:space="preserve"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</si>
  <si>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</si>
  <si>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</si>
  <si>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</si>
  <si>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Scope_077</t>
  </si>
  <si>
    <t xml:space="preserve"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</si>
  <si>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</si>
  <si>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</si>
  <si>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</si>
  <si>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Scope_078</t>
  </si>
  <si>
    <t xml:space="preserve"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</si>
  <si>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</si>
  <si>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</si>
  <si>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</si>
  <si>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>Scope_079</t>
  </si>
  <si>
    <t xml:space="preserve"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</si>
  <si>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</si>
  <si>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</si>
  <si>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</si>
  <si>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Scope_080</t>
  </si>
  <si>
    <t xml:space="preserve">Kiểm tra sửa scope khi đang có audit</t>
  </si>
  <si>
    <t xml:space="preserve"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</si>
  <si>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</si>
  <si>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</si>
  <si>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 xml:space="preserve">Quy tắc và text lấy từ prototype, UC không ghi → Q-S-16</t>
  </si>
  <si>
    <t xml:space="preserve">Đổi Name — tiêu đề chi tiết</t>
  </si>
  <si>
    <t>Scope_081</t>
  </si>
  <si>
    <t xml:space="preserve"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</si>
  <si>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</si>
  <si>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</si>
  <si>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 xml:space="preserve">Đổi Name — danh sách</t>
  </si>
  <si>
    <t>Scope_082</t>
  </si>
  <si>
    <t xml:space="preserve"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</si>
  <si>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</si>
  <si>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 xml:space="preserve">- Cột Scope hiển thị tên mới: abc1</t>
  </si>
  <si>
    <t xml:space="preserve">Sửa In scope, Out of scope</t>
  </si>
  <si>
    <t>Scope_083</t>
  </si>
  <si>
    <t xml:space="preserve"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</si>
  <si>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</si>
  <si>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</si>
  <si>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 xml:space="preserve">Trạng thái rỗng</t>
  </si>
  <si>
    <t xml:space="preserve">Chưa gắn framework</t>
  </si>
  <si>
    <t>Scope_084</t>
  </si>
  <si>
    <t xml:space="preserve">Kiểm tra khối Frameworks khi scope chưa gắn framework</t>
  </si>
  <si>
    <t xml:space="preserve">1. Mở chi tiết scope chưa gắn framework
2. Kiểm tra khối số 2 Frameworks</t>
  </si>
  <si>
    <t xml:space="preserve">- Hiển thị title:
"No framework linked yet. Link one to create a workspace and start collecting evidence."</t>
  </si>
  <si>
    <t xml:space="preserve">Khối Frameworks khi chưa gắn framework hiển thị gì → Q-S-13</t>
  </si>
  <si>
    <t xml:space="preserve">Tiêu đề khối và cột</t>
  </si>
  <si>
    <t>Scope_085</t>
  </si>
  <si>
    <t xml:space="preserve"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</si>
  <si>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</si>
  <si>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</si>
  <si>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 xml:space="preserve">Nhãn nút: Figma 'Link framework', prototype '+ Link framework' → Q-S-03</t>
  </si>
  <si>
    <t xml:space="preserve">Cột Framework · version</t>
  </si>
  <si>
    <t>Scope_086</t>
  </si>
  <si>
    <t xml:space="preserve"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</si>
  <si>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</si>
  <si>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</si>
  <si>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 xml:space="preserve">Cột Tier</t>
  </si>
  <si>
    <t>Scope_087</t>
  </si>
  <si>
    <t xml:space="preserve">Kiểm tra cột Tier của framework có tier</t>
  </si>
  <si>
    <t xml:space="preserve">1. Mở chi tiết scope đã gắn framework có tier
2. Kiểm tra cột Tier của framework đó</t>
  </si>
  <si>
    <t xml:space="preserve">- Hiển thị tier hiện tại của framework</t>
  </si>
  <si>
    <t xml:space="preserve">Prototype ghi 'Medium · 中' ở đây nhưng 'Medium' ở danh sách và Summary; tier có phải 'obligation level' của SCP-002 → Q-S-17</t>
  </si>
  <si>
    <t>Scope_088</t>
  </si>
  <si>
    <t xml:space="preserve">Kiểm tra cột Tier của framework không phân tier</t>
  </si>
  <si>
    <t xml:space="preserve">1. Mở chi tiết scope đã gắn framework không phân tier
2. Kiểm tra cột Tier của framework đó</t>
  </si>
  <si>
    <t xml:space="preserve">- Hiển thị: No tiers</t>
  </si>
  <si>
    <t xml:space="preserve">Cột Coverage</t>
  </si>
  <si>
    <t>Scope_089</t>
  </si>
  <si>
    <t xml:space="preserve">Kiểm tra cột Coverage khi kết quả phải làm tròn lên</t>
  </si>
  <si>
    <t xml:space="preserve">1. Mở chi tiết scope
2. Tạo Frameworks với:
- Framework A: 74/116
3. Kiểm tra cột Coverage của Framework A</t>
  </si>
  <si>
    <t xml:space="preserve">- Hiển thị Coverage = 74/116 × 100 = 63.79% → 64%</t>
  </si>
  <si>
    <t xml:space="preserve">[ĐỀ XUẤT LÙI] RDN-004. Cách tính và làm tròn lấy theo cột Evidence coverage ở danh sách; prototype hiện &lt;%&gt; + thanh tiến trình + &lt;đã có&gt;/&lt;tổng&gt; → Q-S-11</t>
  </si>
  <si>
    <t>Scope_090</t>
  </si>
  <si>
    <t xml:space="preserve">Kiểm tra cột Coverage khi kết quả phải làm tròn xuống</t>
  </si>
  <si>
    <t xml:space="preserve">1. Mở chi tiết scope
2. Tạo Frameworks với:
- Framework A: 6/31
3. Kiểm tra cột Coverage của Framework A</t>
  </si>
  <si>
    <t xml:space="preserve">- Hiển thị Coverage = 6/31 × 100 = 19.35% → 19%</t>
  </si>
  <si>
    <t>Scope_091</t>
  </si>
  <si>
    <t xml:space="preserve">Kiểm tra cột Coverage khi chưa requirement nào đủ evidence</t>
  </si>
  <si>
    <t xml:space="preserve">1. Mở chi tiết scope
2. Tạo Frameworks với:
- Framework A: 0/78
3. Kiểm tra cột Coverage của Framework A</t>
  </si>
  <si>
    <t xml:space="preserve">- Hiển thị Coverage = 0/78 × 100 = 0%</t>
  </si>
  <si>
    <t>Scope_092</t>
  </si>
  <si>
    <t xml:space="preserve">Kiểm tra cột Coverage khi mọi requirement đều đủ evidence</t>
  </si>
  <si>
    <t xml:space="preserve">1. Mở chi tiết scope
2. Tạo Frameworks với:
- Framework A: 61/61
3. Kiểm tra cột Coverage của Framework A</t>
  </si>
  <si>
    <t xml:space="preserve">- Hiển thị Coverage = 61/61 × 100 = 100%</t>
  </si>
  <si>
    <t xml:space="preserve">Cột Status</t>
  </si>
  <si>
    <t>Scope_093</t>
  </si>
  <si>
    <t xml:space="preserve">Kiểm tra cột Status</t>
  </si>
  <si>
    <t xml:space="preserve">1. Mở chi tiết scope đã gắn framework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</si>
  <si>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</si>
  <si>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</si>
  <si>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</si>
  <si>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Scope_094</t>
  </si>
  <si>
    <t xml:space="preserve"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</si>
  <si>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</si>
  <si>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</si>
  <si>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 xml:space="preserve">Bấm tên framework</t>
  </si>
  <si>
    <t>Scope_095</t>
  </si>
  <si>
    <t xml:space="preserve">Kiểm tra mở workspace từ tên framework</t>
  </si>
  <si>
    <t xml:space="preserve">1. Mở chi tiết scope đã gắn framework
2. Bấm tên một framework trong bảng ở khối Frameworks</t>
  </si>
  <si>
    <t xml:space="preserve">- Chuyển sang màn workspace của framework đó trong scope đang xem</t>
  </si>
  <si>
    <t xml:space="preserve">Bấm nút gắn framework</t>
  </si>
  <si>
    <t>Scope_096</t>
  </si>
  <si>
    <t xml:space="preserve"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</si>
  <si>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</si>
  <si>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</si>
  <si>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</si>
  <si>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 xml:space="preserve">Danh sách framework</t>
  </si>
  <si>
    <t xml:space="preserve">Các lựa chọn</t>
  </si>
  <si>
    <t>Scope_097</t>
  </si>
  <si>
    <t xml:space="preserve">Kiểm tra danh sách framework</t>
  </si>
  <si>
    <t xml:space="preserve">1. Mở chi tiết scope (bấm tên scope ở màn Scopes)
2. Mở hộp thoại Link a framework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</si>
  <si>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</si>
  <si>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</si>
  <si>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Scope_098</t>
  </si>
  <si>
    <t xml:space="preserve"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</si>
  <si>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</si>
  <si>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 xml:space="preserve">- Vẫn hiển thị lựa chọn framword đó nhưng có thông báo đỏ: 
"[Tên framwork] is already linked to this scope.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</si>
  <si>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</si>
  <si>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</si>
  <si>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</si>
  <si>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Scope_099</t>
  </si>
  <si>
    <t xml:space="preserve"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</si>
  <si>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</si>
  <si>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</si>
  <si>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</si>
  <si>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</si>
  <si>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Scope_100</t>
  </si>
  <si>
    <t xml:space="preserve">Kiểm tra chọn framework không phân tier</t>
  </si>
  <si>
    <t xml:space="preserve">1. Mở chi tiết scope (bấm tên scope ở màn Scopes)
2. Mở hộp thoại Link a framework
3. Chọn một framework không phân tier</t>
  </si>
  <si>
    <t xml:space="preserve">- Không hiển thị button "Change tier"</t>
  </si>
  <si>
    <t xml:space="preserve">Phần chọn tier ẩn đi hay hiện No tiers → Q-S-17</t>
  </si>
  <si>
    <t xml:space="preserve">Chưa chọn framework</t>
  </si>
  <si>
    <t>Scope_101</t>
  </si>
  <si>
    <t xml:space="preserve">Kiểm tra bấm gắn khi chưa chọn framework</t>
  </si>
  <si>
    <t xml:space="preserve">1. Mở chi tiết scope (bấm tên scope ở màn Scopes)
2. Mở hộp thoại Link a framework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</si>
  <si>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</si>
  <si>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</si>
  <si>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</si>
  <si>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Scope_102</t>
  </si>
  <si>
    <t xml:space="preserve"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</si>
  <si>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</si>
  <si>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 xml:space="preserve">Hiện lỗi hay khoá nút; text lỗi → Q-S-05</t>
  </si>
  <si>
    <t>Scope_103</t>
  </si>
  <si>
    <t xml:space="preserve"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</si>
  <si>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</si>
  <si>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</si>
  <si>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Scope_104</t>
  </si>
  <si>
    <t xml:space="preserve"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</si>
  <si>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</si>
  <si>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</si>
  <si>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 xml:space="preserve">Trạng thái ban đầu của workspace → Q-S-20</t>
  </si>
  <si>
    <t>Scope_105</t>
  </si>
  <si>
    <t xml:space="preserve">Kiểm tra gắn thêm framework khi scope đang có audit</t>
  </si>
  <si>
    <t xml:space="preserve">1. Mở chi tiết scope đang có audit
2. Bấm nút gắn framework</t>
  </si>
  <si>
    <t xml:space="preserve">- Hiển thị chọn framwork bình thường</t>
  </si>
  <si>
    <t xml:space="preserve">Framework không phân tier</t>
  </si>
  <si>
    <t>Scope_106</t>
  </si>
  <si>
    <t xml:space="preserve"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</si>
  <si>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</si>
  <si>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</si>
  <si>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 xml:space="preserve">Phần chọn tier ẩn đi hay hiện No tiers → Q-S-17; trạng thái ban đầu của workspace → Q-S-20</t>
  </si>
  <si>
    <t xml:space="preserve">Hiện ở màn Workspaces</t>
  </si>
  <si>
    <t>Scope_107</t>
  </si>
  <si>
    <t xml:space="preserve">Kiểm tra workspace mới hiện ở màn Workspaces</t>
  </si>
  <si>
    <t xml:space="preserve">Đăng nhập account Customer Admin; trên Scopes đã gắn [Framework] vào scope [Organization]</t>
  </si>
  <si>
    <t xml:space="preserve">1. Mở màn Workspaces
2. Tìm workspace của [Organization]</t>
  </si>
  <si>
    <t xml:space="preserve">- Có workspace của [Organization] với [Framework] vừa gắn</t>
  </si>
  <si>
    <t xml:space="preserve">Workspace tạo ngay hay sau một khoảng → Q-S-20</t>
  </si>
  <si>
    <t>UC-EVD-003</t>
  </si>
  <si>
    <t xml:space="preserve">Không có audit</t>
  </si>
  <si>
    <t>Scope_108</t>
  </si>
  <si>
    <t xml:space="preserve"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</si>
  <si>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</si>
  <si>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</si>
  <si>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</si>
  <si>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</si>
  <si>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</si>
  <si>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Scope_109</t>
  </si>
  <si>
    <t xml:space="preserve">Kiểm tra hộp thoại đổi tier khi đang có audit</t>
  </si>
  <si>
    <t xml:space="preserve"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</si>
  <si>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</si>
  <si>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</si>
  <si>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 xml:space="preserve">Text lấy từ prototype, chưa đối chiếu frame Change tier locked → Q-S-16</t>
  </si>
  <si>
    <t>Scope_110</t>
  </si>
  <si>
    <t xml:space="preserve">Kiểm tra huỷ đổi tier</t>
  </si>
  <si>
    <t xml:space="preserve">1. Mở chi tiết scope đã gắn framework có tier, không có audit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</si>
  <si>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</si>
  <si>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</si>
  <si>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</si>
  <si>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Scope_111</t>
  </si>
  <si>
    <t xml:space="preserve">Kiểm tra đóng hộp thoại khoá bằng Close</t>
  </si>
  <si>
    <t xml:space="preserve">1. Mở chi tiết scope đang có audit
2. Mở Change tier của framework đang có audit
3. Bấm Close</t>
  </si>
  <si>
    <t xml:space="preserve">Nâng tier</t>
  </si>
  <si>
    <t>Scope_112</t>
  </si>
  <si>
    <t xml:space="preserve"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</si>
  <si>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</si>
  <si>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</si>
  <si>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 xml:space="preserve">Bằng chứng đã tải có giữ nguyên → Q-S-22</t>
  </si>
  <si>
    <t xml:space="preserve">Hạ tier</t>
  </si>
  <si>
    <t>Scope_113</t>
  </si>
  <si>
    <t xml:space="preserve">Kiểm tra hạ tier</t>
  </si>
  <si>
    <t xml:space="preserve">1. Mở chi tiết scope đã gắn framework có tier, không có audit
2. Mở Change tier của framework đang ở High
3. Chọn Medium
4. Bấm nút xác nhận</t>
  </si>
  <si>
    <t xml:space="preserve">- Sau bước 3: có cảnh báo số requirement tăng và độ phủ sẽ giảm
- Sau bước 5: hộp thoại đóng, cột Tier đổi thành Medium</t>
  </si>
  <si>
    <t xml:space="preserve">Hạ tier có cảnh báo gì; bằng chứng của requirement bị bỏ ra sao → Q-S-22</t>
  </si>
  <si>
    <t>Scope_114</t>
  </si>
  <si>
    <t xml:space="preserve"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</si>
  <si>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</si>
  <si>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</si>
  <si>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</si>
  <si>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 xml:space="preserve">Dòng Customer Admin</t>
  </si>
  <si>
    <t>Scope_115</t>
  </si>
  <si>
    <t xml:space="preserve"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</si>
  <si>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</si>
  <si>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</si>
  <si>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 xml:space="preserve">Dòng người được gán</t>
  </si>
  <si>
    <t>Scope_116</t>
  </si>
  <si>
    <t xml:space="preserve"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</si>
  <si>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</si>
  <si>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</si>
  <si>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 xml:space="preserve">Bấm Assign users</t>
  </si>
  <si>
    <t>Scope_117</t>
  </si>
  <si>
    <t xml:space="preserve"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</si>
  <si>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</si>
  <si>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</si>
  <si>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 xml:space="preserve">Vai trò trong danh sách</t>
  </si>
  <si>
    <t>Scope_118</t>
  </si>
  <si>
    <t xml:space="preserve">Kiểm tra những vai trò có trong danh sách gán</t>
  </si>
  <si>
    <t xml:space="preserve">1. Mở chi tiết scope (bấm tên scope ở màn Scopes)
2. Mở Assign users
3. Đối chiếu vai trò của từng người trong danh sách</t>
  </si>
  <si>
    <t xml:space="preserve">- Customer Admin được mặc định Assign trong Scope</t>
  </si>
  <si>
    <t xml:space="preserve">USR-006 chỉ nói Customer User; prototype có cả Customer Viewer và người chưa kích hoạt → Q-S-23</t>
  </si>
  <si>
    <t>Scope_119</t>
  </si>
  <si>
    <t xml:space="preserve">Kiểm tra huỷ gán người dùng</t>
  </si>
  <si>
    <t xml:space="preserve">1. Mở chi tiết scope (bấm tên scope ở màn Scopes)
2. Mở Assign users, tick thêm một người
3. Bấm Cancel</t>
  </si>
  <si>
    <t xml:space="preserve">- Hộp thoại đóng, khối Users không đổi</t>
  </si>
  <si>
    <t xml:space="preserve">Tick thêm — khối Users</t>
  </si>
  <si>
    <t>Scope_120</t>
  </si>
  <si>
    <t xml:space="preserve"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</si>
  <si>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</si>
  <si>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</si>
  <si>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 xml:space="preserve">Tick thêm — người được gán thấy scope</t>
  </si>
  <si>
    <t>Scope_121</t>
  </si>
  <si>
    <t xml:space="preserve"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</si>
  <si>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</si>
  <si>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 xml:space="preserve">- Danh sách có [Organization]</t>
  </si>
  <si>
    <t xml:space="preserve">Tick thêm — chi tiết người dùng</t>
  </si>
  <si>
    <t>Scope_122</t>
  </si>
  <si>
    <t xml:space="preserve"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</si>
  <si>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</si>
  <si>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 xml:space="preserve">- Phần scope được gán có [Organization]</t>
  </si>
  <si>
    <t>UC-USR-002</t>
  </si>
  <si>
    <t xml:space="preserve">Bỏ tick — khối Users</t>
  </si>
  <si>
    <t>Scope_123</t>
  </si>
  <si>
    <t xml:space="preserve"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</si>
  <si>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</si>
  <si>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</si>
  <si>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 xml:space="preserve">Thu hồi có thuộc USR-006, có hỏi xác nhận → Q-S-23</t>
  </si>
  <si>
    <t xml:space="preserve">Bỏ tick — người bị bỏ gán</t>
  </si>
  <si>
    <t>Scope_124</t>
  </si>
  <si>
    <t xml:space="preserve"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</si>
  <si>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</si>
  <si>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</si>
  <si>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 xml:space="preserve">Thu hồi có thuộc USR-006 → Q-S-23</t>
  </si>
  <si>
    <t xml:space="preserve">Evidence coverage</t>
  </si>
  <si>
    <t>Scope_125</t>
  </si>
  <si>
    <t xml:space="preserve">Kiểm tra khối Summary</t>
  </si>
  <si>
    <t xml:space="preserve">1. Mở chi tiết scope đã gắn framework
2. Kiểm tra khối Summary bên phải</t>
  </si>
  <si>
    <t xml:space="preserve">- Hiển thị thông tin giống khung Frameworks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</si>
  <si>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</si>
  <si>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</si>
  <si>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</si>
  <si>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Scope_126</t>
  </si>
  <si>
    <t xml:space="preserve">Kiểm tra màn Scopes với Customer User</t>
  </si>
  <si>
    <t xml:space="preserve">Đăng nhập account Customer User; được gán scope [System], không được gán scope [Organization]</t>
  </si>
  <si>
    <t xml:space="preserve">- Danh sách có [System]
- Danh sách không có [Organization]
- Không có nút tạo scope</t>
  </si>
  <si>
    <t xml:space="preserve">Mô tả trang</t>
  </si>
  <si>
    <t>Scope_127</t>
  </si>
  <si>
    <t xml:space="preserve"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</si>
  <si>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</si>
  <si>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</si>
  <si>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</si>
  <si>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</si>
  <si>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</si>
  <si>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Scope_128</t>
  </si>
  <si>
    <t xml:space="preserve"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</si>
  <si>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</si>
  <si>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</si>
  <si>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 xml:space="preserve">Scope không được gán, mở bằng URL</t>
  </si>
  <si>
    <t>Scope_129</t>
  </si>
  <si>
    <t xml:space="preserve">Kiểm tra Customer User mở scope không được gán bằng URL</t>
  </si>
  <si>
    <t xml:space="preserve">1. Mở url chi tiết của [Organization]</t>
  </si>
  <si>
    <t xml:space="preserve">- Không hiển thị nội dung của [Organization]</t>
  </si>
  <si>
    <t xml:space="preserve">Hiện trang gì → Q-S-26</t>
  </si>
  <si>
    <t xml:space="preserve">Danh sách và chi tiết</t>
  </si>
  <si>
    <t xml:space="preserve">Quyền xem</t>
  </si>
  <si>
    <t>Scope_130</t>
  </si>
  <si>
    <t xml:space="preserve">Kiểm tra màn Scopes với Customer Viewer</t>
  </si>
  <si>
    <t xml:space="preserve">Đăng nhập account Customer Viewer</t>
  </si>
  <si>
    <t xml:space="preserve">1. Assign 1 scope cho Customer Viewer
2. Login Customer Viewer đó
3. Mở chi tiết một scope</t>
  </si>
  <si>
    <t xml:space="preserve">- Customer Viewer có thể nhìn thấy Scope trong danh sách Scopes.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</si>
  <si>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</si>
  <si>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</si>
  <si>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</si>
  <si>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Scope_131</t>
  </si>
  <si>
    <t xml:space="preserve">Kiểm tra SGS Consultant xem scope của khách được phân công</t>
  </si>
  <si>
    <t xml:space="preserve"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</si>
  <si>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</si>
  <si>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</si>
  <si>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 xml:space="preserve">Lối vào từ SGS Portal ở đâu → Q-S-25</t>
  </si>
  <si>
    <t xml:space="preserve">Không được phân công</t>
  </si>
  <si>
    <t xml:space="preserve">Không thấy scope</t>
  </si>
  <si>
    <t>Scope_132</t>
  </si>
  <si>
    <t xml:space="preserve">Kiểm tra người dùng SGS không được phân công không thấy scope của khách hàng</t>
  </si>
  <si>
    <t xml:space="preserve">Đăng nhập account SGS ở SGS Portal; không được phân công khách hàng [Tên Organization]</t>
  </si>
  <si>
    <t xml:space="preserve">1. Tìm scope của [Tên Organization] trên SGS Portal</t>
  </si>
  <si>
    <t xml:space="preserve">- Không thấy scope của [Tên Organization]</t>
  </si>
  <si>
    <t xml:space="preserve">Scope của tenant khác</t>
  </si>
  <si>
    <t>Scope_133</t>
  </si>
  <si>
    <t xml:space="preserve">Kiểm tra cách ly danh sách scope giữa hai tenant</t>
  </si>
  <si>
    <t xml:space="preserve">Đăng nhập account Customer Admin của tenant B; tenant A là tenant khác, đã có scope</t>
  </si>
  <si>
    <t xml:space="preserve">- Chỉ thấy scope của tenant B
- Không có scope nào của tenant A</t>
  </si>
  <si>
    <t>URL</t>
  </si>
  <si>
    <t xml:space="preserve">Chi tiết scope tenant khác</t>
  </si>
  <si>
    <t>Scope_134</t>
  </si>
  <si>
    <t xml:space="preserve">Kiểm tra mở chi tiết scope của tenant khác bằng URL</t>
  </si>
  <si>
    <t xml:space="preserve">1. Mở url chi tiết của một scope thuộc tenant A</t>
  </si>
  <si>
    <t xml:space="preserve">- Không hiển thị dữ liệu của tenant A</t>
  </si>
  <si>
    <t xml:space="preserve">Mã độc</t>
  </si>
  <si>
    <t xml:space="preserve">Name chứa thẻ script</t>
  </si>
  <si>
    <t>Scope_135</t>
  </si>
  <si>
    <t xml:space="preserve"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</si>
  <si>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</si>
  <si>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</si>
  <si>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 xml:space="preserve">Thao tác ghi</t>
  </si>
  <si>
    <t xml:space="preserve">Tạo, sửa, gắn, gán</t>
  </si>
  <si>
    <t>Scope_136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</si>
  <si>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</si>
  <si>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</si>
  <si>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</si>
  <si>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FWK-L0001_Quản lý framework</t>
  </si>
  <si>
    <t xml:space="preserve">Frameworks · SGS Portal</t>
  </si>
  <si>
    <t xml:space="preserve">Figma SGS-DTP-DS · Screens 04 Frameworks · prototype · UC v4 FWK-01…07</t>
  </si>
  <si>
    <t xml:space="preserve">Bấm Frameworks ở menu trái</t>
  </si>
  <si>
    <t>Framework_001</t>
  </si>
  <si>
    <t xml:space="preserve">Kiểm tra vào màn Frameworks từ menu trái</t>
  </si>
  <si>
    <t xml:space="preserve">Đăng nhập account SGS Admin</t>
  </si>
  <si>
    <t xml:space="preserve">1. Bấm mục Frameworks ở menu trái</t>
  </si>
  <si>
    <t xml:space="preserve">- Chuyển sang màn Frameworks
- Breadcrumb: Frameworks
- Mục Frameworks ở menu trái được tô nền</t>
  </si>
  <si>
    <t>UC-FWK-01</t>
  </si>
  <si>
    <t xml:space="preserve">Bấm tên framework Active (mở tab Overview)</t>
  </si>
  <si>
    <t>Framework_002</t>
  </si>
  <si>
    <t xml:space="preserve">Kiểm tra mở chi tiết framework Active từ danh sách</t>
  </si>
  <si>
    <t xml:space="preserve">Đăng nhập account SGS Admin
Có sẵn một framework Active: [Framework Active]</t>
  </si>
  <si>
    <t xml:space="preserve">1. Mở màn Frameworks
2. Bấm tên một framework Active</t>
  </si>
  <si>
    <t xml:space="preserve">- Chuyển sang màn chi tiết framework, mở tab Overview
- Hiển thị chip Active cạnh tên framework</t>
  </si>
  <si>
    <t>UC-FWK-02</t>
  </si>
  <si>
    <t xml:space="preserve">Bấm tên framework Draft (mở màn Draft preview)</t>
  </si>
  <si>
    <t>Framework_003</t>
  </si>
  <si>
    <t xml:space="preserve">Kiểm tra mở màn Draft preview từ danh sách</t>
  </si>
  <si>
    <t xml:space="preserve">Đăng nhập account SGS Admin
Có sẵn một framework Draft: [Framework Draft]</t>
  </si>
  <si>
    <t xml:space="preserve">1. Mở màn Frameworks
2. Bấm tên một framework Draft</t>
  </si>
  <si>
    <t xml:space="preserve">- Chuyển sang màn Draft preview
- Hiển thị chip Draft · not active cạnh tên framework</t>
  </si>
  <si>
    <t xml:space="preserve">Từ chi tiết</t>
  </si>
  <si>
    <t xml:space="preserve">Bấm nút mũi tên quay lại ở chi tiết framework Active</t>
  </si>
  <si>
    <t>Framework_004</t>
  </si>
  <si>
    <t xml:space="preserve">Kiểm tra nút quay lại ở chi tiết framework Active</t>
  </si>
  <si>
    <t xml:space="preserve">1. Mở màn Frameworks
2. Bấm tên một framework Active
3. Bấm nút mũi tên quay lại</t>
  </si>
  <si>
    <t xml:space="preserve">- Quay về màn Frameworks</t>
  </si>
  <si>
    <t xml:space="preserve">Bấm nút mũi tên quay lại ở Draft preview</t>
  </si>
  <si>
    <t>Framework_005</t>
  </si>
  <si>
    <t xml:space="preserve">Kiểm tra nút quay lại ở Draft preview</t>
  </si>
  <si>
    <t xml:space="preserve">1. Mở màn Frameworks
2. Bấm tên một framework Draft
3. Bấm nút mũi tên quay lại</t>
  </si>
  <si>
    <t xml:space="preserve">Breadcrumb, tiêu đề và dòng mô tả</t>
  </si>
  <si>
    <t>Framework_006</t>
  </si>
  <si>
    <t xml:space="preserve">Kiểm tra breadcrumb, tiêu đề và dòng mô tả của màn Frameworks</t>
  </si>
  <si>
    <t xml:space="preserve">1. Mở màn Frameworks
2. Kiểm tra phần đầu trang</t>
  </si>
  <si>
    <t xml:space="preserve">- Breadcrumb: Frameworks
- Tiêu đề: Frameworks
- Dòng mô tả: Frameworks customers can activate on their scopes. Import one from the Excel template.</t>
  </si>
  <si>
    <t xml:space="preserve">Nút Download template</t>
  </si>
  <si>
    <t>Framework_007</t>
  </si>
  <si>
    <t xml:space="preserve">Kiểm tra nút Download template ở đầu danh sách</t>
  </si>
  <si>
    <t xml:space="preserve">1. Mở màn Frameworks
2. Kiểm tra phần đầu trang, bên phải</t>
  </si>
  <si>
    <t xml:space="preserve">- Có nút Download template (không nền)</t>
  </si>
  <si>
    <t xml:space="preserve">[NGOÀI UC] Tải file mẫu: UC FWK-03 chỉ nêu file XLSX, không nêu nút tải mẫu</t>
  </si>
  <si>
    <t xml:space="preserve">Nút Import framework</t>
  </si>
  <si>
    <t>Framework_008</t>
  </si>
  <si>
    <t xml:space="preserve">Kiểm tra nút Import framework</t>
  </si>
  <si>
    <t xml:space="preserve">- Có nút Import framework (nền màu chính)</t>
  </si>
  <si>
    <t>UC-FWK-03</t>
  </si>
  <si>
    <t xml:space="preserve">Dòng đếm "&lt;n&gt; frameworks"</t>
  </si>
  <si>
    <t>Framework_009</t>
  </si>
  <si>
    <t xml:space="preserve">Kiểm tra dòng đếm số framework</t>
  </si>
  <si>
    <t xml:space="preserve">1. Mở màn Frameworks
2. Kiểm tra dòng phía trên bảng, bên trái</t>
  </si>
  <si>
    <t xml:space="preserve">- Hiển thị &lt;n&gt; frameworks, n bằng tổng số framework trong bảng</t>
  </si>
  <si>
    <t xml:space="preserve">Ô tìm kiếm và chữ gợi ý</t>
  </si>
  <si>
    <t>Framework_010</t>
  </si>
  <si>
    <t xml:space="preserve">1. Mở màn Frameworks
2. Kiểm tra phía trên bảng, bên phải</t>
  </si>
  <si>
    <t xml:space="preserve">- Ô tìm kiếm có icon kính lúp, placeholder: Search code or name</t>
  </si>
  <si>
    <t xml:space="preserve">Tìm theo mã (code)</t>
  </si>
  <si>
    <t>Framework_011</t>
  </si>
  <si>
    <t xml:space="preserve">Kiểm tra tìm theo mã framework</t>
  </si>
  <si>
    <t xml:space="preserve">1. Mở màn Frameworks
2. Nhập [mã framework] vào ô tìm kiếm</t>
  </si>
  <si>
    <t xml:space="preserve">- Hệ thống không phân biệt chữ HOA, chữ thường hiển thị đúng theo mã framwork</t>
  </si>
  <si>
    <t xml:space="preserve">Tìm theo tên (name)</t>
  </si>
  <si>
    <t>Framework_012</t>
  </si>
  <si>
    <t xml:space="preserve">Kiểm tra tìm theo tên framework</t>
  </si>
  <si>
    <t xml:space="preserve">1. Mở màn Frameworks
2. Nhập [một phần tên framework] vào ô tìm kiếm</t>
  </si>
  <si>
    <t xml:space="preserve">- Hệ thống không phân biệt chữ HOA, chữ thường hiển thị đúng theo tên  framwork</t>
  </si>
  <si>
    <t xml:space="preserve">Tìm theo Issue by</t>
  </si>
  <si>
    <t xml:space="preserve">Kiểm tra tìm theo Issue by </t>
  </si>
  <si>
    <t xml:space="preserve">1. Mở màn Frameworks
2. Nhập [Issue by] vào ô tìm kiếm</t>
  </si>
  <si>
    <t xml:space="preserve">- Hệ thống không phân biệt chữ HOA, chữ thường hiển thị đúng theo Issue by</t>
  </si>
  <si>
    <t xml:space="preserve">Tìm theo Requirements</t>
  </si>
  <si>
    <t xml:space="preserve">Kiểm tra tìm theo Requirements</t>
  </si>
  <si>
    <t xml:space="preserve">1. Mở màn Frameworks
2. Nhập [Requirements] vào ô tìm kiếm</t>
  </si>
  <si>
    <t xml:space="preserve">- Hệ thống không phân biệt chữ HOA, chữ thường hiển thị đúng theo Requirements</t>
  </si>
  <si>
    <t xml:space="preserve">Tìm theo Status</t>
  </si>
  <si>
    <t xml:space="preserve">Kiểm tra tìm theo Status</t>
  </si>
  <si>
    <t xml:space="preserve">1. Mở màn Frameworks
2. Nhập [Status] vào ô tìm kiếm</t>
  </si>
  <si>
    <t xml:space="preserve">- Hệ thống không phân biệt chữ HOA, chữ thường hiển thị đúng theo Status</t>
  </si>
  <si>
    <t xml:space="preserve">Tìm theo thời gian Updated (hh:mm)</t>
  </si>
  <si>
    <t xml:space="preserve">Kiểm tra tìm theo thời gian Updated (hh:mm)</t>
  </si>
  <si>
    <t xml:space="preserve">1. Mở màn Frameworks
2. Nhập [hh:mm] vào ô tìm kiếm</t>
  </si>
  <si>
    <t xml:space="preserve">- Hệ thống không phân biệt chữ HOA, chữ thường hiển thị đúng theo thời gian Update</t>
  </si>
  <si>
    <t>Framework_013</t>
  </si>
  <si>
    <t xml:space="preserve">Kiểm tra tìm không có kết quả</t>
  </si>
  <si>
    <t xml:space="preserve">1. Mở màn Frameworks
2. Nhập zzz vào ô tìm kiếm</t>
  </si>
  <si>
    <t xml:space="preserve">- Bảng không có dòng nào
- Hiển thị "No results for “zzz”"
- Hiển thị "Try a different search term."
- Dòng đếm không đổi</t>
  </si>
  <si>
    <t xml:space="preserve">Xoá chữ tìm, danh sách trở lại đủ dòng</t>
  </si>
  <si>
    <t>Framework_014</t>
  </si>
  <si>
    <t xml:space="preserve">Kiểm tra xoá chữ tìm</t>
  </si>
  <si>
    <t xml:space="preserve">1. Mở màn Frameworks
2. Nhập zzz vào ô tìm kiếm
3. Xoá chữ trong ô tìm kiếm</t>
  </si>
  <si>
    <t xml:space="preserve">- Text biến mất 
- Ô tìm kiếm có icon kính lúp, placeholder: Search code or name</t>
  </si>
  <si>
    <t xml:space="preserve">Hiển thị cột</t>
  </si>
  <si>
    <t xml:space="preserve">Tiêu đề cột và thứ tự: Framework, Version, Issued by, Tiers, Requirements, Status, Updated</t>
  </si>
  <si>
    <t>Framework_015</t>
  </si>
  <si>
    <t xml:space="preserve">Kiểm tra tiêu đề cột của bảng</t>
  </si>
  <si>
    <t xml:space="preserve">1. Mở màn Frameworks
2. Kiểm tra hàng tiêu đề của bảng</t>
  </si>
  <si>
    <t xml:space="preserve">- Các cột theo thứ tự: Framework, Version, Issued by, Tiers, Requirements, Status, Updated
- Cột cuối là cột icon tải, không có tiêu đề</t>
  </si>
  <si>
    <t xml:space="preserve">Hiển thị dòng theo loại</t>
  </si>
  <si>
    <t xml:space="preserve">Framework Active có tier</t>
  </si>
  <si>
    <t>Framework_016</t>
  </si>
  <si>
    <t xml:space="preserve">Kiểm tra dòng framework Active có tier</t>
  </si>
  <si>
    <t xml:space="preserve">Đăng nhập account SGS Admin
Có sẵn một framework Active có tier: [Framework Active có tier]</t>
  </si>
  <si>
    <t xml:space="preserve">1. Mở màn Frameworks
2. Kiểm tra dòng của framework Active có tier</t>
  </si>
  <si>
    <t xml:space="preserve">- Framework: tên và mã (code)
- Version, Issued by, Requirements có giá trị
- Tiers: hiển thị các tier của framework
- Status: chip Active
- Updated: ngày cập nhật</t>
  </si>
  <si>
    <t xml:space="preserve">Framework Active không tier (cột Tiers hiện "—")</t>
  </si>
  <si>
    <t>Framework_017</t>
  </si>
  <si>
    <t xml:space="preserve">Kiểm tra dòng framework Active không tier</t>
  </si>
  <si>
    <t xml:space="preserve">Đăng nhập account SGS Admin
Có sẵn một framework Active không tier: [Framework Active không tier]</t>
  </si>
  <si>
    <t xml:space="preserve">1. Mở màn Frameworks
2. Kiểm tra dòng của framework Active không tier</t>
  </si>
  <si>
    <t xml:space="preserve">- Cột Tiers hiển thị —
- Status: chip Active</t>
  </si>
  <si>
    <t xml:space="preserve">Framework Draft (chip "Draft · not active", Updated dạng "Today, hh:mm")</t>
  </si>
  <si>
    <t>Framework_018</t>
  </si>
  <si>
    <t xml:space="preserve">Kiểm tra dòng framework Draft</t>
  </si>
  <si>
    <t xml:space="preserve">1. Mở màn Frameworks
2. Kiểm tra dòng của framework Draft</t>
  </si>
  <si>
    <t xml:space="preserve">- Status: chip Draft · not active
- Updated: dạng Today, hh:mm</t>
  </si>
  <si>
    <t xml:space="preserve">Hai phiên bản của cùng một mã hiện thành hai dòng</t>
  </si>
  <si>
    <t>Framework_019</t>
  </si>
  <si>
    <t xml:space="preserve">Kiểm tra hai phiên bản của cùng một mã</t>
  </si>
  <si>
    <t xml:space="preserve">Đăng nhập account SGS Admin
Có hai phiên bản của cùng một mã: [Framework hai phiên bản]</t>
  </si>
  <si>
    <t xml:space="preserve">1. Mở màn Frameworks
2. Kiểm tra các dòng có cùng mã framework, khác Version</t>
  </si>
  <si>
    <t xml:space="preserve">- Mỗi phiên bản một dòng riêng, cột Version khác nhau</t>
  </si>
  <si>
    <t>Framework_024</t>
  </si>
  <si>
    <t xml:space="preserve">1. Mở màn Scopes, kiểm tra thứ tự các dòng của Framework/Version/Issued by/Requirements</t>
  </si>
  <si>
    <t xml:space="preserve">1. Mở màn Scopes
2. Bấm tiêu đề cột Scope của Framework/Version/Issued by/Requirements</t>
  </si>
  <si>
    <t xml:space="preserve">1. Mở màn Scopes
2. Bấm tiêu đề cột Scope hai lần của Framework/Version/Issued by/Requirements</t>
  </si>
  <si>
    <t xml:space="preserve">Biểu tượng tải ở mỗi dòng</t>
  </si>
  <si>
    <t xml:space="preserve">Hover vào biểu tượng tải</t>
  </si>
  <si>
    <t xml:space="preserve">Kiểm tra hiển thị khi hover vào icon tải</t>
  </si>
  <si>
    <t xml:space="preserve">1. Mở màn Frameworks
2. Hover vào  icon tải ở cuối một dòng</t>
  </si>
  <si>
    <t xml:space="preserve">- Hiển thị thông báo: "Download source file of &lt;tên&gt; · &lt;version&gt;"</t>
  </si>
  <si>
    <t xml:space="preserve">Bấm biểu tượng tải ở một dòng</t>
  </si>
  <si>
    <t xml:space="preserve">Kiểm tra biểu tượng tải ở một dòng</t>
  </si>
  <si>
    <t xml:space="preserve">1. Mở màn Frameworks
2. Bấm icon tải ở cuối một dòng</t>
  </si>
  <si>
    <t xml:space="preserve">- Hiển thị thông báo: "&lt;version&gt; would download here. The prototype has no real files."</t>
  </si>
  <si>
    <t xml:space="preserve">Dòng "1–&lt;n&gt; of &lt;n&gt; items" và "1 of 1 page"</t>
  </si>
  <si>
    <t>Framework_025</t>
  </si>
  <si>
    <t xml:space="preserve">Kiểm tra dòng phân trang</t>
  </si>
  <si>
    <t xml:space="preserve">1. Mở màn Frameworks
2. Kiểm tra phần dưới bảng</t>
  </si>
  <si>
    <t xml:space="preserve">- Hiển thị 1–&lt;n&gt; of &lt;n&gt; items
- Hiển thị Page 1 of 1 khi chỉ có một trang</t>
  </si>
  <si>
    <t xml:space="preserve">Chọn Items per page: 10, 25, 50, 100</t>
  </si>
  <si>
    <t>Framework_026</t>
  </si>
  <si>
    <t xml:space="preserve">Kiểm tra chọn Items per page</t>
  </si>
  <si>
    <t xml:space="preserve">1. Mở màn Frameworks
2. Bấm ô Items per page
3. Kiểm tra các lựa chọn</t>
  </si>
  <si>
    <t xml:space="preserve">- Có 4 lựa chọn: 10, 25, 50, 100</t>
  </si>
  <si>
    <t xml:space="preserve">Framework Active: tên, chip Active, dòng "code · version · issuing body", nút quay lại, nút ba chấm</t>
  </si>
  <si>
    <t>Framework_027</t>
  </si>
  <si>
    <t xml:space="preserve">Kiểm tra phần đầu chi tiết framework Active</t>
  </si>
  <si>
    <t xml:space="preserve">1. Mở màn Frameworks
2. Bấm tên một framework Active
3. Kiểm tra phần đầu trang</t>
  </si>
  <si>
    <t xml:space="preserve">- Nút mũi tên quay lại
- Tên framework, chip Active
- Dòng "mã · version · issuing body"
- Nút ba chấm</t>
  </si>
  <si>
    <t xml:space="preserve">Framework Draft: chip "Draft · not active", nút Discard draft và Activate (không có nút ba chấm)</t>
  </si>
  <si>
    <t>Framework_028</t>
  </si>
  <si>
    <t xml:space="preserve">Kiểm tra phần đầu Draft preview</t>
  </si>
  <si>
    <t xml:space="preserve">1. Mở màn Frameworks
2. Bấm tên một framework Draft
3. Kiểm tra phần đầu trang</t>
  </si>
  <si>
    <t xml:space="preserve">- Tên framework, chip Draft · not active
- Dòng "mã · version · issuing body"
- Nút Discard draft và nút Activate
- Không có nút ba chấm</t>
  </si>
  <si>
    <t>UC-FWK-06</t>
  </si>
  <si>
    <t xml:space="preserve">Mở menu</t>
  </si>
  <si>
    <t xml:space="preserve">Mở menu ở framework Active, chỉ có mục "Import new version"</t>
  </si>
  <si>
    <t>Framework_029</t>
  </si>
  <si>
    <t xml:space="preserve">Kiểm tra menu ba chấm của framework Active</t>
  </si>
  <si>
    <t xml:space="preserve">1. Mở màn Frameworks
2. Bấm tên một framework Active
3. Bấm nút ba chấm</t>
  </si>
  <si>
    <t xml:space="preserve">- Menu có một mục: Import new version</t>
  </si>
  <si>
    <t xml:space="preserve">Click vào Import new version</t>
  </si>
  <si>
    <t xml:space="preserve">Mở Import new version</t>
  </si>
  <si>
    <t xml:space="preserve">Kiểm tra hiển thị khi click vào Import new version</t>
  </si>
  <si>
    <t xml:space="preserve">1. Mở màn Frameworks
2. Bấm tên một framework Active
3. Bấm nút ba chấm
4. Click vào Import new version</t>
  </si>
  <si>
    <t xml:space="preserve">- Hiển thị hộp thoại Import - Import dialog</t>
  </si>
  <si>
    <t xml:space="preserve">Chuyển tab</t>
  </si>
  <si>
    <t xml:space="preserve">Framework Active có 3 mục: Overview, Requirements, Other versions; mặc định Overview</t>
  </si>
  <si>
    <t>Framework_030</t>
  </si>
  <si>
    <t xml:space="preserve">Kiểm tra các mục của framework Active</t>
  </si>
  <si>
    <t xml:space="preserve">1. Mở màn Frameworks
2. Bấm tên một framework Active
3. Kiểm tra thanh mục</t>
  </si>
  <si>
    <t xml:space="preserve">- Có 3 mục: Overview, Requirements, Other versions
- Mặc định mở Overview</t>
  </si>
  <si>
    <t xml:space="preserve">Framework Draft có 3 mục: Framework, Tiers, Requirements</t>
  </si>
  <si>
    <t>Framework_031</t>
  </si>
  <si>
    <t xml:space="preserve">Kiểm tra các mục của Draft preview</t>
  </si>
  <si>
    <t xml:space="preserve">1. Mở màn Frameworks
2. Bấm tên một framework Draft
3. Kiểm tra cột mục bên trái</t>
  </si>
  <si>
    <t xml:space="preserve">- Có 3 mục: Framework, Tiers, Requirements</t>
  </si>
  <si>
    <t xml:space="preserve">Hiển thị khối Framework</t>
  </si>
  <si>
    <t xml:space="preserve">Framework Active: Code, Issued by, Version, Effective date, Description</t>
  </si>
  <si>
    <t>Framework_032</t>
  </si>
  <si>
    <t xml:space="preserve">Kiểm tra khối Framework của framework Active</t>
  </si>
  <si>
    <t xml:space="preserve">1. Mở màn Frameworks
2. Bấm tên một framework Active
3. Kiểm tra khối Framework ở tab Overview</t>
  </si>
  <si>
    <t xml:space="preserve">- Hiển thị Code, Issued by, Version, Effective date, Description</t>
  </si>
  <si>
    <t xml:space="preserve">Hiển thị khối Tiers</t>
  </si>
  <si>
    <t xml:space="preserve">Framework có tier: bảng Code, Tier, Rank, New at this tier, Total to meet</t>
  </si>
  <si>
    <t>Framework_033</t>
  </si>
  <si>
    <t xml:space="preserve">Kiểm tra khối Tiers của framework có tier</t>
  </si>
  <si>
    <t xml:space="preserve">1. Mở màn Frameworks
2. Bấm tên một framework Active có tier
3. Kiểm tra khối Tiers ở tab Overview</t>
  </si>
  <si>
    <t xml:space="preserve">- Bảng có các cột Code, Tier, Rank, New at this tier, Total to meet
- Mỗi tier một dòng</t>
  </si>
  <si>
    <t xml:space="preserve">Framework không tier: không có khối Tiers</t>
  </si>
  <si>
    <t>Framework_034</t>
  </si>
  <si>
    <t xml:space="preserve">Kiểm tra framework không tier không có khối Tiers</t>
  </si>
  <si>
    <t xml:space="preserve">1. Mở màn Frameworks
2. Bấm tên một framework Active không tier
3. Kiểm tra tab Overview</t>
  </si>
  <si>
    <t xml:space="preserve">- Không có khối Tiers</t>
  </si>
  <si>
    <t xml:space="preserve">Giá trị tính toán: Total to meet</t>
  </si>
  <si>
    <t xml:space="preserve">Tier Basic: New at this tier 44, Total to meet 44</t>
  </si>
  <si>
    <t>Framework_035</t>
  </si>
  <si>
    <t xml:space="preserve">Kiểm tra Total to meet của tier Basic</t>
  </si>
  <si>
    <t xml:space="preserve">Đăng nhập account SGS Admin
Có framework Appendix 10 · 2022 (Active)</t>
  </si>
  <si>
    <t xml:space="preserve">1. Mở màn Frameworks
2. Bấm tên framework Appendix 10 · 2022 (Active)
3. Kiểm tra khối Tiers dòng Basic</t>
  </si>
  <si>
    <t xml:space="preserve">- New at this tier: 44
- Total to meet: 44</t>
  </si>
  <si>
    <t xml:space="preserve">Chờ Hanna chọn cách ghi giá trị tính toán (FB-048, phương án A hoặc B)</t>
  </si>
  <si>
    <t xml:space="preserve">Tier Medium: New 17, Total 61</t>
  </si>
  <si>
    <t>Framework_036</t>
  </si>
  <si>
    <t xml:space="preserve">Kiểm tra Total to meet của tier Medium</t>
  </si>
  <si>
    <t xml:space="preserve">1. Mở màn Frameworks
2. Bấm tên framework Appendix 10 · 2022 (Active)
3. Kiểm tra khối Tiers dòng Medium</t>
  </si>
  <si>
    <t xml:space="preserve">- New at this tier: 17
- Total to meet: 61 (44 + 17)</t>
  </si>
  <si>
    <t xml:space="preserve">Tier High: New 15, Total 76</t>
  </si>
  <si>
    <t>Framework_037</t>
  </si>
  <si>
    <t xml:space="preserve">Kiểm tra Total to meet của tier High</t>
  </si>
  <si>
    <t xml:space="preserve">1. Mở màn Frameworks
2. Bấm tên framework Appendix 10 · 2022 (Active)
3. Kiểm tra khối Tiers dòng High</t>
  </si>
  <si>
    <t xml:space="preserve">Q-F-10: Figma Detail ghi 18 và 79, khối Content cùng màn ghi 76 requirement; hệ thống ghi 15 và 76. Chưa biết số nào đúng</t>
  </si>
  <si>
    <t xml:space="preserve">Hiển thị khối Content theo loại</t>
  </si>
  <si>
    <t xml:space="preserve">Framework có tier: Dimensions, Control measures, Requirements, Expected evidence items</t>
  </si>
  <si>
    <t>Framework_038</t>
  </si>
  <si>
    <t xml:space="preserve">Kiểm tra khối Content của framework có tier</t>
  </si>
  <si>
    <t xml:space="preserve">1. Mở màn Frameworks
2. Bấm tên một framework Active có tier
3. Kiểm tra khối Content ở tab Overview</t>
  </si>
  <si>
    <t xml:space="preserve">- Hiển thị Dimensions, Control measures, Requirements, Expected evidence items</t>
  </si>
  <si>
    <t xml:space="preserve">Framework không tier: Clauses, Requirements, Expected evidence items</t>
  </si>
  <si>
    <t>Framework_039</t>
  </si>
  <si>
    <t xml:space="preserve">Kiểm tra khối Content của framework không tier</t>
  </si>
  <si>
    <t xml:space="preserve">1. Mở màn Frameworks
2. Bấm tên một framework Active không tier
3. Kiểm tra khối Content ở tab Overview</t>
  </si>
  <si>
    <t xml:space="preserve">- Hiển thị Clauses, Requirements, Expected evidence items
- Không có Dimensions và Control measures</t>
  </si>
  <si>
    <t xml:space="preserve">Tiêu đề và dòng tóm tắt "… Read only — import a new version to change them."</t>
  </si>
  <si>
    <t>Framework_040</t>
  </si>
  <si>
    <t xml:space="preserve">Kiểm tra phần đầu tab Requirements</t>
  </si>
  <si>
    <t xml:space="preserve">1. Mở màn Frameworks
2. Bấm tên một framework Active
3. Bấm tab Requirements</t>
  </si>
  <si>
    <t xml:space="preserve">- Tiêu đề và dòng tóm tắt dạng "&lt;n&gt; dimensions · &lt;n&gt; control measures · &lt;n&gt; requirements. Read only — import a new version to change them."</t>
  </si>
  <si>
    <t xml:space="preserve">Cây: dimension kèm số, mở ra thấy requirement kèm chip Basic, From Medium, From High</t>
  </si>
  <si>
    <t>Framework_041</t>
  </si>
  <si>
    <t xml:space="preserve">Kiểm tra cây requirement</t>
  </si>
  <si>
    <t xml:space="preserve">1. Mở màn Frameworks
2. Bấm tên một framework Active có tier
3. Bấm tab Requirements
4. Mở một dimension</t>
  </si>
  <si>
    <t xml:space="preserve">- Mỗi dimension hiển thị tên kèm số
- Mở ra thấy control measure và requirement
- Mỗi requirement kèm chip Basic, From Medium hoặc From High</t>
  </si>
  <si>
    <t xml:space="preserve">Chọn một requirement: khung bên phải hiện code, tiêu đề, mô tả, Applies to, Not required for, Sort order, Source, Expected evidence</t>
  </si>
  <si>
    <t>Framework_042</t>
  </si>
  <si>
    <t xml:space="preserve">Kiểm tra khung chi tiết requirement</t>
  </si>
  <si>
    <t xml:space="preserve">1. Mở màn Frameworks
2. Bấm tên một framework Active có tier
3. Bấm tab Requirements
4. Bấm một requirement</t>
  </si>
  <si>
    <t xml:space="preserve">- Khung bên phải hiển thị code, tiêu đề, mô tả
- Có Applies to, Not required for, Sort order, Source
- Có Expected evidence kèm số lượng và chip Mandatory</t>
  </si>
  <si>
    <t xml:space="preserve">Không có nút thêm, sửa hoặc retire requirement</t>
  </si>
  <si>
    <t>Framework_043</t>
  </si>
  <si>
    <t xml:space="preserve">Kiểm tra requirement chỉ đọc</t>
  </si>
  <si>
    <t xml:space="preserve">1. Mở màn Frameworks
2. Bấm tên một framework Active
3. Bấm tab Requirements
4. Kiểm tra màn và khung chi tiết requirement</t>
  </si>
  <si>
    <t xml:space="preserve">- Không có nút thêm, sửa hoặc retire requirement</t>
  </si>
  <si>
    <t xml:space="preserve">Tìm theo mã requirement</t>
  </si>
  <si>
    <t>Framework_044</t>
  </si>
  <si>
    <t xml:space="preserve">Kiểm tra tìm requirement theo mã</t>
  </si>
  <si>
    <t xml:space="preserve">1. Mở màn Frameworks
2. Bấm tên một framework Active
3. Bấm tab Requirements
4. Nhập [mã requirement] vào ô Search</t>
  </si>
  <si>
    <t xml:space="preserve">- Hiển thị đúng data theo mã requirement</t>
  </si>
  <si>
    <t xml:space="preserve">Tìm theo tiêu đề</t>
  </si>
  <si>
    <t>Framework_045</t>
  </si>
  <si>
    <t xml:space="preserve">Kiểm tra tìm requirement theo tiêu đề</t>
  </si>
  <si>
    <t xml:space="preserve">1. Mở màn Frameworks
2. Bấm tên một framework Active
3. Bấm tab Requirements
4. Nhập [một phần tiêu đề] vào ô Search</t>
  </si>
  <si>
    <t xml:space="preserve">- Hiển thị đúng data theo mã tiêu đề</t>
  </si>
  <si>
    <t>Framework_046</t>
  </si>
  <si>
    <t xml:space="preserve">Kiểm tra tìm requirement không có kết quả</t>
  </si>
  <si>
    <t xml:space="preserve">1. Mở màn Frameworks
2. Bấm tên một framework Active
3. Bấm tab Requirements
4. Nhập zzz vào ô Search</t>
  </si>
  <si>
    <t xml:space="preserve">- Không có kết quả và hiển thị thông báo: 
- "No matching requirements"
- "Try another search or filter."</t>
  </si>
  <si>
    <t xml:space="preserve">Lọc theo tier</t>
  </si>
  <si>
    <t xml:space="preserve">Chọn Basic</t>
  </si>
  <si>
    <t>Framework_047</t>
  </si>
  <si>
    <t xml:space="preserve">Kiểm tra lọc requirement: Basic</t>
  </si>
  <si>
    <t xml:space="preserve">1. Mở màn Frameworks
2. Bấm tên một framework Active có tier
3. Bấm tab Requirements
4. Chọn Basic ở ô lọc tier</t>
  </si>
  <si>
    <t xml:space="preserve">- Hiển thị đúng data theo tier Basic</t>
  </si>
  <si>
    <t xml:space="preserve">Chọn Medium</t>
  </si>
  <si>
    <t>Framework_048</t>
  </si>
  <si>
    <t xml:space="preserve">Kiểm tra lọc requirement: Medium</t>
  </si>
  <si>
    <t xml:space="preserve">1. Mở màn Frameworks
2. Bấm tên một framework Active có tier
3. Bấm tab Requirements
4. Chọn Medium ở ô lọc tier</t>
  </si>
  <si>
    <t xml:space="preserve">- Hiển thị đúng data theo tier Medium</t>
  </si>
  <si>
    <t xml:space="preserve">Chọn High</t>
  </si>
  <si>
    <t>Framework_049</t>
  </si>
  <si>
    <t xml:space="preserve">Kiểm tra lọc requirement: High</t>
  </si>
  <si>
    <t xml:space="preserve">1. Mở màn Frameworks
2. Bấm tên một framework Active có tier
3. Bấm tab Requirements
4. Chọn High ở ô lọc tier</t>
  </si>
  <si>
    <t xml:space="preserve">- Hiển thị đúng data theo tier High</t>
  </si>
  <si>
    <t xml:space="preserve">Chọn All tiers</t>
  </si>
  <si>
    <t>Framework_050</t>
  </si>
  <si>
    <t xml:space="preserve">Kiểm tra lọc requirement: All tiers</t>
  </si>
  <si>
    <t xml:space="preserve">1. Mở màn Frameworks
2. Bấm tên một framework Active có tier
3. Bấm tab Requirements
4. Chọn All tiers ở ô lọc tier</t>
  </si>
  <si>
    <t xml:space="preserve">- Hiển thị đúng toàn bộ data theo All tier</t>
  </si>
  <si>
    <t xml:space="preserve">Giá trị tính toán: số đếm theo dimension</t>
  </si>
  <si>
    <t xml:space="preserve">Cộng số của 7 dimension bằng số Requirements (76)</t>
  </si>
  <si>
    <t>Framework_051</t>
  </si>
  <si>
    <t xml:space="preserve">Kiểm tra tổng số requirement của framework Appendix 10 · 2022</t>
  </si>
  <si>
    <t xml:space="preserve">1. Mở màn Frameworks
2. Bấm tên framework Appendix 10 · 2022 (Active)
3. Bấm tab Requirements
4. Cộng số của 7 dimension</t>
  </si>
  <si>
    <t xml:space="preserve">- Dimension lần lượt
- Tổng bằng 76
- Bằng số Requirements ở tab Overview</t>
  </si>
  <si>
    <t xml:space="preserve">Không nên viết số từng loại mà nên viết rule hiển thị, tính toán của trường này</t>
  </si>
  <si>
    <t xml:space="preserve">Cùng kiểm với framework có 79 requirement (bản Draft)</t>
  </si>
  <si>
    <t>Framework_052</t>
  </si>
  <si>
    <t xml:space="preserve">Kiểm tra tổng số requirement của bản Draft Appendix 10 amended</t>
  </si>
  <si>
    <t xml:space="preserve">Đăng nhập account SGS Admin
Có framework Appendix 10 amended (Draft)</t>
  </si>
  <si>
    <t xml:space="preserve">1. Mở màn Frameworks
2. Bấm tên framework Appendix 10 amended (Draft)
3. Bấm mục Requirements
4. Cộng số của 7 dimension</t>
  </si>
  <si>
    <t xml:space="preserve">- Số của 7 dimension lần lượt: 14, 14, 8, 11, 15, 7, 10
- Tổng bằng 79
- Bằng số requirement ở khối Requirements</t>
  </si>
  <si>
    <t xml:space="preserve">Mở từ nút Import framework ở danh sách</t>
  </si>
  <si>
    <t>Framework_053</t>
  </si>
  <si>
    <t xml:space="preserve">Kiểm tra mở hộp thoại Import từ danh sách</t>
  </si>
  <si>
    <t xml:space="preserve">1. Mở màn Frameworks
2. Bấm Import framework</t>
  </si>
  <si>
    <t xml:space="preserve">- Mở hộp thoại Import a framework</t>
  </si>
  <si>
    <t xml:space="preserve">Mở từ mục "Import new version" ở chi tiết framework Active</t>
  </si>
  <si>
    <t>Framework_054</t>
  </si>
  <si>
    <t xml:space="preserve">Kiểm tra mở hộp thoại Import từ Import new version</t>
  </si>
  <si>
    <t xml:space="preserve">1. Mở màn Frameworks
2. Bấm tên một framework Active
3. Bấm nút ba chấm
4. Bấm Import new version</t>
  </si>
  <si>
    <t xml:space="preserve">Hiển thị nội dung</t>
  </si>
  <si>
    <t xml:space="preserve">Tiêu đề, bước 1 "Download the template and fill it in", bước 2 "Upload the completed file"</t>
  </si>
  <si>
    <t>Framework_055</t>
  </si>
  <si>
    <t xml:space="preserve">Kiểm tra bước 1 và bước 2 của hộp thoại Import</t>
  </si>
  <si>
    <t xml:space="preserve">1. Mở màn Frameworks
2. Bấm Import framework
3. Kiểm tra nội dung hộp thoại</t>
  </si>
  <si>
    <t xml:space="preserve">- Tiêu đề: Import a framework
- Bước 1: Download the template and fill it in, kèm đoạn mô tả và nút Download template (.xlsx)
- Bước 2: Upload the completed file, kèm ô Framework file *</t>
  </si>
  <si>
    <t xml:space="preserve">Q-F-06: đoạn mô tả liệt kê sheet Tiers; file mẫu ver 1 không có sheet Tiers</t>
  </si>
  <si>
    <t xml:space="preserve">Vùng kéo thả và dòng "Excel (.xlsx) · up to 20 MB · checked before anything is saved"</t>
  </si>
  <si>
    <t>Framework_056</t>
  </si>
  <si>
    <t xml:space="preserve">Kiểm tra vùng kéo thả file</t>
  </si>
  <si>
    <t xml:space="preserve">1. Mở màn Frameworks
2. Bấm Import framework
3. Kiểm tra ô Framework file *</t>
  </si>
  <si>
    <t xml:space="preserve">- Dòng: Drag files here or browse.
- Dòng: Excel (.xlsx) · up to 20 MB · checked before anything is saved</t>
  </si>
  <si>
    <t xml:space="preserve">Nút Cancel và Check file khi chưa chọn file</t>
  </si>
  <si>
    <t>Framework_057</t>
  </si>
  <si>
    <t xml:space="preserve">Kiểm tra nút khi chưa chọn file</t>
  </si>
  <si>
    <t xml:space="preserve">1. Mở màn Frameworks
2. Bấm Import framework
3. Kiểm tra các nút ở cuối hộp thoại</t>
  </si>
  <si>
    <t xml:space="preserve">- Có nút Cancel và nút Check file</t>
  </si>
  <si>
    <t xml:space="preserve">Q-F-14: nút Check file có bị khoá khi chưa chọn file không</t>
  </si>
  <si>
    <t xml:space="preserve">Tải file mẫu</t>
  </si>
  <si>
    <t xml:space="preserve">Bấm Download template (.xlsx) trong hộp thoại</t>
  </si>
  <si>
    <t>Framework_058</t>
  </si>
  <si>
    <t xml:space="preserve">Kiểm tra nút Download template (.xlsx) trong hộp thoại</t>
  </si>
  <si>
    <t xml:space="preserve">1. Mở màn Frameworks
2. Bấm Import framework
3. Bấm Download template (.xlsx)</t>
  </si>
  <si>
    <t xml:space="preserve">Q-F-11: tên file tải về và nội dung chưa kiểm (không tải thật)</t>
  </si>
  <si>
    <t xml:space="preserve">[NGOÀI UC] Tải file mẫu: UC FWK-03 không nêu nút tải mẫu</t>
  </si>
  <si>
    <t xml:space="preserve">Bấm Download template ở đầu danh sách</t>
  </si>
  <si>
    <t>Framework_059</t>
  </si>
  <si>
    <t xml:space="preserve">1. Mở màn Frameworks
2. Bấm Download template</t>
  </si>
  <si>
    <t xml:space="preserve">Chọn file .xlsx hợp lệ: thẻ file có tên, dung lượng, dấu tích, nút ×</t>
  </si>
  <si>
    <t>Framework_060</t>
  </si>
  <si>
    <t xml:space="preserve">Kiểm tra chọn file .xlsx hợp lệ</t>
  </si>
  <si>
    <t xml:space="preserve">1. Mở màn Frameworks
2. Bấm Import framework
3. Chọn file [file framework hợp lệ].xlsx</t>
  </si>
  <si>
    <t xml:space="preserve">- Hiển thị thẻ file gồm tên file, dung lượng, dấu tích và nút ×</t>
  </si>
  <si>
    <t xml:space="preserve">Bấm × để bỏ file đã chọn</t>
  </si>
  <si>
    <t>Framework_061</t>
  </si>
  <si>
    <t xml:space="preserve">Kiểm tra bỏ file đã chọn</t>
  </si>
  <si>
    <t xml:space="preserve">1. Mở màn Frameworks
2. Bấm Import framework
3. Chọn file [file framework hợp lệ].xlsx
4. Bấm × trên thẻ file</t>
  </si>
  <si>
    <t xml:space="preserve">- Thẻ file biến mất, vùng kéo thả hiển thị lại</t>
  </si>
  <si>
    <t xml:space="preserve">Chọn file không phải .xlsx</t>
  </si>
  <si>
    <t>Framework_062</t>
  </si>
  <si>
    <t xml:space="preserve">Kiểm tra chọn file không phải .xlsx</t>
  </si>
  <si>
    <t xml:space="preserve">1. Mở màn Frameworks
2. Bấm Import framework
3. Chọn file [file .pdf]</t>
  </si>
  <si>
    <t xml:space="preserve">Q-F-14: chưa có chữ báo lỗi cho file sai định dạng</t>
  </si>
  <si>
    <t xml:space="preserve">Chọn file lớn hơn 20 MB</t>
  </si>
  <si>
    <t>Framework_063</t>
  </si>
  <si>
    <t xml:space="preserve">Kiểm tra chọn file lớn hơn 20 MB</t>
  </si>
  <si>
    <t xml:space="preserve">1. Mở màn Frameworks
2. Bấm Import framework
3. Chọn file .xlsx lớn hơn 20 MB</t>
  </si>
  <si>
    <t xml:space="preserve">Q-F-14: chưa có chữ báo lỗi cho file quá dung lượng</t>
  </si>
  <si>
    <t xml:space="preserve">Mã cha không tồn tại (parent_requirement_code)</t>
  </si>
  <si>
    <t>Framework_064</t>
  </si>
  <si>
    <t xml:space="preserve">Kiểm tra lỗi mã cha không tồn tại</t>
  </si>
  <si>
    <t xml:space="preserve">1. Mở màn Frameworks
2. Bấm Import framework
3. Chọn file [file có lỗi: parent_requirement_code là R.9.9, không có trong sheet Requirements]
4. Bấm Check file</t>
  </si>
  <si>
    <t xml:space="preserve">- Hiển thị bảng lỗi gồm các cột Sheet, Row, Column, Problem
- Dòng lỗi: Requirements · &lt;dòng&gt; · parent_requirement_code · "R.9.9" does not exist in this sheet.</t>
  </si>
  <si>
    <t xml:space="preserve">Mã requirement bị trùng (requirement_code)</t>
  </si>
  <si>
    <t>Framework_065</t>
  </si>
  <si>
    <t xml:space="preserve">Kiểm tra lỗi mã requirement bị trùng</t>
  </si>
  <si>
    <t xml:space="preserve">1. Mở màn Frameworks
2. Bấm Import framework
3. Chọn file [file có lỗi: requirement_code R.9.4.2 xuất hiện hai lần]
4. Bấm Check file</t>
  </si>
  <si>
    <t xml:space="preserve">- Hiển thị bảng lỗi gồm các cột Sheet, Row, Column, Problem
- Dòng lỗi: Requirements · &lt;dòng&gt; · requirement_code · "R.9.4.2" is used twice (rows &lt;dòng 1&gt; and &lt;dòng 2&gt;).</t>
  </si>
  <si>
    <t xml:space="preserve">Expected evidence trỏ vào dòng nhóm (is_assessable = FALSE)</t>
  </si>
  <si>
    <t>Framework_066</t>
  </si>
  <si>
    <t xml:space="preserve">Kiểm tra lỗi expected evidence trỏ vào dòng nhóm</t>
  </si>
  <si>
    <t xml:space="preserve">1. Mở màn Frameworks
2. Bấm Import framework
3. Chọn file [file có lỗi: Expected_Evidence trỏ vào R.4 là dòng nhóm (is_assessable = FALSE)]
4. Bấm Check file</t>
  </si>
  <si>
    <t xml:space="preserve">- Hiển thị bảng lỗi gồm các cột Sheet, Row, Column, Problem
- Dòng lỗi: Expected_Evidence · &lt;dòng&gt; · requirement_code · "R.4" is a grouping row. Evidence must point to an assessable requirement.</t>
  </si>
  <si>
    <t xml:space="preserve">Banner "&lt;n&gt; errors in &lt;tên file&gt;" và dòng "Nothing was imported"</t>
  </si>
  <si>
    <t>Framework_067</t>
  </si>
  <si>
    <t xml:space="preserve">Kiểm tra banner khi file có lỗi</t>
  </si>
  <si>
    <t xml:space="preserve">1. Mở màn Frameworks
2. Bấm Import framework
3. Chọn file [file có lỗi: 3 lỗi trên, tên file bcm-2019.xlsx]
4. Bấm Check file</t>
  </si>
  <si>
    <t xml:space="preserve">- Banner: 3 errors in bcm-2019.xlsx
- Dòng: Nothing was imported. Fix these rows in Excel and upload the file again.
- Không có framework mới nào trong danh sách ở màn Frameworks</t>
  </si>
  <si>
    <t xml:space="preserve">Tải file đã sửa ở ô "Corrected file" rồi Check file</t>
  </si>
  <si>
    <t>Framework_068</t>
  </si>
  <si>
    <t xml:space="preserve">Kiểm tra tải file đã sửa ở ô Corrected file</t>
  </si>
  <si>
    <t xml:space="preserve">1. Mở màn Frameworks
2. Bấm Import framework
3. Chọn file [file có lỗi: 3 lỗi trên]
4. Bấm Check file
5. Chọn file đã sửa hết lỗi ở ô Corrected file
6. Bấm Check file</t>
  </si>
  <si>
    <t xml:space="preserve">Q-F-08: chưa bấm Check file nên chưa biết kết quả sau khi tải file đã sửa</t>
  </si>
  <si>
    <t xml:space="preserve">Bấm Cancel khi đang có lỗi</t>
  </si>
  <si>
    <t>Framework_069</t>
  </si>
  <si>
    <t xml:space="preserve">Kiểm tra bấm Cancel khi đang có lỗi</t>
  </si>
  <si>
    <t xml:space="preserve">1. Mở màn Frameworks
2. Bấm Import framework
3. Chọn file [file có lỗi: 3 lỗi trên]
4. Bấm Check file
5. Bấm Cancel</t>
  </si>
  <si>
    <t xml:space="preserve">Q-F-08: kết quả sau Cancel khi đang có lỗi chưa kiểm</t>
  </si>
  <si>
    <t xml:space="preserve">Bấm × khi đang có lỗi</t>
  </si>
  <si>
    <t>Framework_070</t>
  </si>
  <si>
    <t xml:space="preserve">Kiểm tra bấm × khi đang có lỗi</t>
  </si>
  <si>
    <t xml:space="preserve">1. Mở màn Frameworks
2. Bấm Import framework
3. Chọn file [file có lỗi: 3 lỗi trên]
4. Bấm Check file
5. Bấm ×</t>
  </si>
  <si>
    <t xml:space="preserve">Q-F-08: kết quả sau × chưa kiểm</t>
  </si>
  <si>
    <t xml:space="preserve">Bấm Esc khi đang có lỗi</t>
  </si>
  <si>
    <t>Framework_071</t>
  </si>
  <si>
    <t xml:space="preserve">Kiểm tra bấm Esc khi đang có lỗi</t>
  </si>
  <si>
    <t xml:space="preserve">1. Mở màn Frameworks
2. Bấm Import framework
3. Chọn file [file có lỗi: 3 lỗi trên]
4. Bấm Check file
5. Bấm phím Esc</t>
  </si>
  <si>
    <t xml:space="preserve">Q-F-08: kết quả sau Esc chưa kiểm</t>
  </si>
  <si>
    <t xml:space="preserve">Hai dòng ở sheet Framework</t>
  </si>
  <si>
    <t>Framework_072</t>
  </si>
  <si>
    <t xml:space="preserve">Kiểm tra lỗi: hai dòng ở sheet Framework</t>
  </si>
  <si>
    <t xml:space="preserve">1. Mở màn Frameworks
2. Bấm Import framework
3. Chọn file [file có lỗi: sheet Framework có hai dòng]
4. Bấm Check file</t>
  </si>
  <si>
    <t xml:space="preserve">Q-F-14: chữ báo lỗi chưa có (sheet Validation_Rules của file mẫu chỉ nêu quy tắc, không nêu chữ hiển thị)</t>
  </si>
  <si>
    <t xml:space="preserve">Thiếu framework_code, framework_name hoặc version</t>
  </si>
  <si>
    <t>Framework_073</t>
  </si>
  <si>
    <t xml:space="preserve">Kiểm tra lỗi: thiếu framework_code, framework_name hoặc version</t>
  </si>
  <si>
    <t xml:space="preserve">1. Mở màn Frameworks
2. Bấm Import framework
3. Chọn file [file có lỗi: thiếu framework_code]
4. Bấm Check file</t>
  </si>
  <si>
    <t xml:space="preserve">Requirement tự là cha của chính nó</t>
  </si>
  <si>
    <t>Framework_074</t>
  </si>
  <si>
    <t xml:space="preserve">Kiểm tra lỗi: requirement tự là cha của chính nó</t>
  </si>
  <si>
    <t xml:space="preserve">1. Mở màn Frameworks
2. Bấm Import framework
3. Chọn file [file có lỗi: parent_requirement_code trùng requirement_code của chính dòng đó]
4. Bấm Check file</t>
  </si>
  <si>
    <t xml:space="preserve">Cha con tạo vòng lặp</t>
  </si>
  <si>
    <t>Framework_075</t>
  </si>
  <si>
    <t xml:space="preserve">Kiểm tra lỗi: cha con tạo vòng lặp</t>
  </si>
  <si>
    <t xml:space="preserve">1. Mở màn Frameworks
2. Bấm Import framework
3. Chọn file [file có lỗi: R.1 là cha của R.2 và R.2 là cha của R.1]
4. Bấm Check file</t>
  </si>
  <si>
    <t xml:space="preserve">is_assessable không phải TRUE hoặc FALSE</t>
  </si>
  <si>
    <t>Framework_076</t>
  </si>
  <si>
    <t xml:space="preserve">Kiểm tra lỗi: is_assessable không phải TRUE hoặc FALSE</t>
  </si>
  <si>
    <t xml:space="preserve">1. Mở màn Frameworks
2. Bấm Import framework
3. Chọn file [file có lỗi: is_assessable là Maybe]
4. Bấm Check file</t>
  </si>
  <si>
    <t xml:space="preserve">Mã expected evidence bị trùng</t>
  </si>
  <si>
    <t>Framework_077</t>
  </si>
  <si>
    <t xml:space="preserve">Kiểm tra lỗi: mã expected evidence bị trùng</t>
  </si>
  <si>
    <t xml:space="preserve">1. Mở màn Frameworks
2. Bấm Import framework
3. Chọn file [file có lỗi: hai dòng Expected_Evidence cùng mã]
4. Bấm Check file</t>
  </si>
  <si>
    <t xml:space="preserve">mandatory không phải TRUE hoặc FALSE</t>
  </si>
  <si>
    <t>Framework_078</t>
  </si>
  <si>
    <t xml:space="preserve">Kiểm tra lỗi: mandatory không phải TRUE hoặc FALSE</t>
  </si>
  <si>
    <t xml:space="preserve">1. Mở màn Frameworks
2. Bấm Import framework
3. Chọn file [file có lỗi: mandatory là Maybe]
4. Bấm Check file</t>
  </si>
  <si>
    <t xml:space="preserve">Import file hợp lệ của framework mới (mã chưa có)</t>
  </si>
  <si>
    <t>Framework_079</t>
  </si>
  <si>
    <t xml:space="preserve">Kiểm tra import framework có mã chưa có</t>
  </si>
  <si>
    <t xml:space="preserve">1. Mở màn Frameworks
2. Bấm Import framework
3. Chọn file [file hợp lệ, framework_code chưa có trong danh sách]
4. Bấm Check file</t>
  </si>
  <si>
    <t xml:space="preserve">Q-F-08: chưa bấm Check file; chưa biết màn đến sau Check file thành công. Q-F-04: có bảng tóm tắt thay đổi (added) hay không</t>
  </si>
  <si>
    <t xml:space="preserve">Import file hợp lệ là phiên bản mới của mã đã có (Version khác)</t>
  </si>
  <si>
    <t>Framework_080</t>
  </si>
  <si>
    <t xml:space="preserve">Kiểm tra import phiên bản mới của mã đã có</t>
  </si>
  <si>
    <t xml:space="preserve">1. Mở màn Frameworks
2. Bấm Import framework
3. Chọn file [file hợp lệ, framework_code đã có, Version khác]
4. Bấm Check file</t>
  </si>
  <si>
    <t xml:space="preserve">Q-F-04: UC nói cập nhật framework có sẵn và content_version phải tăng; Figma và hộp thoại nói thêm thành một bản riêng. Chưa rõ kết quả</t>
  </si>
  <si>
    <t xml:space="preserve">Tên, chip "Draft · not active", dòng "code · version · issuing body"</t>
  </si>
  <si>
    <t>Framework_081</t>
  </si>
  <si>
    <t xml:space="preserve">Kiểm tra tên và chip của Draft preview</t>
  </si>
  <si>
    <t xml:space="preserve">Đăng nhập account SGS Admin
Có framework Draft Appendix 10 amended</t>
  </si>
  <si>
    <t xml:space="preserve">- Tên: Security Baselines for ICT Systems (Appendix 10)
- Chip: Draft · not active
- Dòng: TW_ISRM_ANNEX10_EN · Appendix 10 per Article 11 – amended version · MODA</t>
  </si>
  <si>
    <t xml:space="preserve">Nút Discard draft và Activate</t>
  </si>
  <si>
    <t>Framework_082</t>
  </si>
  <si>
    <t xml:space="preserve">Kiểm tra nút Discard draft và Activate</t>
  </si>
  <si>
    <t xml:space="preserve">1. Mở màn Frameworks
2. Bấm tên một framework Draft
3. Kiểm tra góc phải phần đầu trang</t>
  </si>
  <si>
    <t xml:space="preserve">- Có nút Discard draft và nút Activate</t>
  </si>
  <si>
    <t xml:space="preserve">Khối Framework: Code, Issued by, Version, Effective date "Not set", Description</t>
  </si>
  <si>
    <t>Framework_083</t>
  </si>
  <si>
    <t xml:space="preserve">Kiểm tra khối Framework của bản Draft</t>
  </si>
  <si>
    <t xml:space="preserve">1. Mở màn Frameworks
2. Bấm tên framework Appendix 10 amended (Draft)
3. Kiểm tra khối 1 Framework</t>
  </si>
  <si>
    <t xml:space="preserve">- Ghi chú: From the Framework sheet
- Code, Issued by: MODA, Version
- Effective date: Not set
- Description</t>
  </si>
  <si>
    <t xml:space="preserve">Khối Tiers: Basic 44/44, Medium 17/61, High 18/79</t>
  </si>
  <si>
    <t>Framework_084</t>
  </si>
  <si>
    <t xml:space="preserve">Kiểm tra khối Tiers của bản Draft</t>
  </si>
  <si>
    <t xml:space="preserve">1. Mở màn Frameworks
2. Bấm tên framework Appendix 10 amended (Draft)
3. Kiểm tra khối 2 Tiers</t>
  </si>
  <si>
    <t xml:space="preserve">- Ghi chú: Higher tiers include every requirement of the tiers below
- P Basic, Rank 1: New 44, Total 44
- M Medium, Rank 2: New 17, Total 61
- H High, Rank 3: New 18, Total 79</t>
  </si>
  <si>
    <t xml:space="preserve">Khối Requirements: "7 dimensions · 27 control measures · 79 requirements · 79 expected evidence items"</t>
  </si>
  <si>
    <t>Framework_085</t>
  </si>
  <si>
    <t xml:space="preserve">Kiểm tra khối Requirements của bản Draft</t>
  </si>
  <si>
    <t xml:space="preserve">1. Mở màn Frameworks
2. Bấm tên framework Appendix 10 amended (Draft)
3. Kiểm tra khối 3 Requirements</t>
  </si>
  <si>
    <t xml:space="preserve">- 7 dimensions · 27 control measures · 79 requirements · 79 expected evidence items</t>
  </si>
  <si>
    <t xml:space="preserve">File check passed và dòng "No errors. The draft is ready to activate."</t>
  </si>
  <si>
    <t>Framework_086</t>
  </si>
  <si>
    <t xml:space="preserve">Kiểm tra khung Import: File check passed</t>
  </si>
  <si>
    <t xml:space="preserve">1. Mở màn Frameworks
2. Bấm tên một framework Draft
3. Kiểm tra khung bên phải mục Import</t>
  </si>
  <si>
    <t xml:space="preserve">- File check passed
- No errors. The draft is ready to activate.</t>
  </si>
  <si>
    <t xml:space="preserve">Q-F-07: khung After activation khác nhau giữa Figma và hệ thống (xem case kế)</t>
  </si>
  <si>
    <t xml:space="preserve">Khung "After activation"</t>
  </si>
  <si>
    <t>Framework_087</t>
  </si>
  <si>
    <t xml:space="preserve">Kiểm tra khung After activation</t>
  </si>
  <si>
    <t xml:space="preserve">1. Mở màn Frameworks
2. Bấm tên một framework Draft
3. Kiểm tra khung After activation</t>
  </si>
  <si>
    <t xml:space="preserve">Q-F-07: Figma ghi SGS gán tier cho từng scope; hệ thống ghi khách chọn tier của scope. Chưa rõ bên nào đúng</t>
  </si>
  <si>
    <t xml:space="preserve">Bấm Discard draft: hộp thoại "Discard draft?" kèm câu "Customers never saw it. You can import the file again later."</t>
  </si>
  <si>
    <t>Framework_088</t>
  </si>
  <si>
    <t xml:space="preserve">Kiểm tra mở hộp thoại Discard draft</t>
  </si>
  <si>
    <t xml:space="preserve">1. Mở màn Frameworks
2. Bấm tên một framework Draft
3. Bấm Discard draft</t>
  </si>
  <si>
    <t xml:space="preserve">- Hộp thoại Discard draft?
- Nội dung: The imported draft of &lt;tên framework&gt; is removed. Customers never saw it. You can import the file again later.
- Có nút Cancel và Discard draft</t>
  </si>
  <si>
    <t xml:space="preserve">Q-F-11: Discard draft không có trong UC, Figma chưa vẽ hộp thoại</t>
  </si>
  <si>
    <t xml:space="preserve">[NGOÀI UC] Discard draft: UC FWK-03 và FWK-06 không nêu</t>
  </si>
  <si>
    <t>Framework_089</t>
  </si>
  <si>
    <t xml:space="preserve">Kiểm tra huỷ hộp thoại Discard draft: Cancel</t>
  </si>
  <si>
    <t xml:space="preserve">1. Mở màn Frameworks
2. Bấm tên một framework Draft
3. Bấm Discard draft
4. Bấm Cancel</t>
  </si>
  <si>
    <t xml:space="preserve">Q-F-11: kết quả sau khi đóng hộp thoại chưa kiểm</t>
  </si>
  <si>
    <t>Framework_090</t>
  </si>
  <si>
    <t xml:space="preserve">Kiểm tra huỷ hộp thoại Discard draft: ×</t>
  </si>
  <si>
    <t xml:space="preserve">1. Mở màn Frameworks
2. Bấm tên một framework Draft
3. Bấm Discard draft
4. Bấm ×</t>
  </si>
  <si>
    <t xml:space="preserve">Bấm Esc</t>
  </si>
  <si>
    <t>Framework_091</t>
  </si>
  <si>
    <t xml:space="preserve">Kiểm tra huỷ hộp thoại Discard draft: Esc</t>
  </si>
  <si>
    <t xml:space="preserve">1. Mở màn Frameworks
2. Bấm tên một framework Draft
3. Bấm Discard draft
4. Bấm phím Esc</t>
  </si>
  <si>
    <t xml:space="preserve">Bấm Discard draft trong hộp thoại</t>
  </si>
  <si>
    <t>Framework_092</t>
  </si>
  <si>
    <t xml:space="preserve">Kiểm tra Discard draft</t>
  </si>
  <si>
    <t xml:space="preserve">1. Mở màn Frameworks
2. Bấm tên một framework Draft
3. Bấm Discard draft
4. Bấm Discard draft trong hộp thoại</t>
  </si>
  <si>
    <t xml:space="preserve">Q-F-08: chưa bấm nút xác nhận trên hệ thống; chưa biết màn đến và dòng Draft còn trong danh sách không</t>
  </si>
  <si>
    <t xml:space="preserve">Bấm Activate ở Draft preview: tiêu đề, câu hỏi "Activate &lt;tên&gt; · &lt;version&gt;?", ba gạch đầu dòng</t>
  </si>
  <si>
    <t>Framework_093</t>
  </si>
  <si>
    <t xml:space="preserve">Kiểm tra mở hộp thoại Activate</t>
  </si>
  <si>
    <t xml:space="preserve">1. Mở màn Frameworks
2. Bấm tên một framework Draft
3. Bấm Activate</t>
  </si>
  <si>
    <t xml:space="preserve">- Tiêu đề: Activate framework
- Câu hỏi: Activate &lt;tên framework&gt; · &lt;version&gt;?
- Có nút Cancel và Activate framework
- Gạch 1: Customers can activate it on their scopes.
- Gạch 3: The content is locked. Changes need a new version.</t>
  </si>
  <si>
    <t xml:space="preserve">Q-F-07: gạch 2 khác nhau (Figma: SGS assigns each scope a tier: Basic, Medium or High. Hệ thống: Each customer chooses the tier of their scope: Basic, Medium or High.)</t>
  </si>
  <si>
    <t>Framework_094</t>
  </si>
  <si>
    <t xml:space="preserve">Kiểm tra huỷ Activate: Cancel</t>
  </si>
  <si>
    <t xml:space="preserve">1. Mở màn Frameworks
2. Bấm tên một framework Draft
3. Bấm Activate
4. Bấm Cancel</t>
  </si>
  <si>
    <t xml:space="preserve">- Hộp thoại đóng, ở lại Draft preview
- Framework vẫn là Draft</t>
  </si>
  <si>
    <t xml:space="preserve">Q-F-08: hành vi sau Cancel suy từ hộp thoại, chưa xác nhận</t>
  </si>
  <si>
    <t>Framework_095</t>
  </si>
  <si>
    <t xml:space="preserve">Kiểm tra huỷ Activate: ×</t>
  </si>
  <si>
    <t xml:space="preserve">1. Mở màn Frameworks
2. Bấm tên một framework Draft
3. Bấm Activate
4. Bấm ×</t>
  </si>
  <si>
    <t xml:space="preserve">Q-F-08: chưa kiểm</t>
  </si>
  <si>
    <t>Framework_096</t>
  </si>
  <si>
    <t xml:space="preserve">Kiểm tra huỷ Activate: Esc</t>
  </si>
  <si>
    <t xml:space="preserve">1. Mở màn Frameworks
2. Bấm tên một framework Draft
3. Bấm Activate
4. Bấm phím Esc</t>
  </si>
  <si>
    <t xml:space="preserve">Kích hoạt khi chưa có Active retention policy (CFG-01)</t>
  </si>
  <si>
    <t>Framework_097</t>
  </si>
  <si>
    <t xml:space="preserve">Kiểm tra Activate khi chưa có Active retention policy</t>
  </si>
  <si>
    <t xml:space="preserve">Đăng nhập account SGS Admin
Có sẵn một framework Draft: [Framework Draft]
Chưa có Active retention policy</t>
  </si>
  <si>
    <t xml:space="preserve">1. Mở màn Frameworks
2. Bấm tên một framework Draft
3. Bấm Activate
4. Bấm Activate framework</t>
  </si>
  <si>
    <t xml:space="preserve">Q-F-07: UC FWK-06 chỉ cho kích hoạt khi có Active retention policy (CFG-01); Figma và hệ thống không có kiểm tra này, trang Settings ghi No design yet</t>
  </si>
  <si>
    <t xml:space="preserve">Kích hoạt framework có tier</t>
  </si>
  <si>
    <t>Framework_098</t>
  </si>
  <si>
    <t xml:space="preserve">Kiểm tra Activate framework có tier</t>
  </si>
  <si>
    <t xml:space="preserve">Đăng nhập account SGS Admin
Có framework Draft có tier: [Framework Draft có tier]</t>
  </si>
  <si>
    <t xml:space="preserve">Q-F-08: chưa bấm nút xác nhận; chưa biết màn đến, chip Status và hiển thị trong danh sách</t>
  </si>
  <si>
    <t xml:space="preserve">Kích hoạt framework không tier</t>
  </si>
  <si>
    <t>Framework_099</t>
  </si>
  <si>
    <t xml:space="preserve">Kiểm tra Activate framework không tier</t>
  </si>
  <si>
    <t xml:space="preserve">Đăng nhập account SGS Admin
Có framework Draft không tier: [Framework Draft không tier]</t>
  </si>
  <si>
    <t xml:space="preserve">Q-F-08: chưa có bản Draft không tier để kiểm; chưa biết kết quả</t>
  </si>
  <si>
    <t xml:space="preserve">Sau khi kích hoạt</t>
  </si>
  <si>
    <t xml:space="preserve">Customer Admin mở hộp thoại Link a framework: framework vừa kích hoạt có trong danh sách chọn</t>
  </si>
  <si>
    <t>Framework_100</t>
  </si>
  <si>
    <t xml:space="preserve">Kiểm tra framework vừa kích hoạt trong danh sách chọn của Customer Admin</t>
  </si>
  <si>
    <t xml:space="preserve">1. Đăng nhập account SGS Admin, bấm Activate framework cho [Framework Draft]
2. Đăng xuất, đăng nhập account Customer Admin
3. Mở Scopes, bấm một scope, bấm Link framework
4. Mở danh sách chọn framework</t>
  </si>
  <si>
    <t xml:space="preserve">Q-F-08: chưa bấm Activate nên chưa kiểm; danh sách chọn hiện gộp theo mã (6 mục), không thấy chọn phiên bản</t>
  </si>
  <si>
    <t xml:space="preserve">Framework Draft chưa kích hoạt không có trong danh sách chọn</t>
  </si>
  <si>
    <t>Framework_101</t>
  </si>
  <si>
    <t xml:space="preserve">Kiểm tra framework Draft không có trong danh sách chọn của Customer Admin</t>
  </si>
  <si>
    <t xml:space="preserve">Đăng nhập account Customer Admin
Có sẵn một framework Draft: [Framework Draft]</t>
  </si>
  <si>
    <t xml:space="preserve">1. Mở Scopes, bấm một scope, bấm Link framework
2. Mở danh sách chọn framework
3. Tìm [Framework Draft]</t>
  </si>
  <si>
    <t xml:space="preserve">Q-F-08: chưa kiểm; ghi chú: hệ thống có 6 mục khi có 8 framework, chưa rõ Draft có bị loại không</t>
  </si>
  <si>
    <t xml:space="preserve">Quyền theo vai trò</t>
  </si>
  <si>
    <t xml:space="preserve">Thấy menu Frameworks, nút Download template và Import framework ở danh sách</t>
  </si>
  <si>
    <t>Framework_102</t>
  </si>
  <si>
    <t xml:space="preserve">Kiểm tra SGS Admin thấy nút ở danh sách</t>
  </si>
  <si>
    <t xml:space="preserve">- Có nút Download template và Import framework</t>
  </si>
  <si>
    <t xml:space="preserve">Thấy Discard draft và Activate ở Draft preview</t>
  </si>
  <si>
    <t>Framework_103</t>
  </si>
  <si>
    <t xml:space="preserve">Kiểm tra SGS Admin thấy nút ở Draft preview</t>
  </si>
  <si>
    <t xml:space="preserve">- Có nút Discard draft và Activate</t>
  </si>
  <si>
    <t xml:space="preserve">Thấy nút ba chấm ở framework Active</t>
  </si>
  <si>
    <t>Framework_104</t>
  </si>
  <si>
    <t xml:space="preserve">Kiểm tra SGS Admin thấy nút ba chấm ở framework Active</t>
  </si>
  <si>
    <t xml:space="preserve">- Có nút ba chấm</t>
  </si>
  <si>
    <t xml:space="preserve">Thấy menu Frameworks và danh sách, không có nút Download template và Import framework</t>
  </si>
  <si>
    <t>Framework_105</t>
  </si>
  <si>
    <t xml:space="preserve">Kiểm tra SGS User ở danh sách</t>
  </si>
  <si>
    <t xml:space="preserve">Đăng nhập account SGS User</t>
  </si>
  <si>
    <t xml:space="preserve">1. Mở màn Frameworks
2. Kiểm tra menu trái và phần đầu trang</t>
  </si>
  <si>
    <t xml:space="preserve">- Menu có Frameworks
- Danh sách hiển thị
- Không có nút Download template và Import framework</t>
  </si>
  <si>
    <t xml:space="preserve">Q-F-16: UC chỉ nêu SGS Admin, chưa rõ SGS User có được xem không</t>
  </si>
  <si>
    <t xml:space="preserve">Mở Draft preview, không có nút Discard draft và Activate</t>
  </si>
  <si>
    <t>Framework_106</t>
  </si>
  <si>
    <t xml:space="preserve">Kiểm tra SGS User ở Draft preview</t>
  </si>
  <si>
    <t xml:space="preserve">Đăng nhập account SGS User
Có sẵn một framework Draft: [Framework Draft]</t>
  </si>
  <si>
    <t xml:space="preserve">- Mở được Draft preview
- Không có nút Discard draft và Activate</t>
  </si>
  <si>
    <t xml:space="preserve">Q-F-16: UC chỉ nêu SGS Admin</t>
  </si>
  <si>
    <t>Framework_107</t>
  </si>
  <si>
    <t xml:space="preserve">Kiểm tra SGS Consultant ở danh sách</t>
  </si>
  <si>
    <t xml:space="preserve">Đăng nhập account SGS Consultant</t>
  </si>
  <si>
    <t xml:space="preserve">Q-F-16: UC chỉ nêu SGS Admin; chưa mở chi tiết</t>
  </si>
  <si>
    <t xml:space="preserve">Menu không có Frameworks</t>
  </si>
  <si>
    <t>Framework_108</t>
  </si>
  <si>
    <t xml:space="preserve">Kiểm tra SGS Auditor/Certification không thấy menu Frameworks</t>
  </si>
  <si>
    <t xml:space="preserve">Đăng nhập account SGS Auditor/Certification</t>
  </si>
  <si>
    <t xml:space="preserve">1. Kiểm tra menu trái</t>
  </si>
  <si>
    <t xml:space="preserve">- Menu không có Frameworks</t>
  </si>
  <si>
    <t>Q-F-16</t>
  </si>
  <si>
    <t xml:space="preserve">Mở thẳng địa chỉ của danh sách</t>
  </si>
  <si>
    <t>Framework_109</t>
  </si>
  <si>
    <t xml:space="preserve">Kiểm tra SGS Auditor/Certification mở thẳng địa chỉ danh sách</t>
  </si>
  <si>
    <t xml:space="preserve">1. Mở thẳng địa chỉ của màn Frameworks</t>
  </si>
  <si>
    <t xml:space="preserve">Q-F-16: vào bằng địa chỉ chưa kiểm</t>
  </si>
  <si>
    <t xml:space="preserve">Customer Admin: menu không có Frameworks</t>
  </si>
  <si>
    <t>Framework_110</t>
  </si>
  <si>
    <t xml:space="preserve">Kiểm tra Customer Admin không thấy menu Frameworks</t>
  </si>
  <si>
    <t xml:space="preserve">Customer User: menu không có Frameworks</t>
  </si>
  <si>
    <t>Framework_111</t>
  </si>
  <si>
    <t xml:space="preserve">Kiểm tra Customer User không thấy menu Frameworks</t>
  </si>
  <si>
    <t xml:space="preserve">Đăng nhập account Customer User</t>
  </si>
  <si>
    <t xml:space="preserve">Q-F-16: chưa kiểm vai trò này</t>
  </si>
  <si>
    <t xml:space="preserve">Customer Viewer: menu không có Frameworks</t>
  </si>
  <si>
    <t>Framework_112</t>
  </si>
  <si>
    <t xml:space="preserve">Kiểm tra Customer Viewer không thấy menu Frameworks</t>
  </si>
  <si>
    <t xml:space="preserve">Customer Admin mở thẳng địa chỉ của danh sách</t>
  </si>
  <si>
    <t>Framework_113</t>
  </si>
  <si>
    <t xml:space="preserve">Kiểm tra Customer Admin mở thẳng địa chỉ danh sách</t>
  </si>
  <si>
    <t xml:space="preserve">Hiển thị nguyên văn</t>
  </si>
  <si>
    <t xml:space="preserve">Ô bắt đầu bằng dấu = trong file hiện nguyên văn trên bản nháp</t>
  </si>
  <si>
    <t>Framework_114</t>
  </si>
  <si>
    <t xml:space="preserve">Kiểm tra ô bắt đầu bằng dấu = trong file import</t>
  </si>
  <si>
    <t xml:space="preserve">1. Mở màn Frameworks
2. Bấm Import framework
3. Chọn file [file hợp lệ, Description bắt đầu bằng =1+1]
4. Bấm Check file</t>
  </si>
  <si>
    <t xml:space="preserve">Q-F-14: chưa kiểm; kết quả mong đợi: hiện nguyên văn =1+1 ở bản nháp</t>
  </si>
  <si>
    <t xml:space="preserve">Thẻ &lt;script&gt; trong Description hiện nguyên văn trên bản nháp</t>
  </si>
  <si>
    <t>Framework_115</t>
  </si>
  <si>
    <t xml:space="preserve">Kiểm tra thẻ script trong Description của file import</t>
  </si>
  <si>
    <t xml:space="preserve">1. Mở màn Frameworks
2. Bấm Import framework
3. Chọn file [file hợp lệ, Description là &lt;script&gt;alert(1)&lt;/script&gt;]
4. Bấm Check file</t>
  </si>
  <si>
    <t xml:space="preserve">Q-F-14: chưa kiểm; kết quả mong đợi: hiện nguyên văn, không chạy script</t>
  </si>
  <si>
    <t xml:space="preserve">Hành động được ghi</t>
  </si>
  <si>
    <t xml:space="preserve">Import ghi một dòng ở Audit Logs</t>
  </si>
  <si>
    <t>Framework_116</t>
  </si>
  <si>
    <t xml:space="preserve">Kiểm tra ghi vết: Import</t>
  </si>
  <si>
    <t xml:space="preserve">1. Thực hiện import một framework
2. Đăng nhập account SGS Admin, bấm Audit Logs ở menu trái
3. Tìm dòng mới nhất</t>
  </si>
  <si>
    <t xml:space="preserve">Q-F-17: nội dung dòng ghi vết chưa kiểm; chưa bấm nút xác nhận để tạo dòng ghi vết (Q-F-08)</t>
  </si>
  <si>
    <t xml:space="preserve">Kích hoạt ghi một dòng ở Audit Logs</t>
  </si>
  <si>
    <t>Framework_117</t>
  </si>
  <si>
    <t xml:space="preserve">Kiểm tra ghi vết: Kích hoạt</t>
  </si>
  <si>
    <t xml:space="preserve">1. Thực hiện kích hoạt một framework
2. Đăng nhập account SGS Admin, bấm Audit Logs ở menu trái
3. Tìm dòng mới nhất</t>
  </si>
  <si>
    <t xml:space="preserve">Huỷ bản nháp ghi một dòng ở Audit Logs</t>
  </si>
  <si>
    <t>Framework_118</t>
  </si>
  <si>
    <t xml:space="preserve">Kiểm tra ghi vết: Huỷ bản nháp</t>
  </si>
  <si>
    <t xml:space="preserve">1. Thực hiện huỷ bản nháp một framework
2. Đăng nhập account SGS Admin, bấm Audit Logs ở menu trái
3. Tìm dòng mới nhất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</si>
  <si>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</si>
  <si>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</si>
  <si>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</si>
  <si>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</si>
  <si>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</si>
  <si>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</si>
  <si>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</si>
  <si>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</si>
  <si>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</si>
  <si>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Scope_123),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</si>
  <si>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</si>
  <si>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</si>
  <si>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</si>
  <si>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</si>
  <si>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</si>
  <si>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</si>
  <si>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</si>
  <si>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</si>
  <si>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</si>
  <si>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</si>
  <si>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</si>
  <si>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</si>
  <si>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</si>
  <si>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</si>
  <si>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</si>
  <si>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</si>
  <si>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</si>
  <si>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</si>
  <si>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</si>
  <si>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</si>
  <si>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</si>
  <si>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</si>
  <si>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</si>
  <si>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</si>
  <si>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</si>
  <si>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</si>
  <si>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</si>
  <si>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</si>
  <si>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</si>
  <si>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</si>
  <si>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</si>
  <si>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</si>
  <si>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</si>
  <si>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</si>
  <si>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</si>
  <si>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</si>
  <si>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</si>
  <si>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</si>
  <si>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</si>
  <si>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</si>
  <si>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</si>
  <si>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</si>
  <si>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</si>
  <si>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</si>
  <si>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</si>
  <si>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</si>
  <si>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</si>
  <si>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</si>
  <si>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</si>
  <si>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</si>
  <si>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</si>
  <si>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</si>
  <si>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</si>
  <si>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</si>
  <si>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</si>
  <si>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</si>
  <si>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</si>
  <si>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</si>
  <si>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</si>
  <si>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</si>
  <si>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</si>
  <si>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</si>
  <si>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</si>
  <si>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</si>
  <si>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</si>
  <si>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</si>
  <si>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</si>
  <si>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</si>
  <si>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</si>
  <si>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</si>
  <si>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</si>
  <si>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</si>
  <si>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</si>
  <si>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</si>
  <si>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</si>
  <si>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</si>
  <si>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</si>
  <si>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</si>
  <si>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</si>
  <si>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</si>
  <si>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</si>
  <si>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</si>
  <si>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</si>
  <si>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</si>
  <si>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</si>
  <si>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</si>
  <si>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</si>
  <si>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</si>
  <si>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</si>
  <si>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</si>
  <si>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</si>
  <si>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</si>
  <si>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</si>
  <si>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</si>
  <si>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</si>
  <si>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</si>
  <si>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</si>
  <si>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</si>
  <si>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</si>
  <si>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</si>
  <si>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</si>
  <si>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</si>
  <si>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</si>
  <si>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</si>
  <si>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</si>
  <si>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</si>
  <si>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</si>
  <si>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</si>
  <si>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</si>
  <si>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</si>
  <si>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</si>
  <si>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</si>
  <si>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</si>
  <si>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</si>
  <si>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</si>
  <si>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</si>
  <si>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</si>
  <si>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</si>
  <si>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</si>
  <si>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</si>
  <si>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</si>
  <si>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</si>
  <si>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</si>
  <si>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</si>
  <si>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</si>
  <si>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</si>
  <si>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</si>
  <si>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</si>
  <si>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</si>
  <si>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</si>
  <si>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</si>
  <si>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</si>
  <si>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</si>
  <si>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</si>
  <si>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</si>
  <si>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</si>
  <si>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</si>
  <si>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</si>
  <si>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</si>
  <si>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</si>
  <si>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</si>
  <si>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</si>
  <si>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</si>
  <si>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</si>
  <si>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</si>
  <si>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</si>
  <si>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</si>
  <si>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</si>
  <si>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</si>
  <si>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</si>
  <si>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</si>
  <si>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</si>
  <si>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</si>
  <si>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</si>
  <si>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</si>
  <si>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</si>
  <si>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</si>
  <si>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</si>
  <si>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</si>
  <si>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</si>
  <si>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</si>
  <si>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</si>
  <si>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</si>
  <si>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</si>
  <si>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</si>
  <si>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</si>
  <si>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</si>
  <si>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</si>
  <si>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</si>
  <si>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</si>
  <si>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</si>
  <si>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</si>
  <si>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</si>
  <si>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</si>
  <si>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</si>
  <si>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</si>
  <si>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</si>
  <si>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</si>
  <si>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</si>
  <si>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</si>
  <si>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</si>
  <si>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</si>
  <si>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</si>
  <si>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</si>
  <si>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</si>
  <si>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</si>
  <si>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</si>
  <si>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</si>
  <si>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</si>
  <si>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</si>
  <si>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</si>
  <si>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</si>
  <si>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</si>
  <si>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</si>
  <si>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</si>
  <si>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</si>
  <si>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</si>
  <si>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</si>
  <si>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</si>
  <si>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</si>
  <si>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</si>
  <si>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</si>
  <si>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</si>
  <si>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</si>
  <si>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</si>
  <si>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</si>
  <si>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</si>
  <si>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</si>
  <si>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</si>
  <si>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</si>
  <si>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</si>
  <si>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</si>
  <si>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</si>
  <si>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</si>
  <si>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</si>
  <si>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</si>
  <si>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</si>
  <si>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</si>
  <si>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</si>
  <si>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</si>
  <si>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</si>
  <si>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</si>
  <si>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</si>
  <si>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</si>
  <si>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</si>
  <si>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</si>
  <si>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</si>
  <si>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</si>
  <si>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</si>
  <si>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</si>
  <si>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</si>
  <si>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</si>
  <si>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</si>
  <si>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</si>
  <si>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</si>
  <si>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</si>
  <si>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</si>
  <si>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</si>
  <si>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</si>
  <si>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</si>
  <si>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</si>
  <si>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>API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</si>
  <si>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</si>
  <si>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</si>
  <si>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</si>
  <si>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</si>
  <si>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- Cả ba bị từ chối (403), dữ liệu không đổi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</si>
  <si>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</si>
  <si>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</si>
  <si>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</si>
  <si>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</si>
  <si>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</si>
  <si>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</si>
  <si>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</si>
  <si>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</si>
  <si>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</si>
  <si>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</si>
  <si>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</si>
  <si>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</si>
  <si>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</si>
  <si>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</si>
  <si>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</si>
  <si>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</si>
  <si>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Đăng nhập {{user.tenantB_admin}}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</si>
  <si>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</si>
  <si>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</si>
  <si>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</si>
  <si>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</si>
  <si>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</si>
  <si>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</si>
  <si>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</si>
  <si>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</si>
  <si>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</si>
  <si>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</si>
  <si>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</si>
  <si>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</si>
  <si>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</si>
  <si>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</si>
  <si>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</si>
  <si>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</si>
  <si>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</si>
  <si>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</si>
  <si>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</si>
  <si>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</si>
  <si>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</si>
  <si>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</si>
  <si>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</si>
  <si>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</si>
  <si>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</si>
  <si>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</si>
  <si>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</si>
  <si>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</si>
  <si>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</si>
  <si>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</si>
  <si>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</si>
  <si>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</si>
  <si>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</si>
  <si>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</si>
  <si>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</si>
  <si>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</si>
  <si>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</si>
  <si>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</si>
  <si>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</si>
  <si>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</si>
  <si>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</si>
  <si>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</si>
  <si>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</si>
  <si>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</si>
  <si>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</si>
  <si>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</si>
  <si>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</si>
  <si>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</si>
  <si>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</si>
  <si>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</si>
  <si>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</si>
  <si>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</si>
  <si>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</si>
  <si>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</si>
  <si>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</si>
  <si>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</si>
  <si>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</si>
  <si>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</si>
  <si>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</si>
  <si>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</si>
  <si>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</si>
  <si>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</si>
  <si>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</si>
  <si>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</si>
  <si>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</si>
  <si>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</si>
  <si>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</si>
  <si>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</si>
  <si>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</si>
  <si>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</si>
  <si>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</si>
  <si>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</si>
  <si>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</si>
  <si>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</si>
  <si>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</si>
  <si>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</si>
  <si>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</si>
  <si>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</si>
  <si>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</si>
  <si>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</si>
  <si>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</si>
  <si>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</si>
  <si>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</si>
  <si>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</si>
  <si>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</si>
  <si>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</si>
  <si>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</si>
  <si>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</si>
  <si>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</si>
  <si>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</si>
  <si>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</si>
  <si>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</si>
  <si>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</si>
  <si>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</si>
  <si>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</si>
  <si>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</si>
  <si>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</si>
  <si>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</si>
  <si>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</si>
  <si>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</si>
  <si>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</si>
  <si>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</si>
  <si>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</si>
  <si>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</si>
  <si>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</si>
  <si>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</si>
  <si>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</si>
  <si>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</si>
  <si>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</si>
  <si>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</si>
  <si>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</si>
  <si>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</si>
  <si>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</si>
  <si>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Scope_123: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</si>
  <si>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</si>
  <si>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</si>
  <si>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</si>
  <si>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</si>
  <si>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</si>
  <si>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</si>
  <si>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</si>
  <si>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</si>
  <si>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</si>
  <si>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</si>
  <si>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</si>
  <si>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</si>
  <si>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</si>
  <si>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</si>
  <si>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</si>
  <si>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</si>
  <si>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</si>
  <si>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</si>
  <si>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</si>
  <si>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</si>
  <si>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</si>
  <si>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</si>
  <si>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</si>
  <si>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</si>
  <si>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</si>
  <si>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</si>
  <si>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</si>
  <si>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</si>
  <si>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</si>
  <si>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</si>
  <si>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</si>
  <si>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</si>
  <si>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</si>
  <si>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</si>
  <si>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</si>
  <si>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</si>
  <si>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</si>
  <si>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</si>
  <si>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</si>
  <si>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</si>
  <si>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</si>
  <si>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</si>
  <si>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</si>
  <si>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</si>
  <si>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</si>
  <si>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</si>
  <si>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</si>
  <si>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</si>
  <si>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</si>
  <si>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</si>
  <si>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</si>
  <si>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</si>
  <si>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</si>
  <si>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</si>
  <si>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</si>
  <si>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</si>
  <si>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</si>
  <si>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</si>
  <si>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</si>
  <si>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</si>
  <si>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</si>
  <si>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</si>
  <si>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</si>
  <si>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</si>
  <si>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</si>
  <si>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</si>
  <si>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</si>
  <si>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</si>
  <si>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</si>
  <si>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</si>
  <si>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</si>
  <si>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</si>
  <si>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</si>
  <si>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</si>
  <si>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</si>
  <si>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</si>
  <si>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</si>
  <si>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</si>
  <si>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</si>
  <si>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</si>
  <si>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</si>
  <si>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</si>
  <si>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</si>
  <si>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</si>
  <si>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</si>
  <si>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</si>
  <si>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</si>
  <si>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</si>
  <si>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</si>
  <si>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</si>
  <si>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</si>
  <si>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</si>
  <si>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Scope_025, Scope_026, Scope_027</t>
  </si>
  <si>
    <t xml:space="preserve">Danh sách chỉ hiển thị Type và Name; In scope / Out of scope xem ở màn chi tiết.</t>
  </si>
  <si>
    <t>FWK-01</t>
  </si>
  <si>
    <t>Kiểm tra mở màn Frameworks bằng URL</t>
  </si>
  <si>
    <t>1. Mở thẳng url của màn Frameworks</t>
  </si>
  <si>
    <t xml:space="preserve">- Hiển thị màn Frameworks
- Mục Frameworks ở menu trái được tô nền</t>
  </si>
  <si>
    <t>Bấm tên framework Active</t>
  </si>
  <si>
    <t>Đăng nhập account SGS Admin; có [Framework Active]</t>
  </si>
  <si>
    <t xml:space="preserve">1. Mở màn Frameworks
2. Bấm tên [Framework Active] ở cột Framework</t>
  </si>
  <si>
    <t xml:space="preserve">- Chuyển sang màn chi tiết của [Framework Active]
- Mục Overview ở cột bên trái được tô nền</t>
  </si>
  <si>
    <t>FWK-02</t>
  </si>
  <si>
    <t>Bấm tên framework Draft</t>
  </si>
  <si>
    <t>Kiểm tra mở bản nháp từ danh sách</t>
  </si>
  <si>
    <t>Đăng nhập account SGS Admin; có [Framework Draft]</t>
  </si>
  <si>
    <t xml:space="preserve">1. Mở màn Frameworks
2. Bấm tên [Framework Draft] ở cột Framework</t>
  </si>
  <si>
    <t xml:space="preserve">- Chuyển sang màn bản nháp của [Framework Draft]
- Cạnh tên framework có nhãn Draft · not active</t>
  </si>
  <si>
    <t>Mã framework hợp lệ</t>
  </si>
  <si>
    <t>Kiểm tra mở chi tiết framework bằng URL</t>
  </si>
  <si>
    <t>1. Mở thẳng url chi tiết của [Framework Active]</t>
  </si>
  <si>
    <t>- Hiển thị màn chi tiết của [Framework Active]</t>
  </si>
  <si>
    <t>Mã framework không tồn tại</t>
  </si>
  <si>
    <t>Kiểm tra mở chi tiết bằng mã framework không tồn tại</t>
  </si>
  <si>
    <t>1. Mở url chi tiết framework với mã không tồn tại</t>
  </si>
  <si>
    <t xml:space="preserve">- Hiển thị thông báo:
"This framework doesn’t exist
It may have been removed, or it belongs to an organisation you can’t see."</t>
  </si>
  <si>
    <t>Text lấy từ hệ thống, Figma chưa có trạng thái này → Q-F-18</t>
  </si>
  <si>
    <t>Kiểm tra phần đầu màn Frameworks</t>
  </si>
  <si>
    <t xml:space="preserve">- Breadcrumb: Frameworks
- Tiêu đề: Frameworks
- Mô tả:
"Frameworks customers can activate on their scopes. Import one from the Excel template."</t>
  </si>
  <si>
    <t>Kiểm tra hiển thị nút Import framework</t>
  </si>
  <si>
    <t xml:space="preserve">1. Mở màn Frameworks
2. Kiểm tra góc trên bên phải</t>
  </si>
  <si>
    <t>- Có nút Import framework</t>
  </si>
  <si>
    <t>FWK-03</t>
  </si>
  <si>
    <t>Kiểm tra hiển thị nút Download template</t>
  </si>
  <si>
    <t>- Có nút Download template</t>
  </si>
  <si>
    <t>Bấm Import framework</t>
  </si>
  <si>
    <t>Kiểm tra mở hộp thoại Import a framework</t>
  </si>
  <si>
    <t xml:space="preserve">- Mở hộp thoại tiêu đề Import a framework, có nút đóng ×
- Có nút Cancel và nút Check file</t>
  </si>
  <si>
    <t>Bước 1 - tải file mẫu</t>
  </si>
  <si>
    <t>Kiểm tra nội dung bước 1 của hộp thoại Import a framework</t>
  </si>
  <si>
    <t xml:space="preserve">1. Mở màn Frameworks
2. Bấm Import framework
3. Kiểm tra bước 1</t>
  </si>
  <si>
    <t xml:space="preserve">- Tiêu đề bước: Download the template and fill it in
- Mô tả:
"One file = one framework version. A new version of an existing framework (same code, different version) is added as its own entry. Sheets: Framework (one row), Tiers (leave empty if the framework has no tiers), Requirements, Expected_Evidence."
- Có nút Download template (.xlsx)</t>
  </si>
  <si>
    <t>UC FWK-03 ghi file có EN và ZH; file mẫu ver 1 (18/09) không có sheet Tiers → Q-F-06</t>
  </si>
  <si>
    <t>Bước 2 - tải file lên</t>
  </si>
  <si>
    <t>Kiểm tra nội dung bước 2 của hộp thoại Import a framework</t>
  </si>
  <si>
    <t xml:space="preserve">1. Mở màn Frameworks
2. Bấm Import framework
3. Kiểm tra bước 2</t>
  </si>
  <si>
    <t xml:space="preserve">- Tiêu đề bước: Upload the completed file
- Trường Framework file * có vùng kéo thả:
"Drag files here or browse."
- Dòng gợi ý:
"Excel (.xlsx) · up to 20 MB · checked before anything is saved"</t>
  </si>
  <si>
    <t>Từ hộp thoại</t>
  </si>
  <si>
    <t>Kiểm tra tải file mẫu trong hộp thoại Import a framework</t>
  </si>
  <si>
    <t>- Tải về file mẫu dạng .xlsx</t>
  </si>
  <si>
    <t>Hệ thống ghi tên file SGS_DTP_Framework_Import_Template.xlsx nhưng chỉ hiện thông báo, prototype không có file thật → Q-F-06</t>
  </si>
  <si>
    <t>Từ đầu danh sách</t>
  </si>
  <si>
    <t>Kiểm tra tải file mẫu bằng nút Download template</t>
  </si>
  <si>
    <t>Nội dung file mẫu</t>
  </si>
  <si>
    <t>Kiểm tra các sheet của file mẫu</t>
  </si>
  <si>
    <t xml:space="preserve">1. Mở màn Frameworks
2. Bấm Download template
3. Mở file vừa tải</t>
  </si>
  <si>
    <t xml:space="preserve">- File có các sheet:
+ Framework
+ Tiers
+ Requirements
+ Expected_Evidence</t>
  </si>
  <si>
    <t>Hộp thoại ghi 4 sheet; file mẫu ver 1 trên SharePoint (18/09) không có Tiers, không có cột tiếng Trung như UC ghi → Q-F-06</t>
  </si>
  <si>
    <t>Chọn file</t>
  </si>
  <si>
    <t>Bấm browse</t>
  </si>
  <si>
    <t>Kiểm tra chọn file .xlsx bằng browse</t>
  </si>
  <si>
    <t>Đăng nhập account SGS Admin; có [file hợp lệ]: file .xlsx điền theo file mẫu, không có lỗi</t>
  </si>
  <si>
    <t xml:space="preserve">1. Mở màn Frameworks
2. Bấm Import framework
3. Bấm browse, chọn [file hợp lệ]</t>
  </si>
  <si>
    <t xml:space="preserve">- Dưới vùng kéo thả có dòng file gồm:
+ Tên file
+ Dung lượng, ví dụ 180 KB
+ Dấu tích xanh
+ Nút ×</t>
  </si>
  <si>
    <t>Kéo thả</t>
  </si>
  <si>
    <t>Kiểm tra chọn file .xlsx bằng kéo thả</t>
  </si>
  <si>
    <t xml:space="preserve">1. Mở màn Frameworks
2. Bấm Import framework
3. Kéo [file hợp lệ] thả vào vùng Drag files here</t>
  </si>
  <si>
    <t xml:space="preserve">- Dưới vùng kéo thả có dòng file gồm:
+ Tên file
+ Dung lượng
+ Dấu tích xanh
+ Nút ×</t>
  </si>
  <si>
    <t>Bấm × ở dòng file</t>
  </si>
  <si>
    <t xml:space="preserve">1. Mở màn Frameworks
2. Bấm Import framework
3. Chọn [file hợp lệ]
4. Bấm × ở dòng file</t>
  </si>
  <si>
    <t xml:space="preserve">- Dòng file biến mất
- Vùng kéo thả vẫn hiển thị</t>
  </si>
  <si>
    <t>Chọn file khác khi đã có file</t>
  </si>
  <si>
    <t>Kiểm tra chọn file thứ hai khi đã chọn một file</t>
  </si>
  <si>
    <t xml:space="preserve">1. Mở màn Frameworks
2. Bấm Import framework
3. Chọn file abc.xlsx
4. Chọn tiếp file abc1.xlsx</t>
  </si>
  <si>
    <t>- Chỉ còn một dòng file: abc1.xlsx</t>
  </si>
  <si>
    <t>Figma ghi One file = one framework version; hệ thống thay file cũ bằng file mới, không báo gì → Q-F-14</t>
  </si>
  <si>
    <t>File đúng 20 MB</t>
  </si>
  <si>
    <t>Framework_020</t>
  </si>
  <si>
    <t>Kiểm tra chọn file có dung lượng đúng 20 MB</t>
  </si>
  <si>
    <t xml:space="preserve">1. Mở màn Frameworks
2. Bấm Import framework
3. Chọn file .xlsx có dung lượng đúng 20 MB</t>
  </si>
  <si>
    <t xml:space="preserve">- Dòng file hiện dung lượng 20.0 MB và dấu tích xanh
- Không có thông báo lỗi</t>
  </si>
  <si>
    <t>Hệ thống tính 1 MB = 1.048.576 byte; giới hạn tính theo cách này hay 1.000.000 byte → Q-F-14</t>
  </si>
  <si>
    <t>Chưa chọn file</t>
  </si>
  <si>
    <t>Framework_021</t>
  </si>
  <si>
    <t>Kiểm tra bấm Check file khi chưa chọn file</t>
  </si>
  <si>
    <t xml:space="preserve">1. Mở màn Frameworks
2. Bấm Import framework
3. Bấm Check file khi chưa chọn file</t>
  </si>
  <si>
    <t xml:space="preserve">- Không kiểm file, hộp thoại vẫn mở
- Hiện lỗi dưới trường Framework file:
"Choose the completed Excel file."</t>
  </si>
  <si>
    <t>Text lỗi lấy từ hệ thống, Figma không có trạng thái này → Q-F-14</t>
  </si>
  <si>
    <t>File không phải .xlsx</t>
  </si>
  <si>
    <t>Framework_022</t>
  </si>
  <si>
    <t>Kiểm tra import file không phải .xlsx</t>
  </si>
  <si>
    <t xml:space="preserve">1. Mở màn Frameworks
2. Bấm Import framework
3. Kéo file abc.pdf thả vào vùng Drag files here
4. Bấm Check file</t>
  </si>
  <si>
    <t xml:space="preserve">- Không import, hộp thoại hiện thông báo lỗi:
"1 error in abc.pdf"
"Nothing was imported. Fix these rows in Excel and upload the file again."
- Bảng lỗi có dòng với Problem:
"Only Excel (.xlsx) files made from the template can be imported."</t>
  </si>
  <si>
    <t>Hệ thống nhận file .pdf vào ô chọn, chỉ báo lỗi khi bấm Check file, dòng lỗi ghi Sheet —, Row 0, Column —; Figma không có trạng thái này → Q-F-14</t>
  </si>
  <si>
    <t>File lớn hơn 20 MB</t>
  </si>
  <si>
    <t>Framework_023</t>
  </si>
  <si>
    <t xml:space="preserve">1. Mở màn Frameworks
2. Bấm Import framework
3. Chọn file .xlsx có dung lượng lớn hơn 20 MB</t>
  </si>
  <si>
    <t xml:space="preserve">- Dòng file báo lỗi:
"File is larger than 20 MB."</t>
  </si>
  <si>
    <t>Text lỗi lấy từ hệ thống; hệ thống vẫn cho bấm Check file với file này → Q-F-14</t>
  </si>
  <si>
    <t>Kiểm tra import file có hai dòng ở sheet Framework</t>
  </si>
  <si>
    <t xml:space="preserve">1. Mở màn Frameworks
2. Bấm Import framework
3. Chọn [file hợp lệ] đã sửa:
- Sheet Framework có 2 dòng dữ liệu
4. Bấm Check file</t>
  </si>
  <si>
    <t xml:space="preserve">- Không import, hộp thoại hiện bảng lỗi
- Bảng lỗi có dòng của sheet Framework</t>
  </si>
  <si>
    <t>Chữ ở cột Row, Column, Problem → Q-F-14</t>
  </si>
  <si>
    <t>Bỏ trống framework_code</t>
  </si>
  <si>
    <t>Kiểm tra import file bỏ trống framework_code</t>
  </si>
  <si>
    <t xml:space="preserve">1. Mở màn Frameworks
2. Bấm Import framework
3. Chọn [file hợp lệ] đã sửa:
- Sheet Framework: framework_code để trống
4. Bấm Check file</t>
  </si>
  <si>
    <t>Bỏ trống framework_name</t>
  </si>
  <si>
    <t>Kiểm tra import file bỏ trống framework_name</t>
  </si>
  <si>
    <t xml:space="preserve">1. Mở màn Frameworks
2. Bấm Import framework
3. Chọn [file hợp lệ] đã sửa:
- Sheet Framework: framework_name để trống
4. Bấm Check file</t>
  </si>
  <si>
    <t>Bỏ trống version</t>
  </si>
  <si>
    <t>Kiểm tra import file bỏ trống version</t>
  </si>
  <si>
    <t xml:space="preserve">1. Mở màn Frameworks
2. Bấm Import framework
3. Chọn [file hợp lệ] đã sửa:
- Sheet Framework: version để trống
4. Bấm Check file</t>
  </si>
  <si>
    <t>effective_date sai định dạng</t>
  </si>
  <si>
    <t>Kiểm tra import file có effective_date không phải ngày</t>
  </si>
  <si>
    <t xml:space="preserve">1. Mở màn Frameworks
2. Bấm Import framework
3. Chọn [file hợp lệ] đã sửa:
- Sheet Framework: effective_date: 2026-13-45
4. Bấm Check file</t>
  </si>
  <si>
    <t>File mẫu ghi Must be a valid date or left blank; chữ ở cột Row, Column, Problem → Q-F-14</t>
  </si>
  <si>
    <t>requirement_code bị trùng</t>
  </si>
  <si>
    <t>Kiểm tra import file có requirement_code bị trùng</t>
  </si>
  <si>
    <t xml:space="preserve">1. Mở màn Frameworks
2. Bấm Import framework
3. Chọn [file hợp lệ] đã sửa:
- Sheet Requirements: dòng 40 và dòng 41 cùng requirement_code R.9.4.2
4. Bấm Check file</t>
  </si>
  <si>
    <t xml:space="preserve">- Không import, hộp thoại hiện bảng lỗi
- Bảng lỗi có dòng:
+ Sheet: Requirements
+ Row: 41
+ Column: requirement_code
+ Problem: “R.9.4.2” is used twice (rows 40 and 41).</t>
  </si>
  <si>
    <t>parent_requirement_code không tồn tại</t>
  </si>
  <si>
    <t>Kiểm tra import file có mã cha không tồn tại</t>
  </si>
  <si>
    <t xml:space="preserve">1. Mở màn Frameworks
2. Bấm Import framework
3. Chọn [file hợp lệ] đã sửa:
- Sheet Requirements: dòng 24 có parent_requirement_code R.9.9, sheet không có dòng nào mã R.9.9
4. Bấm Check file</t>
  </si>
  <si>
    <t xml:space="preserve">- Không import, hộp thoại hiện bảng lỗi
- Bảng lỗi có dòng:
+ Sheet: Requirements
+ Row: 24
+ Column: parent_requirement_code
+ Problem: “R.9.9” does not exist in this sheet.</t>
  </si>
  <si>
    <t>Requirement là cha của chính nó</t>
  </si>
  <si>
    <t>Kiểm tra import file có requirement là cha của chính nó</t>
  </si>
  <si>
    <t xml:space="preserve">1. Mở màn Frameworks
2. Bấm Import framework
3. Chọn [file hợp lệ] đã sửa:
- Sheet Requirements: dòng V.1 có parent_requirement_code V.1
4. Bấm Check file</t>
  </si>
  <si>
    <t xml:space="preserve">- Không import, hộp thoại hiện bảng lỗi
- Bảng lỗi có dòng của sheet Requirements</t>
  </si>
  <si>
    <t>Cha con vòng lặp</t>
  </si>
  <si>
    <t>Kiểm tra import file có quan hệ cha con vòng lặp</t>
  </si>
  <si>
    <t xml:space="preserve">1. Mở màn Frameworks
2. Bấm Import framework
3. Chọn [file hợp lệ] đã sửa:
- Sheet Requirements: dòng A có cha là B, dòng B có cha là A
4. Bấm Check file</t>
  </si>
  <si>
    <t>Kiểm tra import file có is_assessable sai giá trị</t>
  </si>
  <si>
    <t xml:space="preserve">1. Mở màn Frameworks
2. Bấm Import framework
3. Chọn [file hợp lệ] đã sửa:
- Sheet Requirements: một dòng có is_assessable: YES
4. Bấm Check file</t>
  </si>
  <si>
    <t>Bỏ trống title</t>
  </si>
  <si>
    <t>Kiểm tra import file có requirement bỏ trống title</t>
  </si>
  <si>
    <t xml:space="preserve">1. Mở màn Frameworks
2. Bấm Import framework
3. Chọn [file hợp lệ] đã sửa:
- Sheet Requirements: một dòng để trống title
4. Bấm Check file</t>
  </si>
  <si>
    <t>Expected evidence trỏ vào dòng nhóm</t>
  </si>
  <si>
    <t>Kiểm tra import file có expected evidence trỏ vào dòng nhóm</t>
  </si>
  <si>
    <t xml:space="preserve">1. Mở màn Frameworks
2. Bấm Import framework
3. Chọn [file hợp lệ] đã sửa:
- Sheet Expected_Evidence: dòng 12 có requirement_code R.4; ở sheet Requirements, R.4 có is_assessable FALSE
4. Bấm Check file</t>
  </si>
  <si>
    <t xml:space="preserve">- Không import, hộp thoại hiện bảng lỗi
- Bảng lỗi có dòng:
+ Sheet: Expected_Evidence
+ Row: 12
+ Column: requirement_code
+ Problem: “R.4” is a grouping row. Evidence must point to an assessable requirement.</t>
  </si>
  <si>
    <t>Expected evidence trỏ vào mã không tồn tại</t>
  </si>
  <si>
    <t>Kiểm tra import file có expected evidence trỏ vào requirement không tồn tại</t>
  </si>
  <si>
    <t xml:space="preserve">1. Mở màn Frameworks
2. Bấm Import framework
3. Chọn [file hợp lệ] đã sửa:
- Sheet Expected_Evidence: một dòng có requirement_code R.99, sheet Requirements không có R.99
4. Bấm Check file</t>
  </si>
  <si>
    <t xml:space="preserve">- Không import, hộp thoại hiện bảng lỗi
- Bảng lỗi có dòng của sheet Expected_Evidence</t>
  </si>
  <si>
    <t>expected_evidence_code bị trùng</t>
  </si>
  <si>
    <t>Kiểm tra import file có expected_evidence_code bị trùng</t>
  </si>
  <si>
    <t xml:space="preserve">1. Mở màn Frameworks
2. Bấm Import framework
3. Chọn [file hợp lệ] đã sửa:
- Sheet Expected_Evidence: hai dòng cùng expected_evidence_code EE-001
4. Bấm Check file</t>
  </si>
  <si>
    <t>Kiểm tra import file có mandatory sai giá trị</t>
  </si>
  <si>
    <t xml:space="preserve">1. Mở màn Frameworks
2. Bấm Import framework
3. Chọn [file hợp lệ] đã sửa:
- Sheet Expected_Evidence: một dòng có mandatory: YES
4. Bấm Check file</t>
  </si>
  <si>
    <t>Bỏ trống evidence_name</t>
  </si>
  <si>
    <t>Kiểm tra import file có expected evidence bỏ trống evidence_name</t>
  </si>
  <si>
    <t xml:space="preserve">1. Mở màn Frameworks
2. Bấm Import framework
3. Chọn [file hợp lệ] đã sửa:
- Sheet Expected_Evidence: một dòng để trống evidence_name
4. Bấm Check file</t>
  </si>
  <si>
    <t>Nhiều lỗi trong một file</t>
  </si>
  <si>
    <t>Kiểm tra import file có nhiều lỗi</t>
  </si>
  <si>
    <t xml:space="preserve">1. Mở màn Frameworks
2. Bấm Import framework
3. Chọn file bcm-2019.xlsx có đủ 3 lỗi: requirement_code R.9.4.2 trùng ở dòng 40 và 41; dòng 24 có mã cha R.9.9 không tồn tại; dòng 12 sheet Expected_Evidence trỏ vào dòng nhóm R.4
4. Bấm Check file
5. Bấm Cancel</t>
  </si>
  <si>
    <t xml:space="preserve">- Sau bước 4, hộp thoại hiện thông báo:
"3 errors in bcm-2019.xlsx"
"Nothing was imported. Fix these rows in Excel and upload the file again."
- Bảng lỗi 4 cột Sheet, Row, Column, Problem, có 3 dòng
- Có trường Corrected file *
- Sau bước 5: danh sách không có framework mới</t>
  </si>
  <si>
    <t>Kiểm tra huỷ nhập framework bằng Cancel</t>
  </si>
  <si>
    <t xml:space="preserve">1. Mở màn Frameworks
2. Bấm Import framework
3. Chọn [file hợp lệ]
4. Bấm Cancel</t>
  </si>
  <si>
    <t>Đã chọn file mà bấm Cancel có hỏi lại không → Q-F-19</t>
  </si>
  <si>
    <t>Kiểm tra đóng hộp thoại Import a framework bằng nút ×</t>
  </si>
  <si>
    <t xml:space="preserve">1. Mở màn Frameworks
2. Bấm Import framework
3. Chọn [file hợp lệ]
4. Bấm ×</t>
  </si>
  <si>
    <t>- Hộp thoại đóng, không import</t>
  </si>
  <si>
    <t>Kiểm tra nhấn Esc khi đang mở hộp thoại Import a framework</t>
  </si>
  <si>
    <t xml:space="preserve">1. Mở màn Frameworks
2. Bấm Import framework
3. Chọn [file hợp lệ]
4. Nhấn Esc</t>
  </si>
  <si>
    <t>Thiết kế không ghi; hệ thống đóng hộp thoại ngay → Q-F-19</t>
  </si>
  <si>
    <t>Bấm Cancel khi đang hiện bảng lỗi</t>
  </si>
  <si>
    <t>Kiểm tra mở lại hộp thoại sau khi huỷ ở bảng lỗi</t>
  </si>
  <si>
    <t xml:space="preserve">1. Mở màn Frameworks
2. Bấm Import framework
3. Chọn file bcm-2019.xlsx có lỗi, bấm Check file
4. Bấm Cancel
5. Bấm Import framework</t>
  </si>
  <si>
    <t xml:space="preserve">- Sau bước 4: hộp thoại đóng
- Sau bước 5: hộp thoại ở trạng thái ban đầu, không còn bảng lỗi và file đã chọn</t>
  </si>
  <si>
    <t>Thiết kế không ghi trạng thái khi mở lại → Q-F-19</t>
  </si>
  <si>
    <t>Kiểm tra thông tin framework vừa nhập</t>
  </si>
  <si>
    <t xml:space="preserve">1. Mở màn Frameworks
2. Bấm Import framework
3. Chọn file abc.xlsx điền theo file mẫu:
- Sheet Framework: framework_code: FW_ABC; framework_name: abc; version: 2026.1; issuing_body: abc; description: abc; effective_date: 2026-01-01
- Sheet Tiers: 3 tier
- Sheet Requirements, Expected_Evidence: không có lỗi
4. Bấm Check file
5. Kiểm tra màn hiện ra</t>
  </si>
  <si>
    <t xml:space="preserve">- Hộp thoại đóng, hiện màn bản nháp của framework vừa nhập
- Tiêu đề: abc
- Dòng phụ: FW_ABC · 2026.1 · abc
- Nhãn Draft · not active
- Khối Framework:
+ Code: FW_ABC
+ Issued by: abc
+ Version: 2026.1
+ Effective date: 01 Jan 2026
+ Description: abc
- Khối Tiers có 3 dòng</t>
  </si>
  <si>
    <t>Chưa bấm Check file với file hợp lệ trên hệ thống; mã nguồn prototype: chuyển sang màn bản nháp, hiện thông báo File check passed. Review the draft, then activate it. → Q-F-08; tên cột của sheet Tiers chưa có trong file mẫu ver 1 → Q-F-06</t>
  </si>
  <si>
    <t>Kiểm tra nhập framework không có tier</t>
  </si>
  <si>
    <t xml:space="preserve">1. Mở màn Frameworks
2. Bấm Import framework
3. Chọn file abc.xlsx điền theo file mẫu:
- Sheet Framework: framework_code: FW_ABC; framework_name: abc; version: 2026.1; issuing_body: abc; description: abc; effective_date: 2026-01-01
- Sheet Tiers: để trống
4. Bấm Check file</t>
  </si>
  <si>
    <t xml:space="preserve">- Hiện màn bản nháp của framework vừa nhập
- Không có khối Tiers</t>
  </si>
  <si>
    <t>Hộp thoại ghi Tiers (leave empty if the framework has no tiers); chưa xem được bản nháp không tier → Q-F-08</t>
  </si>
  <si>
    <t>Phiên bản mới của mã đã có</t>
  </si>
  <si>
    <t>Kiểm tra nhập phiên bản mới của framework đã có</t>
  </si>
  <si>
    <t>Đăng nhập account SGS Admin; có framework Active mã FW_ABC, version 2026.1</t>
  </si>
  <si>
    <t xml:space="preserve">1. Mở màn Frameworks
2. Bấm Import framework
3. Chọn file điền theo file mẫu, sheet Framework: framework_code: FW_ABC; version: 2026.2
4. Bấm Check file
5. Bấm ← để về màn Frameworks</t>
  </si>
  <si>
    <t xml:space="preserve">- Sau bước 4: hiện màn bản nháp FW_ABC · 2026.2
- Sau bước 5: danh sách có hai dòng mã FW_ABC:
+ Version 2026.1, nhãn Active
+ Version 2026.2, nhãn Draft · not active</t>
  </si>
  <si>
    <t>UC FWK-03: import để cập nhật framework có sẵn, content_version phải tăng, có bảng tóm tắt thay đổi; Figma: thêm thành bản riêng → Q-F-04</t>
  </si>
  <si>
    <t>Một requirement có nhiều expected evidence</t>
  </si>
  <si>
    <t>Kiểm tra nhập requirement có nhiều expected evidence</t>
  </si>
  <si>
    <t xml:space="preserve">1. Mở màn Frameworks
2. Bấm Import framework
3. Chọn file điền theo file mẫu, requirement R.1 có 3 dòng ở sheet Expected_Evidence: EE-001, EE-002, EE-003
4. Bấm Check file
5. Bấm R.1 ở khối Requirements</t>
  </si>
  <si>
    <t xml:space="preserve">- Import được, hiện màn bản nháp
- Phần Expected evidence của R.1 có 3 dòng: EE-001, EE-002, EE-003</t>
  </si>
  <si>
    <t>File mẫu xếp trường hợp này ở mức INFO (Import can continue); INFO hiện ở đâu trên màn → Q-F-06</t>
  </si>
  <si>
    <t>effective_date để trống</t>
  </si>
  <si>
    <t>Kiểm tra nhập framework không có effective_date</t>
  </si>
  <si>
    <t xml:space="preserve">1. Mở màn Frameworks
2. Bấm Import framework
3. Chọn file điền theo file mẫu, sheet Framework để trống effective_date
4. Bấm Check file</t>
  </si>
  <si>
    <t xml:space="preserve">- Hiện màn bản nháp
- Khối Framework: Effective date: Not set</t>
  </si>
  <si>
    <t>Tải file đã sửa sau khi báo lỗi</t>
  </si>
  <si>
    <t>Kiểm tra tải lại file đã sửa ở trường Corrected file</t>
  </si>
  <si>
    <t xml:space="preserve">1. Mở màn Frameworks
2. Bấm Import framework
3. Chọn file bcm-2019.xlsx có lỗi, bấm Check file
4. Ở trường Corrected file, chọn file đã sửa hết lỗi
5. Bấm Check file</t>
  </si>
  <si>
    <t>- Hiện màn bản nháp của framework trong file đã sửa</t>
  </si>
  <si>
    <t>Chưa bấm Check file với file hợp lệ trên hệ thống → Q-F-08</t>
  </si>
  <si>
    <t>Trùng mã và phiên bản</t>
  </si>
  <si>
    <t>Cùng mã, cùng version với bản Active</t>
  </si>
  <si>
    <t>Kiểm tra nhập file trùng mã và version với framework đang Active</t>
  </si>
  <si>
    <t xml:space="preserve">1. Mở màn Frameworks
2. Bấm Import framework
3. Chọn file điền theo file mẫu, sheet Framework: framework_code: FW_ABC; version: 2026.1
4. Bấm Check file</t>
  </si>
  <si>
    <t>Figma không nói; mã nguồn prototype báo lỗi “&lt;version&gt;” is already active. Use a new version name to import changes.; UC: khi cập nhật, content_version phải tăng → Q-F-04</t>
  </si>
  <si>
    <t>Cùng mã, cùng version với bản Draft</t>
  </si>
  <si>
    <t>Kiểm tra nhập file trùng mã và version với bản nháp đang có</t>
  </si>
  <si>
    <t>Đăng nhập account SGS Admin; có bản nháp mã FW_ABC, version 2026.2</t>
  </si>
  <si>
    <t xml:space="preserve">1. Mở màn Frameworks
2. Bấm Import framework
3. Chọn file điền theo file mẫu, sheet Framework: framework_code: FW_ABC; version: 2026.2
4. Bấm Check file</t>
  </si>
  <si>
    <t>Ghi đè bản nháp, tạo bản nháp thứ hai hay báo lỗi → Q-F-04</t>
  </si>
  <si>
    <t>Tổng số framework</t>
  </si>
  <si>
    <t>- Hiển thị &lt;n&gt; frameworks, n bằng tổng số framework trong bảng (cộng mọi trang)</t>
  </si>
  <si>
    <t>Theo mã</t>
  </si>
  <si>
    <t xml:space="preserve">- Bảng chỉ còn các framework có mã chứa [mã framework]
- Không phân biệt chữ hoa, chữ thường
- Dòng phân trang cập nhật theo số kết quả, ví dụ 1–1 of 1 items</t>
  </si>
  <si>
    <t>Dòng đếm &lt;n&gt; frameworks có đổi theo kết quả không (hệ thống giữ nguyên tổng) → Q-F-12</t>
  </si>
  <si>
    <t>Kiểm tra tìm theo một phần tên framework</t>
  </si>
  <si>
    <t xml:space="preserve">1. Mở màn Frameworks
2. Nhập [từ khóa] là một phần tên framework vào ô tìm kiếm</t>
  </si>
  <si>
    <t xml:space="preserve">- Bảng chỉ còn các framework có tên chứa [từ khóa]
- Không phân biệt chữ hoa, chữ thường
- Dòng phân trang cập nhật theo số kết quả</t>
  </si>
  <si>
    <t>Theo Issued by</t>
  </si>
  <si>
    <t>Kiểm tra tìm theo Issued by</t>
  </si>
  <si>
    <t xml:space="preserve">1. Mở màn Frameworks
2. Nhập [Issued by] vào ô tìm kiếm</t>
  </si>
  <si>
    <t xml:space="preserve">- Bảng chỉ còn các framework có Issued by chứa [Issued by]
- Không phân biệt chữ hoa, chữ thường</t>
  </si>
  <si>
    <t>Hanna thêm case. Ô ghi Search code or name; hệ thống tìm được cả theo Issued by (nhập MODA ra 2 dòng Appendix 10) → Q-F-12</t>
  </si>
  <si>
    <t>Theo Requirements</t>
  </si>
  <si>
    <t>Kiểm tra tìm theo số ở cột Requirements</t>
  </si>
  <si>
    <t xml:space="preserve">1. Mở màn Frameworks
2. Nhập [số Requirements] vào ô tìm kiếm</t>
  </si>
  <si>
    <t>Hanna thêm case. Chưa kiểm được trên hệ thống ô tìm có tìm theo số Requirements không; ô ghi Search code or name → Q-F-12</t>
  </si>
  <si>
    <t>Theo Status</t>
  </si>
  <si>
    <t xml:space="preserve">- Bảng chỉ còn các framework có Status chứa [Status]
- Không phân biệt chữ hoa, chữ thường</t>
  </si>
  <si>
    <t>Hanna thêm case. Hệ thống tìm được theo Status (nhập Active ra 7 dòng) nhưng nhập Basic không ra Tiers → Q-F-12</t>
  </si>
  <si>
    <t>Theo thời gian Updated</t>
  </si>
  <si>
    <t>Kiểm tra tìm theo thời gian ở cột Updated</t>
  </si>
  <si>
    <t>Hanna thêm case. Chưa kiểm được trên hệ thống ô tìm có tìm theo cột Updated không → Q-F-12</t>
  </si>
  <si>
    <t xml:space="preserve">1. Mở màn Frameworks
2. Nhập [từ khóa] viết hoa vào ô tìm kiếm</t>
  </si>
  <si>
    <t>- Kết quả giống khi nhập chữ thường, không phân biệt chữ hoa, chữ thường</t>
  </si>
  <si>
    <t>Có phân biệt hoa thường không (hệ thống không phân biệt) → Q-F-12</t>
  </si>
  <si>
    <t>Theo Version</t>
  </si>
  <si>
    <t>Kiểm tra tìm theo Version</t>
  </si>
  <si>
    <t xml:space="preserve">1. Mở màn Frameworks
2. Nhập [Version] vào ô tìm kiếm</t>
  </si>
  <si>
    <t>- Bảng chỉ còn các framework có Version chứa [Version]</t>
  </si>
  <si>
    <t>Ô ghi Search code or name; hệ thống tìm cả theo Version → Q-F-12</t>
  </si>
  <si>
    <t xml:space="preserve">1. Mở màn Frameworks
2. Nhập [từ khóa] không khớp framework nào vào ô tìm kiếm</t>
  </si>
  <si>
    <t xml:space="preserve">1. Mở màn Frameworks
2. Nhập ' OR 1=1 -- vào ô tìm kiếm</t>
  </si>
  <si>
    <t>Khoảng trắng ở đầu và cuối</t>
  </si>
  <si>
    <t>Kiểm tra tìm kiếm khi từ khoá có khoảng trắng ở đầu và cuối</t>
  </si>
  <si>
    <t xml:space="preserve">1. Mở màn Frameworks
2. Nhập [mã framework] có dấu cách ở đầu và cuối vào ô tìm kiếm</t>
  </si>
  <si>
    <t xml:space="preserve">Hệ thống không bỏ khoảng trắng: nhập '  iso 22301  ' ra No results → Q-F-12</t>
  </si>
  <si>
    <t xml:space="preserve">1. Mở màn Frameworks
2. Nhập [từ khóa]
3. Xoá hết nội dung ô tìm kiếm</t>
  </si>
  <si>
    <t xml:space="preserve">- Bảng hiển thị lại toàn bộ framework
- Dòng phân trang trở về như lúc mở màn</t>
  </si>
  <si>
    <t xml:space="preserve">- Các cột theo thứ tự:
+ Framework
+ Version
+ Issued by
+ Tiers
+ Requirements
+ Status
+ Updated
- Cột cuối là icon tải, không có tiêu đề</t>
  </si>
  <si>
    <t>UC FWK-01 có thêm standard edition, content version, content level, affiliates → Q-F-01</t>
  </si>
  <si>
    <t>Framework ban đầu</t>
  </si>
  <si>
    <t>Kiểm tra các framework có sẵn ban đầu</t>
  </si>
  <si>
    <t xml:space="preserve">1. Mở màn Frameworks
2. Kiểm tra cột Framework</t>
  </si>
  <si>
    <t xml:space="preserve">- Danh sách có:
+ ISO/IEC 27001
+ ISO/IEC 42001
+ CSMA (Appendix 10)</t>
  </si>
  <si>
    <t>UC gọi CSMA (Appendix 10), hệ thống ghi Security Baselines for ICT Systems (Appendix 10); hệ thống có thêm ISO 22301, ISO/IEC 27701, TISAX → Q-F-01</t>
  </si>
  <si>
    <t>Cột Framework</t>
  </si>
  <si>
    <t>Kiểm tra cột Framework</t>
  </si>
  <si>
    <t xml:space="preserve">1. Mở màn Frameworks
2. Kiểm tra từng dòng ở cột Framework</t>
  </si>
  <si>
    <t xml:space="preserve">- Tên framework dạng liên kết
- Dưới tên là mã framework, ví dụ ISO_IEC_27001</t>
  </si>
  <si>
    <t>Cột Tiers — có tier</t>
  </si>
  <si>
    <t>Kiểm tra cột Tiers của framework có tier</t>
  </si>
  <si>
    <t>Đăng nhập account SGS Admin; có [Framework Active] có tier</t>
  </si>
  <si>
    <t xml:space="preserve">1. Mở màn Frameworks
2. Kiểm tra cột Tiers của [Framework Active] có tier</t>
  </si>
  <si>
    <t>- Tên các tier nối bằng dấu ·, theo thứ tự từ thấp lên cao, ví dụ Basic · Medium · High</t>
  </si>
  <si>
    <t>Cột Tiers — không tier</t>
  </si>
  <si>
    <t>Kiểm tra cột Tiers của framework không tier</t>
  </si>
  <si>
    <t>Đăng nhập account SGS Admin; có [Framework Active không tier]</t>
  </si>
  <si>
    <t xml:space="preserve">1. Mở màn Frameworks
2. Kiểm tra cột Tiers của [Framework Active không tier]</t>
  </si>
  <si>
    <t>- Hiển thị: —</t>
  </si>
  <si>
    <t>Cột Requirements</t>
  </si>
  <si>
    <t>Kiểm tra cột Requirements khớp với màn chi tiết</t>
  </si>
  <si>
    <t xml:space="preserve">1. Mở màn Frameworks
2. Ghi số ở cột Requirements của [Framework Active]
3. Bấm tên [Framework Active], xem khối Content</t>
  </si>
  <si>
    <t>Cột Status — Active</t>
  </si>
  <si>
    <t>Kiểm tra cột Status của framework Active</t>
  </si>
  <si>
    <t xml:space="preserve">1. Mở màn Frameworks
2. Kiểm tra cột Status của [Framework Active]</t>
  </si>
  <si>
    <t>- Nhãn Active có dấu tích xanh</t>
  </si>
  <si>
    <t>Cột Status — Draft</t>
  </si>
  <si>
    <t>Kiểm tra cột Status của bản nháp</t>
  </si>
  <si>
    <t xml:space="preserve">1. Mở màn Frameworks
2. Kiểm tra cột Status của [Framework Draft]</t>
  </si>
  <si>
    <t>- Nhãn Draft · not active</t>
  </si>
  <si>
    <t>Cột Updated</t>
  </si>
  <si>
    <t>Kiểm tra định dạng cột Updated</t>
  </si>
  <si>
    <t xml:space="preserve">1. Mở màn Frameworks
2. Kiểm tra cột Updated</t>
  </si>
  <si>
    <t xml:space="preserve">- Ngày dạng DD Mon YYYY, ví dụ 14 Aug 2025
- Dòng cập nhật trong ngày hiển thị Today, hh:mm</t>
  </si>
  <si>
    <t>Định dạng lấy từ hệ thống; Updated là ngày nhập, ngày kích hoạt hay ngày sửa → Q-F-01</t>
  </si>
  <si>
    <t>Hai phiên bản của cùng mã</t>
  </si>
  <si>
    <t>Kiểm tra hiển thị hai phiên bản của cùng một framework</t>
  </si>
  <si>
    <t>Đăng nhập account SGS Admin; có hai phiên bản của cùng một mã framework</t>
  </si>
  <si>
    <t xml:space="preserve">1. Mở màn Frameworks
2. Kiểm tra các dòng có cùng mã framework</t>
  </si>
  <si>
    <t>- Mỗi phiên bản một dòng, cùng tên và mã, khác cột Version</t>
  </si>
  <si>
    <t xml:space="preserve">1. Mở màn Frameworks
2. Kiểm tra thứ tự các dòng</t>
  </si>
  <si>
    <t xml:space="preserve">- Bản Draft đứng đầu
- Các dòng còn lại xếp theo mã framework từ A đến Z; cùng mã thì phiên bản cập nhật mới hơn đứng trước</t>
  </si>
  <si>
    <t>Hanna ghi mặc định là cũ nhất xuống mới nhất; hệ thống: Draft trước, rồi theo mã A-Z, cùng mã thì bản mới hơn trước. Figma, UC không nêu → Q-F-13</t>
  </si>
  <si>
    <t>Cột Framework — bấm lần 1</t>
  </si>
  <si>
    <t>Kiểm tra sắp xếp tăng dần theo tên framework</t>
  </si>
  <si>
    <t xml:space="preserve">1. Mở màn Frameworks
2. Bấm tiêu đề cột Framework</t>
  </si>
  <si>
    <t>- Các dòng xếp theo tên framework từ A đến Z</t>
  </si>
  <si>
    <t>Figma không có icon sắp xếp → Q-F-13</t>
  </si>
  <si>
    <t>Cột Framework — bấm lần 2</t>
  </si>
  <si>
    <t>Kiểm tra sắp xếp giảm dần theo tên framework</t>
  </si>
  <si>
    <t xml:space="preserve">1. Mở màn Frameworks
2. Bấm tiêu đề cột Framework hai lần</t>
  </si>
  <si>
    <t>- Các dòng xếp theo tên framework từ Z đến A</t>
  </si>
  <si>
    <t>Cột Framework — bấm lần 3</t>
  </si>
  <si>
    <t>Kiểm tra bỏ sắp xếp sau lần bấm thứ ba</t>
  </si>
  <si>
    <t xml:space="preserve">1. Mở màn Frameworks
2. Bấm tiêu đề cột Framework ba lần</t>
  </si>
  <si>
    <t>- Các dòng trở về thứ tự mặc định</t>
  </si>
  <si>
    <t>Hệ thống có ba trạng thái: tăng, giảm, bỏ sắp xếp → Q-F-13</t>
  </si>
  <si>
    <t>Cột Version</t>
  </si>
  <si>
    <t>Kiểm tra sắp xếp theo cột Version</t>
  </si>
  <si>
    <t xml:space="preserve">1. Mở màn Frameworks
2. Bấm tiêu đề cột Version
3. Bấm tiêu đề cột Version lần nữa</t>
  </si>
  <si>
    <t xml:space="preserve">- Sau bước 2: xếp theo Version tăng dần theo chữ, ví dụ 2013 trước 2019, ISA 6.0 ở cuối
- Sau bước 3: xếp giảm dần</t>
  </si>
  <si>
    <t>Version được so như chữ, không theo năm → Q-F-13</t>
  </si>
  <si>
    <t>Cột Issued by</t>
  </si>
  <si>
    <t>Kiểm tra sắp xếp theo cột Issued by</t>
  </si>
  <si>
    <t xml:space="preserve">1. Mở màn Frameworks
2. Bấm tiêu đề cột Issued by
3. Bấm tiêu đề cột Issued by lần nữa</t>
  </si>
  <si>
    <t xml:space="preserve">- Sau bước 2: xếp theo Issued by từ A đến Z
- Sau bước 3: từ Z đến A</t>
  </si>
  <si>
    <t>Kiểm tra sắp xếp theo cột Requirements</t>
  </si>
  <si>
    <t xml:space="preserve">1. Mở màn Frameworks
2. Bấm tiêu đề cột Requirements
3. Bấm tiêu đề cột Requirements lần nữa</t>
  </si>
  <si>
    <t xml:space="preserve">- Sau bước 2: xếp theo số tăng dần, ví dụ 31 trước 114
- Sau bước 3: xếp theo số giảm dần</t>
  </si>
  <si>
    <t>Hover vào biểu tượng tải</t>
  </si>
  <si>
    <t>Kiểm tra hiển thị khi hover vào icon tải</t>
  </si>
  <si>
    <t xml:space="preserve">1. Mở màn Frameworks
2. Hover vào icon tải ở cuối dòng của [Framework Active]</t>
  </si>
  <si>
    <t xml:space="preserve">- Hiển thị nhãn:
"Download source file of &lt;tên ngắn&gt; · &lt;version&gt;"</t>
  </si>
  <si>
    <t>UC không nêu icon tải file nguồn → Q-F-11</t>
  </si>
  <si>
    <t>Kiểm tra bấm icon tải ở một dòng</t>
  </si>
  <si>
    <t xml:space="preserve">1. Mở màn Frameworks
2. Bấm icon tải ở cuối dòng của [Framework Active]</t>
  </si>
  <si>
    <t>- Tải về file .xlsx đã dùng để nhập phiên bản đó</t>
  </si>
  <si>
    <t>Prototype chỉ hiện thông báo "&lt;file&gt; would download here. The prototype has no real files." (Hanna ghi &lt;version&gt; trong thông báo); bản thật có tải file .xlsx đã nhập không → Q-F-11</t>
  </si>
  <si>
    <t xml:space="preserve">- Items per page mặc định là 10
- Dòng 1–&lt;n&gt; of &lt;n&gt; items</t>
  </si>
  <si>
    <t>Figma: 1–6 of 6 items · Page 1 of 1. Hệ thống: Items per page 10 · 1–8 of 8 items · [1] of 1 page · ‹ › → Q-F-20</t>
  </si>
  <si>
    <t>Các giá trị Items per page</t>
  </si>
  <si>
    <t xml:space="preserve">1. Mở màn Frameworks
2. Bấm vào Items per page
3. Kiểm tra các lựa chọn</t>
  </si>
  <si>
    <t xml:space="preserve">- Hiển thị các giá trị:
+ 10
+ 25
+ 50
+ 100</t>
  </si>
  <si>
    <t>Figma không có Items per page → Q-F-20</t>
  </si>
  <si>
    <t>Chọn 25</t>
  </si>
  <si>
    <t>Đăng nhập account SGS Admin; có 11 framework</t>
  </si>
  <si>
    <t xml:space="preserve">1. Mở màn Frameworks
2. Mở Items per page
3. Chọn 25</t>
  </si>
  <si>
    <t>- Bảng hiển thị đủ 11 framework trên một trang</t>
  </si>
  <si>
    <t>Có cho chọn số dòng không; giá trị 10/25/50/100 theo hệ thống → Q-F-20</t>
  </si>
  <si>
    <t>Đăng nhập account SGS Admin; có từ 10 framework trở xuống</t>
  </si>
  <si>
    <t xml:space="preserve">1. Mở màn Frameworks
2. Kiểm tra hai nút ‹ ›</t>
  </si>
  <si>
    <t>Figma không có nút chuyển trang → Q-F-20</t>
  </si>
  <si>
    <t xml:space="preserve">1. Mở màn Frameworks
2. Bấm nút ›</t>
  </si>
  <si>
    <t xml:space="preserve">- Bảng hiển thị framework thứ 11
- Dòng phân trang: 11–11 of 11 items</t>
  </si>
  <si>
    <t>Số dòng mỗi trang mặc định theo hệ thống → Q-F-20</t>
  </si>
  <si>
    <t>Kiểm tra phần đầu màn bản nháp</t>
  </si>
  <si>
    <t xml:space="preserve">1. Mở màn Frameworks
2. Bấm tên [Framework Draft]
3. Kiểm tra phần đầu trang, từ trái sang phải</t>
  </si>
  <si>
    <t xml:space="preserve">- Nút quay lại ←
- Tiêu đề: tên framework
- Dòng phụ: &lt;mã&gt; · &lt;version&gt; · &lt;issuing body&gt;
- Nhãn Draft · not active
- Nút Discard draft và nút Activate
- Không có nút ⋮</t>
  </si>
  <si>
    <t>Kiểm tra nút quay lại ở màn bản nháp</t>
  </si>
  <si>
    <t xml:space="preserve">1. Mở màn Frameworks
2. Bấm tên [Framework Draft]
3. Bấm nút ←</t>
  </si>
  <si>
    <t>Kiểm tra cột điều hướng bên trái của bản nháp có tier</t>
  </si>
  <si>
    <t xml:space="preserve">1. Mở màn Frameworks
2. Bấm tên [Framework Draft]
3. Kiểm tra cột bên trái</t>
  </si>
  <si>
    <t xml:space="preserve">- Ba mục theo thứ tự:
+ Framework
+ Tiers
+ Requirements
- Mục Framework được tô nền khi mới mở</t>
  </si>
  <si>
    <t>Kiểm tra cột điều hướng bên trái của bản nháp không tier</t>
  </si>
  <si>
    <t>Đăng nhập account SGS Admin; có bản nháp không tier</t>
  </si>
  <si>
    <t xml:space="preserve">1. Mở màn Frameworks
2. Bấm tên bản nháp không tier
3. Kiểm tra cột bên trái</t>
  </si>
  <si>
    <t>- Không có mục Tiers</t>
  </si>
  <si>
    <t>Chưa có bản nháp không tier để xem trên hệ thống → Q-F-08</t>
  </si>
  <si>
    <t>Requirements</t>
  </si>
  <si>
    <t xml:space="preserve">1. Mở màn Frameworks
2. Bấm tên [Framework Draft]
3. Bấm Requirements ở cột bên trái</t>
  </si>
  <si>
    <t xml:space="preserve">- Mục Requirements được tô nền
- Trang cuộn tới khối Requirements</t>
  </si>
  <si>
    <t>Khối Framework</t>
  </si>
  <si>
    <t>Kiểm tra khối Framework của bản nháp</t>
  </si>
  <si>
    <t xml:space="preserve">1. Mở màn Frameworks
2. Bấm tên [Framework Draft]
3. Kiểm tra khối số 1 Framework</t>
  </si>
  <si>
    <t xml:space="preserve">- Tiêu đề khối: Framework, dòng phụ: From the Framework sheet
- Các trường:
+ Code
+ Issued by
+ Version
+ Effective date
+ Description</t>
  </si>
  <si>
    <t>Khối Tiers</t>
  </si>
  <si>
    <t>Kiểm tra khối Tiers của bản nháp</t>
  </si>
  <si>
    <t>Đăng nhập account SGS Admin; có [Framework Draft] có tier</t>
  </si>
  <si>
    <t xml:space="preserve">1. Mở màn Frameworks
2. Bấm tên [Framework Draft]
3. Kiểm tra khối số 2 Tiers</t>
  </si>
  <si>
    <t xml:space="preserve">- Tiêu đề khối: Tiers, dòng phụ:
"Higher tiers include every requirement of the tiers below"
- Bảng 5 cột theo thứ tự:
+ Code
+ Tier
+ Rank
+ New at this tier
+ Total to meet
- Mỗi tier một dòng, xếp theo Rank</t>
  </si>
  <si>
    <t>Giá trị tính toán</t>
  </si>
  <si>
    <t>Total to meet của bản nháp</t>
  </si>
  <si>
    <t>Kiểm tra Total to meet ở khối Tiers của bản nháp</t>
  </si>
  <si>
    <t xml:space="preserve">1. Mở màn Frameworks
2. Bấm tên [Framework Draft]
3. Kiểm tra từng dòng ở khối số 2 Tiers</t>
  </si>
  <si>
    <t xml:space="preserve">- Tier thấp nhất: Total to meet = New at this tier
- Các tier còn lại: Total to meet = Total to meet của tier ngay dưới + New at this tier
- Total to meet của tier cao nhất bằng số requirements ở khối số 3 Requirements</t>
  </si>
  <si>
    <t>Công thức như ở Chi tiết framework; Figma bản amended ghi 18 và 79 → Q-F-10</t>
  </si>
  <si>
    <t>Khối Requirements</t>
  </si>
  <si>
    <t>Kiểm tra khối Requirements của bản nháp</t>
  </si>
  <si>
    <t xml:space="preserve">1. Mở màn Frameworks
2. Bấm tên [Framework Draft]
3. Kiểm tra khối số 3 Requirements</t>
  </si>
  <si>
    <t xml:space="preserve">- Tiêu đề khối: Requirements
- Dòng tóm tắt dạng: &lt;n&gt; dimensions · &lt;n&gt; control measures · &lt;n&gt; requirements · &lt;n&gt; expected evidence items
- Có ô tìm kiếm, ô lọc tier và cây requirement</t>
  </si>
  <si>
    <t>Chi tiết requirement</t>
  </si>
  <si>
    <t>Kiểm tra phần chi tiết requirement ở bản nháp</t>
  </si>
  <si>
    <t xml:space="preserve">1. Mở màn Frameworks
2. Bấm tên [Framework Draft]
3. Bấm một requirement ở khối Requirements</t>
  </si>
  <si>
    <t xml:space="preserve">- Bên phải cây hiển thị:
+ Dòng: &lt;mã&gt; · &lt;tên control measure&gt;
+ Tiêu đề và nhãn tier
+ Mô tả
+ Applies to
+ Source
+ Expected evidence: mỗi dòng mã · tên, mô tả, nhãn Mandatory</t>
  </si>
  <si>
    <t>Figma chưa vẽ phần này ở bản nháp; hệ thống hiện dạng gọn hơn tab Requirements (không có breadcrumb, Not required for, Sort order) → Q-F-09</t>
  </si>
  <si>
    <t>Khung bên phải - Aside</t>
  </si>
  <si>
    <t>Kết quả kiểm file</t>
  </si>
  <si>
    <t>Kiểm tra khung Import bên phải</t>
  </si>
  <si>
    <t xml:space="preserve">1. Mở màn Frameworks
2. Bấm tên [Framework Draft]
3. Kiểm tra khung bên phải</t>
  </si>
  <si>
    <t xml:space="preserve">- Tiêu đề: Import
- Khung thông báo màu xanh:
"File check passed"
"No errors. The draft is ready to activate."</t>
  </si>
  <si>
    <t xml:space="preserve">1. Mở màn Frameworks
2. Bấm tên [Framework Draft]
3. Kiểm tra khung After activation</t>
  </si>
  <si>
    <t xml:space="preserve">- Nội dung có các câu:
"Customers can activate this framework on their scopes"
"Requirements can’t be edited in the platform; import a new version to change them."</t>
  </si>
  <si>
    <t>Câu về tier khác nhau: Figma ghi SGS assigns each scope a tier, hệ thống ghi …and choose the tier → Q-F-07</t>
  </si>
  <si>
    <t>FWK-06</t>
  </si>
  <si>
    <t>Bấm Discard draft</t>
  </si>
  <si>
    <t>Kiểm tra mở hộp thoại Discard draft?</t>
  </si>
  <si>
    <t xml:space="preserve">1. Mở màn Frameworks
2. Bấm tên [Framework Draft]
3. Bấm Discard draft</t>
  </si>
  <si>
    <t xml:space="preserve">- Mở hộp thoại tiêu đề Discard draft?, có nút đóng ×
- Nội dung:
"The imported draft of &lt;tên ngắn&gt; · &lt;version&gt; is removed. Customers never saw it. You can import the file again later."
- Có nút Cancel và nút Discard draft màu đỏ</t>
  </si>
  <si>
    <t>UC không nêu huỷ bản nháp; Figma có nút nhưng chưa vẽ hộp thoại → Q-F-11</t>
  </si>
  <si>
    <t>Kiểm tra huỷ thao tác Discard draft bằng Cancel</t>
  </si>
  <si>
    <t xml:space="preserve">1. Mở màn Frameworks
2. Bấm tên [Framework Draft]
3. Bấm Discard draft
4. Bấm Cancel</t>
  </si>
  <si>
    <t xml:space="preserve">- Hộp thoại đóng
- Vẫn ở màn bản nháp, nhãn Draft · not active giữ nguyên</t>
  </si>
  <si>
    <t>Discard draft thuộc UC nào → Q-F-11</t>
  </si>
  <si>
    <t>Kiểm tra đóng hộp thoại Discard draft? bằng nút ×</t>
  </si>
  <si>
    <t xml:space="preserve">1. Mở màn Frameworks
2. Bấm tên [Framework Draft]
3. Bấm Discard draft
4. Bấm ×</t>
  </si>
  <si>
    <t>- Hộp thoại đóng, bản nháp giữ nguyên</t>
  </si>
  <si>
    <t>Kiểm tra nhấn Esc khi đang mở hộp thoại Discard draft?</t>
  </si>
  <si>
    <t xml:space="preserve">1. Mở màn Frameworks
2. Bấm tên [Framework Draft]
3. Bấm Discard draft
4. Nhấn Esc</t>
  </si>
  <si>
    <t>Kiểm tra huỷ bản nháp</t>
  </si>
  <si>
    <t xml:space="preserve">1. Mở màn Frameworks
2. Bấm tên [Framework Draft]
3. Bấm Discard draft
4. Bấm Discard draft trong hộp thoại
5. Mở màn Frameworks</t>
  </si>
  <si>
    <t xml:space="preserve">- Hộp thoại đóng
- Danh sách không còn dòng của [Framework Draft]</t>
  </si>
  <si>
    <t>Chưa bấm thử; mã nguồn prototype: về màn Frameworks, hiện thông báo Draft discarded. Nothing was published. → Q-F-08; Discard draft thuộc UC nào → Q-F-11</t>
  </si>
  <si>
    <t>Kích hoạt - Activate framework</t>
  </si>
  <si>
    <t>Kiểm tra mở hộp thoại Activate framework</t>
  </si>
  <si>
    <t xml:space="preserve">1. Mở màn Frameworks
2. Bấm tên [Framework Draft]
3. Bấm Activate</t>
  </si>
  <si>
    <t xml:space="preserve">- Mở hộp thoại tiêu đề Activate framework, có nút đóng ×
- Câu hỏi: Activate &lt;tên framework&gt; · &lt;version&gt;?
- Có dòng: Customers can activate it on their scopes.
- Có dòng: The content is locked. Changes need a new version.
- Có một dòng về cách chọn tier
- Có nút Cancel và nút Activate framework</t>
  </si>
  <si>
    <t>Dòng về tier: Figma ghi SGS assigns each scope a tier: Basic, Medium or High.; hệ thống ghi Each customer chooses the tier of their scope: Basic, Medium or High. → Q-F-07</t>
  </si>
  <si>
    <t>Kiểm tra hộp thoại Activate framework của bản nháp không tier</t>
  </si>
  <si>
    <t xml:space="preserve">1. Mở màn Frameworks
2. Bấm tên bản nháp không tier
3. Bấm Activate</t>
  </si>
  <si>
    <t>Chưa có bản nháp không tier để xem; mã nguồn prototype: bỏ dòng về tier → Q-F-07, Q-F-08</t>
  </si>
  <si>
    <t>Chưa có Active retention policy</t>
  </si>
  <si>
    <t>Kiểm tra kích hoạt khi framework chưa có Active retention policy</t>
  </si>
  <si>
    <t>Đăng nhập account SGS Admin; có [Framework Draft]; [Framework Draft] chưa có Active retention policy (CFG-01)</t>
  </si>
  <si>
    <t xml:space="preserve">1. Mở màn Frameworks
2. Bấm tên [Framework Draft]
3. Bấm Activate
4. Bấm Activate framework</t>
  </si>
  <si>
    <t>- Không kích hoạt, framework vẫn ở trạng thái Draft · not active</t>
  </si>
  <si>
    <t>Màn báo gì chưa có; Figma và hệ thống không có bước kiểm này, trang Settings ghi This page has no design yet → Q-F-07</t>
  </si>
  <si>
    <t>Kiểm tra huỷ kích hoạt bằng Cancel</t>
  </si>
  <si>
    <t xml:space="preserve">1. Mở màn Frameworks
2. Bấm tên [Framework Draft]
3. Bấm Activate
4. Bấm Cancel</t>
  </si>
  <si>
    <t xml:space="preserve">- Hộp thoại đóng
- Nhãn Draft · not active giữ nguyên, vẫn có nút Activate</t>
  </si>
  <si>
    <t>Kiểm tra đóng hộp thoại Activate framework bằng nút ×</t>
  </si>
  <si>
    <t xml:space="preserve">1. Mở màn Frameworks
2. Bấm tên [Framework Draft]
3. Bấm Activate
4. Bấm ×</t>
  </si>
  <si>
    <t>- Hộp thoại đóng, framework vẫn ở trạng thái Draft · not active</t>
  </si>
  <si>
    <t>Figma chỉ vẽ nút Cancel và Activate framework → Q-F-19</t>
  </si>
  <si>
    <t>Kiểm tra nhấn Esc khi đang mở hộp thoại Activate framework</t>
  </si>
  <si>
    <t xml:space="preserve">1. Mở màn Frameworks
2. Bấm tên [Framework Draft]
3. Bấm Activate
4. Nhấn Esc</t>
  </si>
  <si>
    <t>Kích hoạt bản nháp</t>
  </si>
  <si>
    <t>Kiểm tra kích hoạt framework</t>
  </si>
  <si>
    <t>Đăng nhập account SGS Admin; có [Framework Draft]; [Framework Draft] đã có Active retention policy (CFG-01)</t>
  </si>
  <si>
    <t xml:space="preserve">- Hộp thoại đóng
- Nhãn trạng thái đổi thành Active
- Không còn nút Discard draft và Activate</t>
  </si>
  <si>
    <t>Chưa bấm thử; mã nguồn prototype: ở lại trang, hiện thông báo &lt;tên ngắn&gt; · &lt;version&gt; is active. Customers can now activate it on their scopes. → Q-F-08; chưa có màn gán retention policy → Q-F-07</t>
  </si>
  <si>
    <t>Khách hàng thấy framework vừa kích hoạt</t>
  </si>
  <si>
    <t>Kiểm tra khách hàng thấy framework vừa kích hoạt</t>
  </si>
  <si>
    <t>Đăng nhập account SGS Admin; có [Framework Draft]; [Framework Draft] đã có Active retention policy (CFG-01); mã của [Framework Draft] chưa có phiên bản Active nào</t>
  </si>
  <si>
    <t xml:space="preserve">1. Mở màn Frameworks, bấm tên [Framework Draft], bấm Activate, bấm Activate framework
2. Đăng xuất, đăng nhập account Customer Admin
3. Mở chi tiết một scope ở màn Scopes, bấm Link framework
4. Mở danh sách Framework</t>
  </si>
  <si>
    <t>- Danh sách có [Framework Draft] vừa kích hoạt</t>
  </si>
  <si>
    <t>Chưa bấm thử → Q-F-08</t>
  </si>
  <si>
    <t>Bản nháp không hiện với khách hàng</t>
  </si>
  <si>
    <t>Kiểm tra khách hàng không thấy phiên bản đang là bản nháp</t>
  </si>
  <si>
    <t>Đăng nhập account Customer Admin; có [Framework Draft] là phiên bản mới của một framework đang Active</t>
  </si>
  <si>
    <t xml:space="preserve">1. Mở chi tiết một scope ở màn Scopes, bấm Link framework
2. Chọn framework cùng mã với [Framework Draft]
3. Mở danh sách Version</t>
  </si>
  <si>
    <t xml:space="preserve">- Danh sách Version không có phiên bản của [Framework Draft]
- Dưới trường có ghi chú:
"Only active versions are listed."</t>
  </si>
  <si>
    <t>Phiên bản mới của mã đã có bản Active</t>
  </si>
  <si>
    <t>Kiểm tra phiên bản cũ sau khi kích hoạt phiên bản mới</t>
  </si>
  <si>
    <t>Đăng nhập account SGS Admin; có [Framework Draft]; [Framework Draft] đã có Active retention policy (CFG-01); [Framework Draft] là phiên bản mới của [Framework Active] cùng mã</t>
  </si>
  <si>
    <t xml:space="preserve">1. Mở màn Frameworks
2. Bấm tên [Framework Draft]
3. Bấm Activate, bấm Activate framework
4. Mở màn Frameworks, xem các dòng cùng mã</t>
  </si>
  <si>
    <t>Phiên bản cũ vẫn Active hay đổi trạng thái; hệ thống đang có ISO/IEC 27001 · 2022 và 2013 cùng Active → Q-F-04, Q-F-02</t>
  </si>
  <si>
    <t>Kiểm tra phần đầu màn chi tiết framework</t>
  </si>
  <si>
    <t xml:space="preserve">1. Mở màn Frameworks
2. Bấm tên [Framework Active]
3. Kiểm tra phần đầu trang, từ trái sang phải</t>
  </si>
  <si>
    <t xml:space="preserve">- Nút quay lại ←
- Tiêu đề: tên framework
- Dòng phụ: &lt;mã&gt; · &lt;version&gt; · &lt;issuing body&gt;
- Nhãn Active
- Nút ⋮ ở góc phải
- Không có nút Discard draft, Activate</t>
  </si>
  <si>
    <t>Framework_119</t>
  </si>
  <si>
    <t>Kiểm tra nút quay lại ở màn chi tiết</t>
  </si>
  <si>
    <t xml:space="preserve">1. Mở màn Frameworks
2. Bấm tên [Framework Active]
3. Bấm nút ←</t>
  </si>
  <si>
    <t>Framework_120</t>
  </si>
  <si>
    <t>Kiểm tra menu ⋮ của framework</t>
  </si>
  <si>
    <t xml:space="preserve">1. Mở màn Frameworks
2. Bấm tên [Framework Active]
3. Bấm nút ⋮</t>
  </si>
  <si>
    <t>- Menu chỉ có một mục: Import new version</t>
  </si>
  <si>
    <t>Figma vẽ nút ⋮ nhưng chưa vẽ nội dung menu → Q-F-05</t>
  </si>
  <si>
    <t>Bấm Import new version</t>
  </si>
  <si>
    <t>Framework_121</t>
  </si>
  <si>
    <t>Kiểm tra mục Import new version trong menu ⋮</t>
  </si>
  <si>
    <t xml:space="preserve">1. Mở màn Frameworks
2. Bấm tên [Framework Active]
3. Bấm nút ⋮
4. Bấm Import new version</t>
  </si>
  <si>
    <t xml:space="preserve">- Chuyển về màn Frameworks, mở hộp thoại Import a framework
- Hộp thoại không ghi framework đang xem</t>
  </si>
  <si>
    <t>UC FWK-03 cho cập nhật framework có sẵn; hộp thoại không gắn với framework đang xem → Q-F-05</t>
  </si>
  <si>
    <t>Framework_122</t>
  </si>
  <si>
    <t>Kiểm tra cột điều hướng bên trái của framework Active</t>
  </si>
  <si>
    <t xml:space="preserve">1. Mở màn Frameworks
2. Bấm tên [Framework Active]
3. Kiểm tra cột bên trái</t>
  </si>
  <si>
    <t xml:space="preserve">- Ba mục theo thứ tự:
+ Overview
+ Requirements
+ Other versions
- Mục Overview được tô nền khi mới mở</t>
  </si>
  <si>
    <t>Other versions có nhãn No design yet; UC FWK-02 có tab Bulk settings, History → Q-F-03</t>
  </si>
  <si>
    <t>Requirements, Overview</t>
  </si>
  <si>
    <t>Framework_123</t>
  </si>
  <si>
    <t xml:space="preserve">1. Mở màn Frameworks
2. Bấm tên [Framework Active]
3. Bấm Requirements
4. Bấm Overview</t>
  </si>
  <si>
    <t xml:space="preserve">- Sau bước 3: hiện phần Requirements, mục Requirements được tô nền
- Sau bước 4: hiện lại phần Overview</t>
  </si>
  <si>
    <t>Framework_124</t>
  </si>
  <si>
    <t xml:space="preserve">1. Mở màn Frameworks
2. Bấm tên [Framework Active]
3. Kiểm tra khối số 1 Framework</t>
  </si>
  <si>
    <t xml:space="preserve">- Tiêu đề khối: Framework, dòng phụ: From the Framework sheet
- Các trường:
+ Code
+ Issued by
+ Version
+ Effective date, dạng DD Mon YYYY, ví dụ 01 Sep 2022
+ Description</t>
  </si>
  <si>
    <t>UC FWK-02 có applicability settings ở Overview; Figma, hệ thống không có → Q-F-03</t>
  </si>
  <si>
    <t>Khối Tiers — có tier</t>
  </si>
  <si>
    <t>Framework_125</t>
  </si>
  <si>
    <t xml:space="preserve">1. Mở màn Frameworks
2. Bấm tên [Framework Active] có tier
3. Kiểm tra khối số 2 Tiers</t>
  </si>
  <si>
    <t xml:space="preserve">- Tiêu đề khối: Tiers, dòng phụ:
"Higher tiers include every requirement of the tiers below"
- Bảng 5 cột theo thứ tự:
+ Code
+ Tier
+ Rank
+ New at this tier
+ Total to meet</t>
  </si>
  <si>
    <t>Khối Tiers — không tier</t>
  </si>
  <si>
    <t>Framework_126</t>
  </si>
  <si>
    <t xml:space="preserve">1. Mở màn Frameworks
2. Bấm tên [Framework Active không tier]
3. Kiểm tra tab Overview</t>
  </si>
  <si>
    <t xml:space="preserve">- Không có khối Tiers
- Khối Content mang số 2</t>
  </si>
  <si>
    <t>Figma chỉ vẽ loại có tier → Q-F-21</t>
  </si>
  <si>
    <t>Khối Content — có control measure</t>
  </si>
  <si>
    <t>Framework_127</t>
  </si>
  <si>
    <t>Kiểm tra khối Content của framework có control measure</t>
  </si>
  <si>
    <t>Đăng nhập account SGS Admin; có [Framework Active] có control measure</t>
  </si>
  <si>
    <t xml:space="preserve">1. Mở màn Frameworks
2. Bấm tên [Framework Active] có control measure
3. Kiểm tra khối Content</t>
  </si>
  <si>
    <t xml:space="preserve">- Tiêu đề khối: Content, dòng phụ: What the file contains
- 4 ô số theo thứ tự:
+ Dimensions
+ Control measures
+ Requirements
+ Expected evidence items</t>
  </si>
  <si>
    <t>Khối Content — không có control measure</t>
  </si>
  <si>
    <t>Framework_128</t>
  </si>
  <si>
    <t>Kiểm tra khối Content của framework không có control measure</t>
  </si>
  <si>
    <t xml:space="preserve">1. Mở màn Frameworks
2. Bấm tên [Framework Active không tier]
3. Kiểm tra khối Content</t>
  </si>
  <si>
    <t xml:space="preserve">- 3 ô số theo thứ tự:
+ Tên nhóm của framework, ví dụ Clauses
+ Requirements
+ Expected evidence items</t>
  </si>
  <si>
    <t>Tên nhóm (Dimensions, Clauses, Chapters) lấy từ đâu trong file mẫu; Figma chỉ vẽ loại Appendix 10 → Q-F-21</t>
  </si>
  <si>
    <t>Total to meet — tier thấp nhất</t>
  </si>
  <si>
    <t>Framework_129</t>
  </si>
  <si>
    <t>Kiểm tra New at this tier và Total to meet của tier thấp nhất</t>
  </si>
  <si>
    <t>Đăng nhập account SGS Admin; có [Framework Active] có 3 tier; ở tab Requirements, số requirement theo nhãn: Basic = [a], From Medium = [b], From High = [c]</t>
  </si>
  <si>
    <t xml:space="preserve">1. Mở màn Frameworks
2. Bấm tên [Framework Active] có 3 tier
3. Kiểm tra dòng Basic ở khối Tiers</t>
  </si>
  <si>
    <t xml:space="preserve">- New at this tier = [a]
- Total to meet = [a] (tier thấp nhất: bằng New at this tier)</t>
  </si>
  <si>
    <t>Công thức suy ra từ dòng phụ của khối Tiers và từ hệ thống; UC FWK-02 chỉ ghi Overview có tiers, không ghi cách tính Total to meet → Q-F-10</t>
  </si>
  <si>
    <t>Total to meet — tier giữa</t>
  </si>
  <si>
    <t>Framework_130</t>
  </si>
  <si>
    <t>Kiểm tra New at this tier và Total to meet của tier giữa</t>
  </si>
  <si>
    <t xml:space="preserve">1. Mở màn Frameworks
2. Bấm tên [Framework Active] có 3 tier
3. Kiểm tra dòng Medium ở khối Tiers</t>
  </si>
  <si>
    <t xml:space="preserve">- New at this tier = [b]
- Total to meet = [a] + [b] (Total to meet của Basic + New at this tier của Medium)</t>
  </si>
  <si>
    <t>Total to meet — tier cao nhất</t>
  </si>
  <si>
    <t>Framework_131</t>
  </si>
  <si>
    <t>Kiểm tra New at this tier và Total to meet của tier cao nhất</t>
  </si>
  <si>
    <t xml:space="preserve">1. Mở màn Frameworks
2. Bấm tên [Framework Active] có 3 tier
3. Kiểm tra dòng High ở khối Tiers
4. So với số Requirements ở khối Content</t>
  </si>
  <si>
    <t xml:space="preserve">- New at this tier = [c]
- Total to meet = [a] + [b] + [c]
- Total to meet bằng số Requirements ở khối Content</t>
  </si>
  <si>
    <t>Figma Detail của Appendix 10 · 2022 ghi High 18 mới, 79 tổng nhưng khối Content cùng màn ghi 76 requirement; hệ thống ghi 15 và 76. Dòng 'bằng số Requirements' chỉ đúng nếu mọi requirement đều thuộc một tier → Q-F-10</t>
  </si>
  <si>
    <t>Total to meet — tier không có requirement mới</t>
  </si>
  <si>
    <t>Framework_132</t>
  </si>
  <si>
    <t>Kiểm tra Total to meet khi tier không có requirement mới</t>
  </si>
  <si>
    <t>Đăng nhập account SGS Admin; có [Framework Active] có một tier không có requirement nào mang nhãn riêng của tier đó</t>
  </si>
  <si>
    <t xml:space="preserve">1. Mở màn Frameworks
2. Bấm tên [Framework Active] có tier không có requirement mới
3. Kiểm tra dòng của tier đó ở khối Tiers</t>
  </si>
  <si>
    <t xml:space="preserve">- New at this tier = 0
- Total to meet bằng Total to meet của tier ngay dưới</t>
  </si>
  <si>
    <t>Hệ thống chưa có dữ liệu loại này để kiểm; file mẫu có cho phép không → Q-F-21</t>
  </si>
  <si>
    <t>Total to meet — framework một tier</t>
  </si>
  <si>
    <t>Framework_133</t>
  </si>
  <si>
    <t>Kiểm tra Total to meet của framework chỉ có một tier</t>
  </si>
  <si>
    <t>Đăng nhập account SGS Admin; có [Framework Active] chỉ có một tier</t>
  </si>
  <si>
    <t xml:space="preserve">1. Mở màn Frameworks
2. Bấm tên [Framework Active] chỉ có một tier
3. Kiểm tra khối Tiers</t>
  </si>
  <si>
    <t xml:space="preserve">- Bảng Tiers có 1 dòng
- New at this tier = Total to meet = số Requirements ở khối Content</t>
  </si>
  <si>
    <t>Hệ thống chưa có framework một tier để kiểm → Q-F-21</t>
  </si>
  <si>
    <t>New at this tier khớp bộ lọc ở tab Requirements</t>
  </si>
  <si>
    <t>Framework_134</t>
  </si>
  <si>
    <t>Kiểm tra New at this tier khớp số requirement khi lọc tier</t>
  </si>
  <si>
    <t>Đăng nhập account SGS Admin; có [Framework Active] có 3 tier</t>
  </si>
  <si>
    <t xml:space="preserve">1. Mở màn Frameworks
2. Bấm tên [Framework Active] có 3 tier
3. Ghi New at this tier của từng tier ở khối Tiers
4. Bấm Requirements, chọn lần lượt Basic, Medium, High ở ô lọc tier, đếm requirement hiện ra</t>
  </si>
  <si>
    <t>- Số requirement đếm được ở mỗi tier bằng New at this tier của tier đó</t>
  </si>
  <si>
    <t>Hệ thống lọc theo tier đúng bằng nhãn riêng của requirement (không cộng dồn); Figma chưa nêu → Q-F-12</t>
  </si>
  <si>
    <t>Tổng requirement của các nhóm</t>
  </si>
  <si>
    <t>Framework_135</t>
  </si>
  <si>
    <t>Kiểm tra tổng số requirement của các nhóm bằng số Requirements</t>
  </si>
  <si>
    <t xml:space="preserve">1. Mở màn Frameworks
2. Bấm tên [Framework Active]
3. Bấm Requirements
4. Cộng số requirement ghi cạnh tên từng nhóm
5. So với số Requirements ở khối Content</t>
  </si>
  <si>
    <t xml:space="preserve">- Tổng số requirement của các nhóm bằng số Requirements ở khối Content
- Số Dimensions (hoặc Clauses, Chapters) ở khối Content bằng số nhóm hiện ra</t>
  </si>
  <si>
    <t>Hanna: viết rule tính, không viết số từng loại. Nhóm gọi là Dimensions, Clauses hay Chapters tuỳ framework → Q-F-21</t>
  </si>
  <si>
    <t>Bấm ô số ở khối Content</t>
  </si>
  <si>
    <t>Framework_136</t>
  </si>
  <si>
    <t>Kiểm tra mở phần Requirements từ khối Content</t>
  </si>
  <si>
    <t xml:space="preserve">1. Mở màn Frameworks
2. Bấm tên [Framework Active]
3. Bấm ô Requirements ở khối Content</t>
  </si>
  <si>
    <t>- Hiện phần Requirements của framework</t>
  </si>
  <si>
    <t>Figma chưa thể hiện ô số là liên kết → Q-F-03</t>
  </si>
  <si>
    <t>Phần đầu</t>
  </si>
  <si>
    <t>Framework_137</t>
  </si>
  <si>
    <t xml:space="preserve">1. Mở màn Frameworks
2. Bấm tên [Framework Active]
3. Bấm Requirements
4. Kiểm tra phần đầu</t>
  </si>
  <si>
    <t xml:space="preserve">- Tiêu đề: Requirements
- Dòng tóm tắt dạng:
"&lt;n&gt; dimensions · &lt;n&gt; control measures · &lt;n&gt; requirements. Read only — import a new version to change them."
- Ô tìm kiếm, placeholder: Search
- Ô lọc tier, mặc định All tiers</t>
  </si>
  <si>
    <t>Cây requirement</t>
  </si>
  <si>
    <t>Framework_138</t>
  </si>
  <si>
    <t xml:space="preserve">1. Mở màn Frameworks
2. Bấm tên [Framework Active]
3. Bấm Requirements
4. Bấm tên một nhóm để mở</t>
  </si>
  <si>
    <t xml:space="preserve">- Mỗi nhóm một dòng: số thứ tự, tên nhóm, số requirement
- Mở nhóm: mỗi requirement một dòng gồm mã, tiêu đề và nhãn tier Basic, From Medium hoặc From High</t>
  </si>
  <si>
    <t>Framework_139</t>
  </si>
  <si>
    <t>Kiểm tra tab Requirements của framework không tier</t>
  </si>
  <si>
    <t xml:space="preserve">1. Mở màn Frameworks
2. Bấm tên [Framework Active không tier]
3. Bấm Requirements</t>
  </si>
  <si>
    <t xml:space="preserve">- Dòng tóm tắt dạng: &lt;n&gt; clauses · &lt;n&gt; requirements. Read only — import a new version to change them.
- Không có ô lọc tier</t>
  </si>
  <si>
    <t>Mỗi requirement có nhãn Not assessed → Q-F-09; Figma chỉ vẽ loại có tier → Q-F-21</t>
  </si>
  <si>
    <t>Requirement tier thấp nhất</t>
  </si>
  <si>
    <t>Framework_140</t>
  </si>
  <si>
    <t>Kiểm tra chi tiết requirement của tier thấp nhất</t>
  </si>
  <si>
    <t xml:space="preserve">1. Mở màn Frameworks
2. Bấm tên [Framework Active]
3. Bấm Requirements
4. Bấm một requirement có nhãn Basic</t>
  </si>
  <si>
    <t xml:space="preserve">- Breadcrumb: &lt;nhóm&gt; / &lt;control measure&gt; / &lt;mã&gt;
- Dòng: &lt;mã&gt; · Requirement · assessable
- Tiêu đề, nhãn Basic, mô tả
- Applies to: Basic, Medium and High
- Không có dòng Not required for
- Sort order: &lt;số&gt; within &lt;control measure&gt;
- Source
- Expected evidence (&lt;n&gt;): mỗi dòng mã · tên, mô tả, nhãn Mandatory</t>
  </si>
  <si>
    <t>Requirement tier giữa</t>
  </si>
  <si>
    <t>Framework_141</t>
  </si>
  <si>
    <t>Kiểm tra chi tiết requirement của tier giữa</t>
  </si>
  <si>
    <t xml:space="preserve">1. Mở màn Frameworks
2. Bấm tên [Framework Active]
3. Bấm Requirements
4. Bấm một requirement có nhãn From Medium</t>
  </si>
  <si>
    <t xml:space="preserve">- Nhãn From Medium
- Applies to: Medium and High
- Not required for: Basic</t>
  </si>
  <si>
    <t>Requirement tier cao nhất</t>
  </si>
  <si>
    <t>Framework_142</t>
  </si>
  <si>
    <t>Kiểm tra chi tiết requirement của tier cao nhất</t>
  </si>
  <si>
    <t xml:space="preserve">1. Mở màn Frameworks
2. Bấm tên [Framework Active]
3. Bấm Requirements
4. Bấm một requirement có nhãn From High</t>
  </si>
  <si>
    <t xml:space="preserve">- Nhãn From High
- Applies to: High
- Not required for: Basic, Medium</t>
  </si>
  <si>
    <t>Framework_143</t>
  </si>
  <si>
    <t>Kiểm tra chi tiết requirement của framework không tier</t>
  </si>
  <si>
    <t xml:space="preserve">1. Mở màn Frameworks
2. Bấm tên [Framework Active không tier]
3. Bấm Requirements
4. Bấm một requirement</t>
  </si>
  <si>
    <t xml:space="preserve">- Applies to: All
- Không có dòng Not required for</t>
  </si>
  <si>
    <t>Expected evidence không bắt buộc</t>
  </si>
  <si>
    <t>Framework_144</t>
  </si>
  <si>
    <t>Kiểm tra nhãn của expected evidence không bắt buộc</t>
  </si>
  <si>
    <t>Đăng nhập account SGS Admin; có framework Active nhập từ file có một expected evidence mandatory: FALSE</t>
  </si>
  <si>
    <t xml:space="preserve">1. Mở màn Frameworks
2. Bấm tên [Framework Active]
3. Bấm Requirements
4. Bấm requirement có expected evidence mandatory FALSE</t>
  </si>
  <si>
    <t>Nhãn khi mandatory FALSE; mã nguồn prototype: Optional, chưa có dữ liệu để xem → Q-F-09</t>
  </si>
  <si>
    <t>Không có thao tác sửa</t>
  </si>
  <si>
    <t>Framework_145</t>
  </si>
  <si>
    <t xml:space="preserve">1. Mở màn Frameworks
2. Bấm tên [Framework Active]
3. Bấm Requirements
4. Kiểm tra cây và phần chi tiết requirement</t>
  </si>
  <si>
    <t>Framework_146</t>
  </si>
  <si>
    <t xml:space="preserve">1. Mở màn Frameworks
2. Bấm tên [Framework Active]
3. Bấm Requirements
4. Nhập [một phần mã requirement] vào ô Search</t>
  </si>
  <si>
    <t xml:space="preserve">- Chỉ còn các requirement có mã chứa từ khoá, nằm trong nhóm của chúng
- Nhóm không có requirement khớp bị ẩn</t>
  </si>
  <si>
    <t>Số cạnh tên nhóm không đổi theo kết quả (hệ thống) → Q-F-12</t>
  </si>
  <si>
    <t>Theo tiêu đề</t>
  </si>
  <si>
    <t>Framework_147</t>
  </si>
  <si>
    <t xml:space="preserve">1. Mở màn Frameworks
2. Bấm tên [Framework Active]
3. Bấm Requirements
4. Nhập [một phần tiêu đề requirement] vào ô Search</t>
  </si>
  <si>
    <t>- Chỉ còn các requirement có tiêu đề chứa từ khoá</t>
  </si>
  <si>
    <t>Tìm theo những trường nào → Q-F-12</t>
  </si>
  <si>
    <t>Framework_148</t>
  </si>
  <si>
    <t>Kiểm tra tìm requirement không ra kết quả</t>
  </si>
  <si>
    <t xml:space="preserve">1. Mở màn Frameworks
2. Bấm tên [Framework Active]
3. Bấm Requirements
4. Nhập [từ khóa] không khớp requirement nào vào ô Search</t>
  </si>
  <si>
    <t xml:space="preserve">- Thông báo:
"No matching requirements"
"Try another search or filter."</t>
  </si>
  <si>
    <t>Lọc</t>
  </si>
  <si>
    <t>Framework_149</t>
  </si>
  <si>
    <t>Kiểm tra lọc requirement theo tier Basic</t>
  </si>
  <si>
    <t xml:space="preserve">1. Mở màn Frameworks
2. Bấm tên [Framework Active]
3. Bấm Requirements
4. Chọn Basic ở ô lọc tier</t>
  </si>
  <si>
    <t xml:space="preserve">- Ô lọc hiển thị Basic
- Chỉ còn các requirement có nhãn Basic</t>
  </si>
  <si>
    <t>Kết quả lọc lấy từ hệ thống; Figma chỉ vẽ ô lọc → Q-F-12</t>
  </si>
  <si>
    <t>Framework_150</t>
  </si>
  <si>
    <t>Kiểm tra lọc requirement theo tier Medium</t>
  </si>
  <si>
    <t xml:space="preserve">1. Mở màn Frameworks
2. Bấm tên [Framework Active]
3. Bấm Requirements
4. Chọn Medium ở ô lọc tier</t>
  </si>
  <si>
    <t>Hệ thống chỉ hiện requirement nhãn From Medium (17 ở Appendix 10 · 2022), không hiện 61 requirement mà tier Medium phải đáp ứng → Q-F-12</t>
  </si>
  <si>
    <t>Framework_151</t>
  </si>
  <si>
    <t>Kiểm tra lọc requirement theo tier High</t>
  </si>
  <si>
    <t xml:space="preserve">1. Mở màn Frameworks
2. Bấm tên [Framework Active]
3. Bấm Requirements
4. Chọn High ở ô lọc tier</t>
  </si>
  <si>
    <t>Hệ thống chỉ hiện requirement nhãn From High (15), không hiện 76 requirement mà tier High phải đáp ứng → Q-F-12</t>
  </si>
  <si>
    <t>Framework_152</t>
  </si>
  <si>
    <t>Kiểm tra bỏ lọc tier</t>
  </si>
  <si>
    <t xml:space="preserve">1. Mở màn Frameworks
2. Bấm tên [Framework Active]
3. Bấm Requirements
4. Chọn Basic ở ô lọc tier
5. Chọn All tiers</t>
  </si>
  <si>
    <t>- Hiện lại toàn bộ requirement</t>
  </si>
  <si>
    <t>Kết hợp tìm và lọc</t>
  </si>
  <si>
    <t>Framework_153</t>
  </si>
  <si>
    <t>Kiểm tra tìm kiếm khi đang lọc tier</t>
  </si>
  <si>
    <t xml:space="preserve">1. Mở màn Frameworks
2. Bấm tên [Framework Active]
3. Bấm Requirements
4. Chọn High ở ô lọc tier
5. Nhập [từ khóa] vào ô Search</t>
  </si>
  <si>
    <t>- Chỉ còn các requirement vừa có nhãn From High vừa chứa từ khoá</t>
  </si>
  <si>
    <t>Kết quả lấy từ hệ thống → Q-F-12</t>
  </si>
  <si>
    <t>Không có nút nhập</t>
  </si>
  <si>
    <t>Framework_154</t>
  </si>
  <si>
    <t>Kiểm tra màn Frameworks với SGS User</t>
  </si>
  <si>
    <t>1. Bấm Frameworks ở menu trái</t>
  </si>
  <si>
    <t xml:space="preserve">- Hiển thị danh sách framework
- Không có nút Download template, Import framework</t>
  </si>
  <si>
    <t>UC chỉ ghi actor SGS Admin; SGS User xem được danh sách, kể cả bản nháp → Q-F-16</t>
  </si>
  <si>
    <t>Mở thẳng url hộp thoại nhập</t>
  </si>
  <si>
    <t>Framework_155</t>
  </si>
  <si>
    <t>Kiểm tra SGS User mở hộp thoại nhập bằng URL</t>
  </si>
  <si>
    <t>1. Mở thẳng url của màn Frameworks có thêm ?import=1</t>
  </si>
  <si>
    <t>- Không mở hộp thoại Import a framework</t>
  </si>
  <si>
    <t>Hệ thống đang mở hộp thoại cho SGS User và SGS Consultant khi vào bằng URL này → Q-F-16</t>
  </si>
  <si>
    <t>Framework_156</t>
  </si>
  <si>
    <t>Kiểm tra màn bản nháp và màn chi tiết với SGS User</t>
  </si>
  <si>
    <t>Đăng nhập account SGS User; có [Framework Draft], [Framework Active]</t>
  </si>
  <si>
    <t xml:space="preserve">1. Mở màn Frameworks
2. Bấm tên [Framework Draft]
3. Quay lại, bấm tên [Framework Active]</t>
  </si>
  <si>
    <t xml:space="preserve">- Sau bước 2: không có nút Discard draft, Activate
- Sau bước 3: không có nút ⋮</t>
  </si>
  <si>
    <t>UC chỉ ghi actor SGS Admin → Q-F-16</t>
  </si>
  <si>
    <t>Chỉ xem</t>
  </si>
  <si>
    <t>Framework_157</t>
  </si>
  <si>
    <t>Kiểm tra màn Frameworks với SGS Consultant</t>
  </si>
  <si>
    <t>Đăng nhập account SGS Consultant; có [Framework Draft], [Framework Active]</t>
  </si>
  <si>
    <t xml:space="preserve">1. Bấm Frameworks ở menu trái
2. Bấm tên [Framework Draft]
3. Quay lại, bấm tên [Framework Active]</t>
  </si>
  <si>
    <t xml:space="preserve">- Sau bước 1: danh sách không có nút Download template, Import framework
- Sau bước 2: không có nút Discard draft, Activate
- Sau bước 3: không có nút ⋮</t>
  </si>
  <si>
    <t>UC chỉ ghi actor SGS Admin; SGS Consultant có menu Frameworks → Q-F-16</t>
  </si>
  <si>
    <t>Framework_158</t>
  </si>
  <si>
    <t>Kiểm tra SGS Consultant mở hộp thoại nhập bằng URL</t>
  </si>
  <si>
    <t>Hệ thống đang mở hộp thoại khi vào bằng URL này → Q-F-16</t>
  </si>
  <si>
    <t>Không được vào</t>
  </si>
  <si>
    <t>Framework_159</t>
  </si>
  <si>
    <t>Kiểm tra menu của SGS Auditor/Certification</t>
  </si>
  <si>
    <t>UC chỉ ghi actor SGS Admin, chưa nói các vai trò SGS khác → Q-F-16</t>
  </si>
  <si>
    <t>Mở thẳng url</t>
  </si>
  <si>
    <t>Framework_160</t>
  </si>
  <si>
    <t>Kiểm tra SGS Auditor/Certification mở màn Frameworks bằng URL</t>
  </si>
  <si>
    <t>Đăng nhập account SGS Auditor/Certification; có [Framework Active]</t>
  </si>
  <si>
    <t xml:space="preserve">1. Mở thẳng url của màn Frameworks
2. Mở thẳng url chi tiết của [Framework Active]</t>
  </si>
  <si>
    <t xml:space="preserve">- Cả hai bước hiển thị:
"You don’t have access to this page"
"Your role can’t open framework management. Ask your administrator if you need it."</t>
  </si>
  <si>
    <t>Text lấy từ hệ thống → Q-F-16</t>
  </si>
  <si>
    <t>Vai trò khách hàng - Customer roles</t>
  </si>
  <si>
    <t>Customer Admin — menu</t>
  </si>
  <si>
    <t>Framework_161</t>
  </si>
  <si>
    <t>Kiểm tra menu của Customer Admin</t>
  </si>
  <si>
    <t>Customer User — menu</t>
  </si>
  <si>
    <t>Framework_162</t>
  </si>
  <si>
    <t>Kiểm tra menu của Customer User</t>
  </si>
  <si>
    <t>Customer Viewer — menu</t>
  </si>
  <si>
    <t>Framework_163</t>
  </si>
  <si>
    <t>Kiểm tra menu của Customer Viewer</t>
  </si>
  <si>
    <t>Customer Admin — mở thẳng url</t>
  </si>
  <si>
    <t>Framework_164</t>
  </si>
  <si>
    <t>Kiểm tra Customer Admin mở màn Frameworks bằng URL</t>
  </si>
  <si>
    <t xml:space="preserve">- Không hiển thị danh sách framework
- Hiển thị:
"This page belongs to the Operations Console"
"You are signed in as &lt;tên&gt; (Customer Admin)."
- Có nút Go to my home</t>
  </si>
  <si>
    <t>Dữ liệu tải lên - Uploaded data</t>
  </si>
  <si>
    <t>Tên framework chứa thẻ script</t>
  </si>
  <si>
    <t>Framework_165</t>
  </si>
  <si>
    <t>Kiểm tra nhập framework có tên chứa mã độc</t>
  </si>
  <si>
    <t xml:space="preserve">1. Mở màn Frameworks
2. Bấm Import framework
3. Chọn file điền theo file mẫu, sheet Framework: framework_name: &lt;script&gt;alert(1)&lt;/script&gt;
4. Bấm Check file
5. Xem bản nháp và danh sách</t>
  </si>
  <si>
    <t xml:space="preserve">- Tên hiển thị nguyên chuỗi &lt;script&gt;alert(1)&lt;/script&gt; dưới dạng chữ
- Không có hộp thoại hay đoạn mã nào được chạy</t>
  </si>
  <si>
    <t>Prototype không đọc nội dung file nên chưa chạy được case này → Q-F-08</t>
  </si>
  <si>
    <t>File giả mạo</t>
  </si>
  <si>
    <t>File khác được đổi đuôi thành .xlsx</t>
  </si>
  <si>
    <t>Framework_166</t>
  </si>
  <si>
    <t>Kiểm tra import file không phải Excel nhưng có đuôi .xlsx</t>
  </si>
  <si>
    <t xml:space="preserve">1. Mở màn Frameworks
2. Bấm Import framework
3. Chọn file abc.xlsx là file văn bản được đổi đuôi
4. Bấm Check file</t>
  </si>
  <si>
    <t xml:space="preserve">- Không import framework
- Hộp thoại hiện bảng lỗi</t>
  </si>
  <si>
    <t>Chữ báo lỗi; hệ thống hiện chỉ kiểm theo đuôi tên file → Q-F-14</t>
  </si>
  <si>
    <t>Nhập, kích hoạt, huỷ bản nháp</t>
  </si>
  <si>
    <t>Framework_167</t>
  </si>
  <si>
    <t>Kiểm tra ghi vết các thao tác trên framework</t>
  </si>
  <si>
    <t xml:space="preserve">1. Nhập một framework, kích hoạt một bản nháp, huỷ một bản nháp khác
2. Bấm Audit Logs ở menu trái
3. Kiểm tra các dòng mới nhất ở bảng Audit trail</t>
  </si>
  <si>
    <t>Các thao tác này có thuộc diện ghi audit (UC FWK-05 chỉ ghi Changes are audited cho sửa thông tin); mã nguồn prototype ghi Imported framework draft, Activated framework, Discarded framework draft → Q-F-17</t>
  </si>
  <si>
    <t>1.7</t>
  </si>
  <si>
    <t>Soát lại theo review Opus và các chỗ Hanna sửa: viết lại Total to meet theo công thức, điền Expected cho case kiểm được trên hệ thống, bỏ case trùng, thêm case thiếu</t>
  </si>
  <si>
    <t>FB-053, FB-054</t>
  </si>
  <si>
    <t>Version 1.7</t>
  </si>
  <si>
    <t>Chọn file thứ hai khi đã có file: thay file cũ, thêm file hay báo lỗi? Figma ghi One file = one framework version → Q-F-14</t>
  </si>
  <si>
    <t xml:space="preserve">- Chọn được file, dòng file có dấu tích xanh
- Không có thông báo lỗi</t>
  </si>
  <si>
    <t>Hệ thống tính 1 MB = 1.048.576 byte; giới hạn 20 MB tính theo cách này hay 1.000.000 byte → Q-F-14</t>
  </si>
  <si>
    <t xml:space="preserve">- Không import, hộp thoại hiện bảng lỗi
- Bảng lỗi có dòng:
+ Sheet: Requirements
+ Row: 41
+ Column: requirement_code
+ Problem: nêu mã R.9.4.2 được dùng hai lần ở dòng 40 và 41</t>
  </si>
  <si>
    <t>Chữ của dòng lỗi (Row, Column, Problem) khi file lỗi bất kỳ → Q-F-14</t>
  </si>
  <si>
    <t xml:space="preserve">- Không import, hộp thoại hiện bảng lỗi
- Bảng lỗi có dòng:
+ Sheet: Requirements
+ Row: 24
+ Column: parent_requirement_code
+ Problem: nêu mã R.9.9 không tồn tại</t>
  </si>
  <si>
    <t xml:space="preserve">- Không import, hộp thoại hiện bảng lỗi
- Bảng lỗi có dòng:
+ Sheet: Expected_Evidence
+ Row: 12
+ Column: requirement_code
+ Problem: nêu R.4 là dòng nhóm, evidence phải trỏ vào requirement assessable</t>
  </si>
  <si>
    <t>Prototype chỉ báo 3 lỗi này khi tên file có chữ bcm, không đọc nội dung file → Q-F-08</t>
  </si>
  <si>
    <t>Prototype chỉ báo 3 lỗi này khi tên file có chữ bcm, không đọc nội dung file → Q-F-08; Thiết kế không ghi trạng thái khi mở lại → Q-F-19</t>
  </si>
  <si>
    <t>Prototype chỉ báo 3 lỗi này khi tên file có chữ bcm, không đọc nội dung file → Q-F-08; Chưa bấm Check file với file hợp lệ trên hệ thống → Q-F-08</t>
  </si>
  <si>
    <t>- Hệ thống không phân biệt chữ HOA, chữ thường, hiển thị đúng theo mã framework</t>
  </si>
  <si>
    <t>- Hệ thống không phân biệt chữ HOA, chữ thường, hiển thị đúng theo tên framework</t>
  </si>
  <si>
    <t>- Hệ thống không phân biệt chữ HOA, chữ thường, hiển thị đúng theo Issued by</t>
  </si>
  <si>
    <t>Ô tìm ghi Search code or name; hệ thống tìm cả theo Issued by, Version, Status → Q-F-12</t>
  </si>
  <si>
    <t>- Hệ thống không phân biệt chữ HOA, chữ thường, hiển thị đúng theo Requirements</t>
  </si>
  <si>
    <t>- Hệ thống không phân biệt chữ HOA, chữ thường, hiển thị đúng theo Status</t>
  </si>
  <si>
    <t>- Hệ thống không phân biệt chữ HOA, chữ thường, hiển thị đúng theo thời gian Updated</t>
  </si>
  <si>
    <t xml:space="preserve">- Bảng không có dòng nào
- Hiển thị "No results for “zzz”"
- Hiển thị "Try a different search term."
- Dòng đếm không đổi</t>
  </si>
  <si>
    <t xml:space="preserve">- Text biến mất
- Ô tìm kiếm có icon kính lúp, placeholder: Search code or name</t>
  </si>
  <si>
    <t>Figma không có icon sắp xếp; hệ thống sắp xếp được các cột Framework, Version, Issued by, Requirements → Q-F-13</t>
  </si>
  <si>
    <t>- Hiển thị thông báo: "Download source file of &lt;tên ngắn&gt; · &lt;version&gt;"</t>
  </si>
  <si>
    <t>Kiểm tra bấm mục Requirements ở cột điều hướng của bản nháp</t>
  </si>
  <si>
    <t xml:space="preserve">- Tier thấp nhất: Total to meet = New at this tier
- Các tier còn lại: Total to meet = Total to meet của tier ngay dưới + New at this tier</t>
  </si>
  <si>
    <t>Total to meet của tier cao nhất có bằng số requirements ở khối Requirements không; Figma bản amended ghi 18 và 79 → Q-F-10</t>
  </si>
  <si>
    <t xml:space="preserve">- Hiển thị hộp thoại Import a framework
- Hộp thoại không ghi framework đang xem</t>
  </si>
  <si>
    <t>Kiểm tra bấm mục Requirements, Overview ở cột điều hướng của framework Active</t>
  </si>
  <si>
    <t>Đăng nhập account SGS Admin; có [Framework Active] có 3 tier; ở tab Requirements, số requirement theo nhãn: tier Rank 1 = [a], From tier Rank 2 = [b], From tier Rank 3 = [c]</t>
  </si>
  <si>
    <t xml:space="preserve">1. Mở màn Frameworks
2. Bấm tên [Framework Active] có 3 tier
3. Kiểm tra dòng tier Rank 1 (thấp nhất) ở khối Tiers</t>
  </si>
  <si>
    <t xml:space="preserve">1. Mở màn Frameworks
2. Bấm tên [Framework Active] có 3 tier
3. Kiểm tra dòng tier Rank 2 ở khối Tiers</t>
  </si>
  <si>
    <t xml:space="preserve">1. Mở màn Frameworks
2. Bấm tên [Framework Active] có 3 tier
3. Kiểm tra dòng tier Rank 3 (cao nhất) ở khối Tiers
4. So với số Requirements ở khối Content</t>
  </si>
  <si>
    <t xml:space="preserve">- New at this tier = [c]
- Total to meet = [a] + [b] + [c]</t>
  </si>
  <si>
    <t>Total to meet của tier cao nhất có bằng số Requirements ở khối Content không: Figma Detail của Appendix 10 · 2022 ghi High 18 mới, 79 tổng, khối Content ghi 76 requirement; hệ thống ghi 15 và 76 → Q-F-10</t>
  </si>
  <si>
    <t xml:space="preserve">- Bảng Tiers có 1 dòng
- New at this tier = Total to meet</t>
  </si>
  <si>
    <t>Số requirement khi lọc từng tier ở tab Requirements có bằng New at this tier không (hệ thống lọc theo nhãn riêng của requirement) → Q-F-12</t>
  </si>
  <si>
    <t>Nhóm gọi là Dimensions, Clauses hay Chapters tuỳ framework → Q-F-21</t>
  </si>
  <si>
    <t>Ô số ở khối Content có bấm được để mở phần Requirements không; Figma chưa thể hiện → Q-F-03</t>
  </si>
  <si>
    <t xml:space="preserve">1. Mở màn Frameworks
2. Bấm tên [Framework Active]
3. Bấm Requirements
4. Nhập [mã requirement] vào ô Search</t>
  </si>
  <si>
    <t>- Hiển thị đúng data theo mã requirement</t>
  </si>
  <si>
    <t xml:space="preserve">1. Mở màn Frameworks
2. Bấm tên [Framework Active]
3. Bấm Requirements
4. Nhập [một phần tiêu đề] vào ô Search</t>
  </si>
  <si>
    <t>- Hiển thị đúng data theo tiêu đề requirement</t>
  </si>
  <si>
    <t xml:space="preserve">1. Mở màn Frameworks
2. Bấm tên [Framework Active]
3. Bấm Requirements
4. Nhập zzz vào ô Search</t>
  </si>
  <si>
    <t xml:space="preserve">- Không có kết quả và hiển thị thông báo:
- "No matching requirements"
- "Try another search or filter."</t>
  </si>
  <si>
    <t>- Hiển thị đúng data theo tier Basic</t>
  </si>
  <si>
    <t>- Hiển thị đúng data theo tier Medium</t>
  </si>
  <si>
    <t>Hệ thống lọc theo nhãn riêng của requirement, không cộng dồn các tier dưới (Medium chỉ hiện requirement From Medium) → Q-F-12</t>
  </si>
  <si>
    <t>- Hiển thị đúng data theo tier High</t>
  </si>
  <si>
    <t xml:space="preserve">1. Mở màn Frameworks
2. Bấm tên [Framework Active]
3. Bấm Requirements
4. Chọn All tiers ở ô lọc tier</t>
  </si>
  <si>
    <t>- Hiển thị đúng toàn bộ data theo All tiers</t>
  </si>
  <si>
    <t>1.8</t>
  </si>
  <si>
    <t>Sửa theo soát lỗi bản 1.7: xoá câu hỏi đã có trả lời, khôi phục chữ Hanna sửa, bỏ khẳng định chưa kiểm chứng, sửa định dạng ô Classification</t>
  </si>
  <si>
    <t>Version 1.8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</si>
</sst>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fontId="0" fillId="0" borderId="0" numFmtId="0" applyNumberFormat="1" applyFont="1" applyFill="1" applyBorder="1"/>
  </cellStyleXfs>
  <cellXfs count="111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Font="1" applyBorder="1"/>
    <xf fontId="1" fillId="0" borderId="3" numFmtId="0" xfId="0" applyFont="1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Font="1" applyBorder="1"/>
    <xf fontId="1" fillId="0" borderId="5" numFmtId="0" xfId="0" applyFont="1" applyBorder="1"/>
    <xf fontId="1" fillId="0" borderId="1" numFmtId="164" xfId="0" applyNumberFormat="1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 wrapText="1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4" numFmtId="0" xfId="0" applyFont="1" applyBorder="1"/>
    <xf fontId="1" fillId="0" borderId="15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Font="1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0" numFmtId="0" xfId="0" applyFont="1" applyBorder="1" applyAlignment="1" quotePrefix="1">
      <alignment horizontal="left" vertical="center" wrapText="1"/>
    </xf>
    <xf fontId="1" fillId="0" borderId="25" numFmtId="0" xfId="0" applyFont="1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Font="1" applyBorder="1"/>
    <xf fontId="1" fillId="0" borderId="0" numFmtId="0" xfId="0" applyFont="1" applyAlignment="1">
      <alignment horizontal="center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0" fillId="4" borderId="20" numFmtId="0" xfId="0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0" fillId="5" borderId="20" numFmtId="0" xfId="0" applyFill="1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0" fillId="5" borderId="20" numFmtId="0" xfId="0" applyFill="1" applyBorder="1" applyAlignment="1" quotePrefix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0" fillId="0" borderId="20" numFmtId="0" xfId="0" applyBorder="1" applyAlignment="1">
      <alignment horizontal="left" vertical="center" wrapText="1"/>
    </xf>
    <xf fontId="1" fillId="0" borderId="2" numFmtId="0" xfId="0" applyFont="1" applyBorder="1" applyAlignment="1">
      <alignment vertical="center" wrapText="1"/>
    </xf>
    <xf fontId="1" fillId="0" borderId="3" numFmtId="0" xfId="0" applyFont="1" applyBorder="1" applyAlignment="1">
      <alignment vertical="center" wrapText="1"/>
    </xf>
    <xf fontId="1" fillId="0" borderId="17" numFmtId="0" xfId="0" applyFont="1" applyBorder="1" applyAlignment="1">
      <alignment vertical="center" wrapText="1"/>
    </xf>
    <xf fontId="1" fillId="0" borderId="25" numFmtId="0" xfId="0" applyFont="1" applyBorder="1" applyAlignment="1">
      <alignment vertical="center" wrapText="1"/>
    </xf>
    <xf fontId="1" fillId="0" borderId="20" numFmtId="0" xfId="0" applyFont="1" applyBorder="1" applyAlignment="1">
      <alignment vertical="center" wrapText="1"/>
    </xf>
    <xf fontId="0" fillId="0" borderId="20" numFmtId="0" xfId="0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1" fillId="0" borderId="26" numFmtId="0" xfId="0" applyFont="1" applyBorder="1" applyAlignment="1">
      <alignment horizontal="left" vertical="center" wrapText="1"/>
    </xf>
    <xf fontId="1" fillId="0" borderId="27" numFmtId="0" xfId="0" applyFont="1" applyBorder="1" applyAlignment="1">
      <alignment horizontal="left" vertical="center" wrapText="1"/>
    </xf>
    <xf fontId="1" fillId="0" borderId="26" numFmtId="0" xfId="0" applyFont="1" applyBorder="1" applyAlignment="1">
      <alignment horizontal="center" vertical="center" wrapText="1"/>
    </xf>
    <xf fontId="1" fillId="0" borderId="27" numFmtId="0" xfId="0" applyFont="1" applyBorder="1" applyAlignment="1">
      <alignment horizontal="center" vertical="center" wrapText="1"/>
    </xf>
    <xf fontId="0" fillId="0" borderId="25" numFmtId="0" xfId="0" applyBorder="1" applyAlignment="1">
      <alignment vertical="center" wrapText="1"/>
    </xf>
    <xf fontId="0" fillId="0" borderId="26" numFmtId="0" xfId="0" applyBorder="1" applyAlignment="1">
      <alignment horizontal="left" vertical="center" wrapText="1"/>
    </xf>
    <xf fontId="1" fillId="5" borderId="20" numFmtId="0" xfId="0" applyFont="1" applyFill="1" applyBorder="1" applyAlignment="1" quotePrefix="1">
      <alignment horizontal="left" vertical="center" wrapText="1"/>
    </xf>
    <xf fontId="1" fillId="3" borderId="20" numFmtId="0" xfId="0" applyFont="1" applyFill="1" applyBorder="1" applyAlignment="1" quotePrefix="1">
      <alignment horizontal="left" vertical="center" wrapText="1"/>
    </xf>
    <xf fontId="1" fillId="0" borderId="20" numFmtId="0" xfId="0" applyFont="1" applyFill="1" applyBorder="1" applyAlignment="1">
      <alignment horizontal="left" vertical="center" wrapText="1"/>
    </xf>
    <xf fontId="1" fillId="0" borderId="14" numFmtId="164" xfId="0" applyFont="1" applyBorder="1" applyAlignment="1">
      <alignment vertical="top" wrapText="1"/>
    </xf>
    <xf fontId="1" fillId="0" borderId="14" numFmtId="165" xfId="0" applyFont="1" applyBorder="1" applyAlignment="1">
      <alignment horizontal="right" vertical="top"/>
    </xf>
    <xf fontId="1" fillId="0" borderId="25" numFmtId="0" xfId="0" applyFont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2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3107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41.25" customHeight="1">
      <c r="A17" s="18"/>
      <c r="B17" s="26" t="s">
        <v>46</v>
      </c>
      <c r="C17" s="27" t="s">
        <v>47</v>
      </c>
      <c r="D17" s="28" t="s">
        <v>43</v>
      </c>
      <c r="E17" s="29" t="s">
        <v>27</v>
      </c>
      <c r="F17" s="28" t="s">
        <v>48</v>
      </c>
      <c r="G17" s="30" t="s">
        <v>49</v>
      </c>
      <c r="H17" s="20"/>
    </row>
    <row r="18" ht="92.25" customHeight="1">
      <c r="A18" s="18"/>
      <c r="B18" s="26" t="s">
        <v>46</v>
      </c>
      <c r="C18" s="27" t="s">
        <v>50</v>
      </c>
      <c r="D18" s="28" t="s">
        <v>43</v>
      </c>
      <c r="E18" s="29" t="s">
        <v>27</v>
      </c>
      <c r="F18" s="28" t="s">
        <v>51</v>
      </c>
      <c r="G18" s="30" t="s">
        <v>52</v>
      </c>
      <c r="H18" s="20"/>
    </row>
    <row r="19" ht="54" customHeight="1">
      <c r="A19" s="18"/>
      <c r="B19" s="26" t="s">
        <v>46</v>
      </c>
      <c r="C19" s="27" t="s">
        <v>50</v>
      </c>
      <c r="D19" s="28" t="s">
        <v>26</v>
      </c>
      <c r="E19" s="29" t="s">
        <v>27</v>
      </c>
      <c r="F19" s="28" t="s">
        <v>53</v>
      </c>
      <c r="G19" s="30" t="s">
        <v>54</v>
      </c>
      <c r="H19" s="20"/>
    </row>
    <row r="20" ht="15.75" customHeight="1">
      <c r="A20" s="18"/>
      <c r="B20" s="26" t="s">
        <v>55</v>
      </c>
      <c r="C20" s="27" t="s">
        <v>56</v>
      </c>
      <c r="D20" s="28" t="s">
        <v>57</v>
      </c>
      <c r="E20" s="29" t="s">
        <v>21</v>
      </c>
      <c r="F20" s="28" t="s">
        <v>58</v>
      </c>
      <c r="G20" s="30" t="s">
        <v>59</v>
      </c>
      <c r="H20" s="20"/>
    </row>
    <row r="21" ht="15.75" customHeight="1">
      <c r="A21" s="18"/>
      <c r="B21" s="106" t="s">
        <v>55</v>
      </c>
      <c r="C21" s="107" t="s">
        <v>3053</v>
      </c>
      <c r="D21" s="28" t="s">
        <v>57</v>
      </c>
      <c r="E21" s="29" t="s">
        <v>27</v>
      </c>
      <c r="F21" s="28" t="s">
        <v>3054</v>
      </c>
      <c r="G21" s="30" t="s">
        <v>3055</v>
      </c>
      <c r="H21" s="20"/>
    </row>
    <row r="22" ht="15.75" customHeight="1">
      <c r="A22" s="18"/>
      <c r="B22" s="106" t="s">
        <v>55</v>
      </c>
      <c r="C22" s="107" t="s">
        <v>3105</v>
      </c>
      <c r="D22" s="28" t="s">
        <v>57</v>
      </c>
      <c r="E22" s="29" t="s">
        <v>27</v>
      </c>
      <c r="F22" s="28" t="s">
        <v>3106</v>
      </c>
      <c r="G22" s="30" t="s">
        <v>3055</v>
      </c>
      <c r="H22" s="20"/>
    </row>
    <row r="23" ht="15.75" customHeight="1">
      <c r="A23" s="18"/>
      <c r="B23" s="32"/>
      <c r="C23" s="32"/>
      <c r="D23" s="32"/>
      <c r="E23" s="32"/>
      <c r="F23" s="32"/>
      <c r="G23" s="33"/>
      <c r="H23" s="20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34" t="s">
        <v>60</v>
      </c>
    </row>
    <row r="26" ht="15.75" customHeight="1">
      <c r="B26" s="1" t="s">
        <v>61</v>
      </c>
    </row>
    <row r="27" ht="15.75" customHeight="1">
      <c r="B27" s="1" t="s">
        <v>62</v>
      </c>
    </row>
    <row r="28" ht="15.75" customHeight="1">
      <c r="B28" s="1" t="s">
        <v>63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5"/>
      <c r="C2" s="35"/>
      <c r="D2" s="35"/>
      <c r="E2" s="36" t="s">
        <v>64</v>
      </c>
      <c r="F2" s="14"/>
      <c r="G2" s="14"/>
      <c r="H2" s="14"/>
      <c r="I2" s="14"/>
      <c r="J2" s="14"/>
      <c r="K2" s="14"/>
      <c r="L2" s="14"/>
      <c r="M2" s="15"/>
      <c r="N2" s="37" t="s">
        <v>65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38"/>
      <c r="B3" s="39" t="s">
        <v>66</v>
      </c>
      <c r="C3" s="37" t="s">
        <v>67</v>
      </c>
      <c r="D3" s="37" t="s">
        <v>68</v>
      </c>
      <c r="E3" s="40" t="s">
        <v>69</v>
      </c>
      <c r="F3" s="37" t="s">
        <v>70</v>
      </c>
      <c r="G3" s="37" t="s">
        <v>71</v>
      </c>
      <c r="H3" s="37" t="s">
        <v>72</v>
      </c>
      <c r="I3" s="37" t="s">
        <v>73</v>
      </c>
      <c r="J3" s="37" t="s">
        <v>74</v>
      </c>
      <c r="K3" s="37" t="s">
        <v>75</v>
      </c>
      <c r="L3" s="37" t="s">
        <v>76</v>
      </c>
      <c r="M3" s="40" t="s">
        <v>77</v>
      </c>
      <c r="N3" s="37" t="s">
        <v>78</v>
      </c>
      <c r="O3" s="37" t="s">
        <v>70</v>
      </c>
      <c r="P3" s="37" t="s">
        <v>71</v>
      </c>
      <c r="Q3" s="37" t="s">
        <v>72</v>
      </c>
      <c r="R3" s="37" t="s">
        <v>73</v>
      </c>
      <c r="S3" s="37" t="s">
        <v>74</v>
      </c>
      <c r="T3" s="37" t="s">
        <v>75</v>
      </c>
      <c r="U3" s="37" t="s">
        <v>76</v>
      </c>
      <c r="V3" s="40" t="s">
        <v>77</v>
      </c>
      <c r="W3" s="38"/>
      <c r="X3" s="38"/>
      <c r="Y3" s="38"/>
      <c r="Z3" s="38"/>
      <c r="AA3" s="38"/>
    </row>
    <row r="4" ht="15.75" customHeight="1">
      <c r="A4"/>
      <c r="B4" s="41" t="s">
        <v>30</v>
      </c>
      <c r="C4" s="42" t="s">
        <v>79</v>
      </c>
      <c r="D4" s="42" t="s">
        <v>80</v>
      </c>
      <c r="E4" s="43">
        <f>F4/G4</f>
      </c>
      <c r="F4" s="44">
        <f>SUM(H4:L4)</f>
      </c>
      <c r="G4" s="44">
        <f>SUM(H4:M4)</f>
      </c>
      <c r="H4" s="44">
        <f>COUNTIF('Login'!$M$13:$M$15,H$3)</f>
      </c>
      <c r="I4" s="44">
        <f>COUNTIF('Login'!$M$13:$M$15,I$3)</f>
      </c>
      <c r="J4" s="44">
        <f>COUNTIF('Login'!$M$13:$M$15,J$3)</f>
      </c>
      <c r="K4" s="44">
        <f>COUNTIF('Login'!$M$13:$M$15,K$3)</f>
      </c>
      <c r="L4" s="44">
        <f>COUNTIF('Login'!$M$13:$M$15,L$3)</f>
      </c>
      <c r="M4" s="44">
        <f>COUNTA('Login'!$G$13:$G$15)-SUM(H4:L4)</f>
      </c>
      <c r="N4" s="43">
        <f>O4/P4</f>
      </c>
      <c r="O4" s="44">
        <f>SUM(Q4:U4)</f>
      </c>
      <c r="P4" s="44">
        <f>SUM(Q4:V4)</f>
      </c>
      <c r="Q4" s="44">
        <f>COUNTIF('Login'!$R$13:$R$15,Q$3)</f>
      </c>
      <c r="R4" s="44">
        <f>COUNTIF('Login'!$R$13:$R$15,R$3)</f>
      </c>
      <c r="S4" s="44">
        <f>COUNTIF('Login'!$R$13:$R$15,S$3)</f>
      </c>
      <c r="T4" s="44">
        <f>COUNTIF('Login'!$R$13:$R$15,T$3)</f>
      </c>
      <c r="U4" s="44">
        <f>COUNTIF('Login'!$R$13:$R$15,U$3)</f>
      </c>
      <c r="V4" s="44">
        <f>COUNTA('Login'!$G$13:$G$15)-SUM(Q4:U4)</f>
      </c>
    </row>
    <row r="5" ht="15.75" customHeight="1">
      <c r="A5"/>
      <c r="B5" s="45"/>
      <c r="C5" s="42" t="s">
        <v>79</v>
      </c>
      <c r="D5" s="42" t="s">
        <v>81</v>
      </c>
      <c r="E5" s="43">
        <f>F5/G5</f>
      </c>
      <c r="F5" s="44">
        <f>SUM(H5:L5)</f>
      </c>
      <c r="G5" s="44">
        <f>SUM(H5:M5)</f>
      </c>
      <c r="H5" s="44">
        <f>COUNTIF('Login'!$M$16:$M$19,H$3)</f>
      </c>
      <c r="I5" s="44">
        <f>COUNTIF('Login'!$M$16:$M$19,I$3)</f>
      </c>
      <c r="J5" s="44">
        <f>COUNTIF('Login'!$M$16:$M$19,J$3)</f>
      </c>
      <c r="K5" s="44">
        <f>COUNTIF('Login'!$M$16:$M$19,K$3)</f>
      </c>
      <c r="L5" s="44">
        <f>COUNTIF('Login'!$M$16:$M$19,L$3)</f>
      </c>
      <c r="M5" s="44">
        <f>COUNTA('Login'!$G$16:$G$19)-SUM(H5:L5)</f>
      </c>
      <c r="N5" s="43">
        <f>O5/P5</f>
      </c>
      <c r="O5" s="44">
        <f>SUM(Q5:U5)</f>
      </c>
      <c r="P5" s="44">
        <f>SUM(Q5:V5)</f>
      </c>
      <c r="Q5" s="44">
        <f>COUNTIF('Login'!$R$16:$R$19,Q$3)</f>
      </c>
      <c r="R5" s="44">
        <f>COUNTIF('Login'!$R$16:$R$19,R$3)</f>
      </c>
      <c r="S5" s="44">
        <f>COUNTIF('Login'!$R$16:$R$19,S$3)</f>
      </c>
      <c r="T5" s="44">
        <f>COUNTIF('Login'!$R$16:$R$19,T$3)</f>
      </c>
      <c r="U5" s="44">
        <f>COUNTIF('Login'!$R$16:$R$19,U$3)</f>
      </c>
      <c r="V5" s="44">
        <f>COUNTA('Login'!$G$16:$G$19)-SUM(Q5:U5)</f>
      </c>
    </row>
    <row r="6" ht="15.75" customHeight="1">
      <c r="A6"/>
      <c r="B6" s="45"/>
      <c r="C6" s="42" t="s">
        <v>79</v>
      </c>
      <c r="D6" s="42" t="s">
        <v>82</v>
      </c>
      <c r="E6" s="43">
        <f>F6/G6</f>
      </c>
      <c r="F6" s="44">
        <f>SUM(H6:L6)</f>
      </c>
      <c r="G6" s="44">
        <f>SUM(H6:M6)</f>
      </c>
      <c r="H6" s="44">
        <f>COUNTIF('Login'!$M$20:$M$23,H$3)</f>
      </c>
      <c r="I6" s="44">
        <f>COUNTIF('Login'!$M$20:$M$23,I$3)</f>
      </c>
      <c r="J6" s="44">
        <f>COUNTIF('Login'!$M$20:$M$23,J$3)</f>
      </c>
      <c r="K6" s="44">
        <f>COUNTIF('Login'!$M$20:$M$23,K$3)</f>
      </c>
      <c r="L6" s="44">
        <f>COUNTIF('Login'!$M$20:$M$23,L$3)</f>
      </c>
      <c r="M6" s="44">
        <f>COUNTA('Login'!$G$20:$G$23)-SUM(H6:L6)</f>
      </c>
      <c r="N6" s="43">
        <f>O6/P6</f>
      </c>
      <c r="O6" s="44">
        <f>SUM(Q6:U6)</f>
      </c>
      <c r="P6" s="44">
        <f>SUM(Q6:V6)</f>
      </c>
      <c r="Q6" s="44">
        <f>COUNTIF('Login'!$R$20:$R$23,Q$3)</f>
      </c>
      <c r="R6" s="44">
        <f>COUNTIF('Login'!$R$20:$R$23,R$3)</f>
      </c>
      <c r="S6" s="44">
        <f>COUNTIF('Login'!$R$20:$R$23,S$3)</f>
      </c>
      <c r="T6" s="44">
        <f>COUNTIF('Login'!$R$20:$R$23,T$3)</f>
      </c>
      <c r="U6" s="44">
        <f>COUNTIF('Login'!$R$20:$R$23,U$3)</f>
      </c>
      <c r="V6" s="44">
        <f>COUNTA('Login'!$G$20:$G$23)-SUM(Q6:U6)</f>
      </c>
    </row>
    <row r="7" ht="15.75" customHeight="1">
      <c r="A7"/>
      <c r="B7" s="45"/>
      <c r="C7" s="42" t="s">
        <v>79</v>
      </c>
      <c r="D7" s="42" t="s">
        <v>83</v>
      </c>
      <c r="E7" s="43">
        <f>F7/G7</f>
      </c>
      <c r="F7" s="44">
        <f>SUM(H7:L7)</f>
      </c>
      <c r="G7" s="44">
        <f>SUM(H7:M7)</f>
      </c>
      <c r="H7" s="44">
        <f>COUNTIF('Login'!$M$24:$M$32,H$3)</f>
      </c>
      <c r="I7" s="44">
        <f>COUNTIF('Login'!$M$24:$M$32,I$3)</f>
      </c>
      <c r="J7" s="44">
        <f>COUNTIF('Login'!$M$24:$M$32,J$3)</f>
      </c>
      <c r="K7" s="44">
        <f>COUNTIF('Login'!$M$24:$M$32,K$3)</f>
      </c>
      <c r="L7" s="44">
        <f>COUNTIF('Login'!$M$24:$M$32,L$3)</f>
      </c>
      <c r="M7" s="44">
        <f>COUNTA('Login'!$G$24:$G$32)-SUM(H7:L7)</f>
      </c>
      <c r="N7" s="43">
        <f>O7/P7</f>
      </c>
      <c r="O7" s="44">
        <f>SUM(Q7:U7)</f>
      </c>
      <c r="P7" s="44">
        <f>SUM(Q7:V7)</f>
      </c>
      <c r="Q7" s="44">
        <f>COUNTIF('Login'!$R$24:$R$32,Q$3)</f>
      </c>
      <c r="R7" s="44">
        <f>COUNTIF('Login'!$R$24:$R$32,R$3)</f>
      </c>
      <c r="S7" s="44">
        <f>COUNTIF('Login'!$R$24:$R$32,S$3)</f>
      </c>
      <c r="T7" s="44">
        <f>COUNTIF('Login'!$R$24:$R$32,T$3)</f>
      </c>
      <c r="U7" s="44">
        <f>COUNTIF('Login'!$R$24:$R$32,U$3)</f>
      </c>
      <c r="V7" s="44">
        <f>COUNTA('Login'!$G$24:$G$32)-SUM(Q7:U7)</f>
      </c>
    </row>
    <row r="8" ht="15.75" customHeight="1">
      <c r="A8"/>
      <c r="B8" s="45"/>
      <c r="C8" s="42" t="s">
        <v>79</v>
      </c>
      <c r="D8" s="42" t="s">
        <v>84</v>
      </c>
      <c r="E8" s="43">
        <f>F8/G8</f>
      </c>
      <c r="F8" s="44">
        <f>SUM(H8:L8)</f>
      </c>
      <c r="G8" s="44">
        <f>SUM(H8:M8)</f>
      </c>
      <c r="H8" s="44">
        <f>COUNTIF('Login'!$M$33:$M$39,H$3)</f>
      </c>
      <c r="I8" s="44">
        <f>COUNTIF('Login'!$M$33:$M$39,I$3)</f>
      </c>
      <c r="J8" s="44">
        <f>COUNTIF('Login'!$M$33:$M$39,J$3)</f>
      </c>
      <c r="K8" s="44">
        <f>COUNTIF('Login'!$M$33:$M$39,K$3)</f>
      </c>
      <c r="L8" s="44">
        <f>COUNTIF('Login'!$M$33:$M$39,L$3)</f>
      </c>
      <c r="M8" s="44">
        <f>COUNTA('Login'!$G$33:$G$39)-SUM(H8:L8)</f>
      </c>
      <c r="N8" s="43">
        <f>O8/P8</f>
      </c>
      <c r="O8" s="44">
        <f>SUM(Q8:U8)</f>
      </c>
      <c r="P8" s="44">
        <f>SUM(Q8:V8)</f>
      </c>
      <c r="Q8" s="44">
        <f>COUNTIF('Login'!$R$33:$R$39,Q$3)</f>
      </c>
      <c r="R8" s="44">
        <f>COUNTIF('Login'!$R$33:$R$39,R$3)</f>
      </c>
      <c r="S8" s="44">
        <f>COUNTIF('Login'!$R$33:$R$39,S$3)</f>
      </c>
      <c r="T8" s="44">
        <f>COUNTIF('Login'!$R$33:$R$39,T$3)</f>
      </c>
      <c r="U8" s="44">
        <f>COUNTIF('Login'!$R$33:$R$39,U$3)</f>
      </c>
      <c r="V8" s="44">
        <f>COUNTA('Login'!$G$33:$G$39)-SUM(Q8:U8)</f>
      </c>
    </row>
    <row r="9" ht="15.75" customHeight="1">
      <c r="A9"/>
      <c r="B9" s="45"/>
      <c r="C9" s="42" t="s">
        <v>79</v>
      </c>
      <c r="D9" s="42" t="s">
        <v>85</v>
      </c>
      <c r="E9" s="43">
        <f>F9/G9</f>
      </c>
      <c r="F9" s="44">
        <f>SUM(H9:L9)</f>
      </c>
      <c r="G9" s="44">
        <f>SUM(H9:M9)</f>
      </c>
      <c r="H9" s="44">
        <f>COUNTIF('Login'!$M$40:$M$43,H$3)</f>
      </c>
      <c r="I9" s="44">
        <f>COUNTIF('Login'!$M$40:$M$43,I$3)</f>
      </c>
      <c r="J9" s="44">
        <f>COUNTIF('Login'!$M$40:$M$43,J$3)</f>
      </c>
      <c r="K9" s="44">
        <f>COUNTIF('Login'!$M$40:$M$43,K$3)</f>
      </c>
      <c r="L9" s="44">
        <f>COUNTIF('Login'!$M$40:$M$43,L$3)</f>
      </c>
      <c r="M9" s="44">
        <f>COUNTA('Login'!$G$40:$G$43)-SUM(H9:L9)</f>
      </c>
      <c r="N9" s="43">
        <f>O9/P9</f>
      </c>
      <c r="O9" s="44">
        <f>SUM(Q9:U9)</f>
      </c>
      <c r="P9" s="44">
        <f>SUM(Q9:V9)</f>
      </c>
      <c r="Q9" s="44">
        <f>COUNTIF('Login'!$R$40:$R$43,Q$3)</f>
      </c>
      <c r="R9" s="44">
        <f>COUNTIF('Login'!$R$40:$R$43,R$3)</f>
      </c>
      <c r="S9" s="44">
        <f>COUNTIF('Login'!$R$40:$R$43,S$3)</f>
      </c>
      <c r="T9" s="44">
        <f>COUNTIF('Login'!$R$40:$R$43,T$3)</f>
      </c>
      <c r="U9" s="44">
        <f>COUNTIF('Login'!$R$40:$R$43,U$3)</f>
      </c>
      <c r="V9" s="44">
        <f>COUNTA('Login'!$G$40:$G$43)-SUM(Q9:U9)</f>
      </c>
    </row>
    <row r="10" ht="15.75" customHeight="1">
      <c r="A10"/>
      <c r="B10" s="45"/>
      <c r="C10" s="42" t="s">
        <v>79</v>
      </c>
      <c r="D10" s="42" t="s">
        <v>86</v>
      </c>
      <c r="E10" s="43">
        <f>F10/G10</f>
      </c>
      <c r="F10" s="44">
        <f>SUM(H10:L10)</f>
      </c>
      <c r="G10" s="44">
        <f>SUM(H10:M10)</f>
      </c>
      <c r="H10" s="44">
        <f>COUNTIF('Login'!$M$44:$M$53,H$3)</f>
      </c>
      <c r="I10" s="44">
        <f>COUNTIF('Login'!$M$44:$M$53,I$3)</f>
      </c>
      <c r="J10" s="44">
        <f>COUNTIF('Login'!$M$44:$M$53,J$3)</f>
      </c>
      <c r="K10" s="44">
        <f>COUNTIF('Login'!$M$44:$M$53,K$3)</f>
      </c>
      <c r="L10" s="44">
        <f>COUNTIF('Login'!$M$44:$M$53,L$3)</f>
      </c>
      <c r="M10" s="44">
        <f>COUNTA('Login'!$G$44:$G$53)-SUM(H10:L10)</f>
      </c>
      <c r="N10" s="43">
        <f>O10/P10</f>
      </c>
      <c r="O10" s="44">
        <f>SUM(Q10:U10)</f>
      </c>
      <c r="P10" s="44">
        <f>SUM(Q10:V10)</f>
      </c>
      <c r="Q10" s="44">
        <f>COUNTIF('Login'!$R$44:$R$53,Q$3)</f>
      </c>
      <c r="R10" s="44">
        <f>COUNTIF('Login'!$R$44:$R$53,R$3)</f>
      </c>
      <c r="S10" s="44">
        <f>COUNTIF('Login'!$R$44:$R$53,S$3)</f>
      </c>
      <c r="T10" s="44">
        <f>COUNTIF('Login'!$R$44:$R$53,T$3)</f>
      </c>
      <c r="U10" s="44">
        <f>COUNTIF('Login'!$R$44:$R$53,U$3)</f>
      </c>
      <c r="V10" s="44">
        <f>COUNTA('Login'!$G$44:$G$53)-SUM(Q10:U10)</f>
      </c>
    </row>
    <row r="11" ht="15.75" customHeight="1">
      <c r="A11"/>
      <c r="B11" s="45"/>
      <c r="C11" s="42" t="s">
        <v>79</v>
      </c>
      <c r="D11" s="42" t="s">
        <v>87</v>
      </c>
      <c r="E11" s="43">
        <f>F11/G11</f>
      </c>
      <c r="F11" s="44">
        <f>SUM(H11:L11)</f>
      </c>
      <c r="G11" s="44">
        <f>SUM(H11:M11)</f>
      </c>
      <c r="H11" s="44">
        <f>COUNTIF('Login'!$M$54:$M$56,H$3)</f>
      </c>
      <c r="I11" s="44">
        <f>COUNTIF('Login'!$M$54:$M$56,I$3)</f>
      </c>
      <c r="J11" s="44">
        <f>COUNTIF('Login'!$M$54:$M$56,J$3)</f>
      </c>
      <c r="K11" s="44">
        <f>COUNTIF('Login'!$M$54:$M$56,K$3)</f>
      </c>
      <c r="L11" s="44">
        <f>COUNTIF('Login'!$M$54:$M$56,L$3)</f>
      </c>
      <c r="M11" s="44">
        <f>COUNTA('Login'!$G$54:$G$56)-SUM(H11:L11)</f>
      </c>
      <c r="N11" s="43">
        <f>O11/P11</f>
      </c>
      <c r="O11" s="44">
        <f>SUM(Q11:U11)</f>
      </c>
      <c r="P11" s="44">
        <f>SUM(Q11:V11)</f>
      </c>
      <c r="Q11" s="44">
        <f>COUNTIF('Login'!$R$54:$R$56,Q$3)</f>
      </c>
      <c r="R11" s="44">
        <f>COUNTIF('Login'!$R$54:$R$56,R$3)</f>
      </c>
      <c r="S11" s="44">
        <f>COUNTIF('Login'!$R$54:$R$56,S$3)</f>
      </c>
      <c r="T11" s="44">
        <f>COUNTIF('Login'!$R$54:$R$56,T$3)</f>
      </c>
      <c r="U11" s="44">
        <f>COUNTIF('Login'!$R$54:$R$56,U$3)</f>
      </c>
      <c r="V11" s="44">
        <f>COUNTA('Login'!$G$54:$G$56)-SUM(Q11:U11)</f>
      </c>
    </row>
    <row r="12" ht="15.75" customHeight="1">
      <c r="A12"/>
      <c r="B12" s="45"/>
      <c r="C12" s="42" t="s">
        <v>79</v>
      </c>
      <c r="D12" s="42" t="s">
        <v>88</v>
      </c>
      <c r="E12" s="43">
        <f>F12/G12</f>
      </c>
      <c r="F12" s="44">
        <f>SUM(H12:L12)</f>
      </c>
      <c r="G12" s="44">
        <f>SUM(H12:M12)</f>
      </c>
      <c r="H12" s="44">
        <f>COUNTIF('Login'!$M$57:$M$59,H$3)</f>
      </c>
      <c r="I12" s="44">
        <f>COUNTIF('Login'!$M$57:$M$59,I$3)</f>
      </c>
      <c r="J12" s="44">
        <f>COUNTIF('Login'!$M$57:$M$59,J$3)</f>
      </c>
      <c r="K12" s="44">
        <f>COUNTIF('Login'!$M$57:$M$59,K$3)</f>
      </c>
      <c r="L12" s="44">
        <f>COUNTIF('Login'!$M$57:$M$59,L$3)</f>
      </c>
      <c r="M12" s="44">
        <f>COUNTA('Login'!$G$57:$G$59)-SUM(H12:L12)</f>
      </c>
      <c r="N12" s="43">
        <f>O12/P12</f>
      </c>
      <c r="O12" s="44">
        <f>SUM(Q12:U12)</f>
      </c>
      <c r="P12" s="44">
        <f>SUM(Q12:V12)</f>
      </c>
      <c r="Q12" s="44">
        <f>COUNTIF('Login'!$R$57:$R$59,Q$3)</f>
      </c>
      <c r="R12" s="44">
        <f>COUNTIF('Login'!$R$57:$R$59,R$3)</f>
      </c>
      <c r="S12" s="44">
        <f>COUNTIF('Login'!$R$57:$R$59,S$3)</f>
      </c>
      <c r="T12" s="44">
        <f>COUNTIF('Login'!$R$57:$R$59,T$3)</f>
      </c>
      <c r="U12" s="44">
        <f>COUNTIF('Login'!$R$57:$R$59,U$3)</f>
      </c>
      <c r="V12" s="44">
        <f>COUNTA('Login'!$G$57:$G$59)-SUM(Q12:U12)</f>
      </c>
    </row>
    <row r="13" ht="15.75" customHeight="1">
      <c r="A13"/>
      <c r="B13" s="45"/>
      <c r="C13" s="42" t="s">
        <v>79</v>
      </c>
      <c r="D13" s="42" t="s">
        <v>89</v>
      </c>
      <c r="E13" s="43">
        <f>F13/G13</f>
      </c>
      <c r="F13" s="44">
        <f>SUM(H13:L13)</f>
      </c>
      <c r="G13" s="44">
        <f>SUM(H13:M13)</f>
      </c>
      <c r="H13" s="44">
        <f>COUNTIF('Login'!$M$60:$M$64,H$3)</f>
      </c>
      <c r="I13" s="44">
        <f>COUNTIF('Login'!$M$60:$M$64,I$3)</f>
      </c>
      <c r="J13" s="44">
        <f>COUNTIF('Login'!$M$60:$M$64,J$3)</f>
      </c>
      <c r="K13" s="44">
        <f>COUNTIF('Login'!$M$60:$M$64,K$3)</f>
      </c>
      <c r="L13" s="44">
        <f>COUNTIF('Login'!$M$60:$M$64,L$3)</f>
      </c>
      <c r="M13" s="44">
        <f>COUNTA('Login'!$G$60:$G$64)-SUM(H13:L13)</f>
      </c>
      <c r="N13" s="43">
        <f>O13/P13</f>
      </c>
      <c r="O13" s="44">
        <f>SUM(Q13:U13)</f>
      </c>
      <c r="P13" s="44">
        <f>SUM(Q13:V13)</f>
      </c>
      <c r="Q13" s="44">
        <f>COUNTIF('Login'!$R$60:$R$64,Q$3)</f>
      </c>
      <c r="R13" s="44">
        <f>COUNTIF('Login'!$R$60:$R$64,R$3)</f>
      </c>
      <c r="S13" s="44">
        <f>COUNTIF('Login'!$R$60:$R$64,S$3)</f>
      </c>
      <c r="T13" s="44">
        <f>COUNTIF('Login'!$R$60:$R$64,T$3)</f>
      </c>
      <c r="U13" s="44">
        <f>COUNTIF('Login'!$R$60:$R$64,U$3)</f>
      </c>
      <c r="V13" s="44">
        <f>COUNTA('Login'!$G$60:$G$64)-SUM(Q13:U13)</f>
      </c>
    </row>
    <row r="14" ht="15.75" customHeight="1">
      <c r="A14"/>
      <c r="B14" s="12"/>
      <c r="C14" s="46" t="s">
        <v>71</v>
      </c>
      <c r="D14" s="46"/>
      <c r="E14" s="47">
        <f>F14/G14</f>
      </c>
      <c r="F14" s="48">
        <f>SUM(H14:L14)</f>
      </c>
      <c r="G14" s="48">
        <f>SUM(H14:M14)</f>
      </c>
      <c r="H14" s="48">
        <f>SUM(H4:H13)</f>
      </c>
      <c r="I14" s="48">
        <f>SUM(I4:I13)</f>
      </c>
      <c r="J14" s="48">
        <f>SUM(J4:J13)</f>
      </c>
      <c r="K14" s="48">
        <f>SUM(K4:K13)</f>
      </c>
      <c r="L14" s="48">
        <f>SUM(L4:L13)</f>
      </c>
      <c r="M14" s="48">
        <f>SUM(M4:M13)</f>
      </c>
      <c r="N14" s="47">
        <f>O14/P14</f>
      </c>
      <c r="O14" s="48">
        <f>SUM(Q14:U14)</f>
      </c>
      <c r="P14" s="48">
        <f>SUM(Q14:V14)</f>
      </c>
      <c r="Q14" s="48">
        <f>SUM(Q4:Q13)</f>
      </c>
      <c r="R14" s="48">
        <f>SUM(R4:R13)</f>
      </c>
      <c r="S14" s="48">
        <f>SUM(S4:S13)</f>
      </c>
      <c r="T14" s="48">
        <f>SUM(T4:T13)</f>
      </c>
      <c r="U14" s="48">
        <f>SUM(U4:U13)</f>
      </c>
      <c r="V14" s="48">
        <f>SUM(V4:V13)</f>
      </c>
    </row>
    <row r="15" ht="15.75" customHeight="1">
      <c r="A15"/>
      <c r="B15" s="41" t="s">
        <v>43</v>
      </c>
      <c r="C15" s="42" t="s">
        <v>80</v>
      </c>
      <c r="D15" s="42" t="s">
        <v>90</v>
      </c>
      <c r="E15" s="43">
        <f>F15/G15</f>
      </c>
      <c r="F15" s="44">
        <f>SUM(H15:L15)</f>
      </c>
      <c r="G15" s="44">
        <f>SUM(H15:M15)</f>
      </c>
      <c r="H15" s="44">
        <f>COUNTIF('Scopes'!$M$13:$M$14,H$3)</f>
      </c>
      <c r="I15" s="44">
        <f>COUNTIF('Scopes'!$M$13:$M$14,I$3)</f>
      </c>
      <c r="J15" s="44">
        <f>COUNTIF('Scopes'!$M$13:$M$14,J$3)</f>
      </c>
      <c r="K15" s="44">
        <f>COUNTIF('Scopes'!$M$13:$M$14,K$3)</f>
      </c>
      <c r="L15" s="44">
        <f>COUNTIF('Scopes'!$M$13:$M$14,L$3)</f>
      </c>
      <c r="M15" s="44">
        <f>COUNTA('Scopes'!$G$13:$G$14)-SUM(H15:L15)</f>
      </c>
      <c r="N15" s="43">
        <f>O15/P15</f>
      </c>
      <c r="O15" s="44">
        <f>SUM(Q15:U15)</f>
      </c>
      <c r="P15" s="44">
        <f>SUM(Q15:V15)</f>
      </c>
      <c r="Q15" s="44">
        <f>COUNTIF('Scopes'!$R$13:$R$14,Q$3)</f>
      </c>
      <c r="R15" s="44">
        <f>COUNTIF('Scopes'!$R$13:$R$14,R$3)</f>
      </c>
      <c r="S15" s="44">
        <f>COUNTIF('Scopes'!$R$13:$R$14,S$3)</f>
      </c>
      <c r="T15" s="44">
        <f>COUNTIF('Scopes'!$R$13:$R$14,T$3)</f>
      </c>
      <c r="U15" s="44">
        <f>COUNTIF('Scopes'!$R$13:$R$14,U$3)</f>
      </c>
      <c r="V15" s="44">
        <f>COUNTA('Scopes'!$G$13:$G$14)-SUM(Q15:U15)</f>
      </c>
    </row>
    <row r="16" ht="15.75" customHeight="1">
      <c r="A16"/>
      <c r="B16" s="45"/>
      <c r="C16" s="42" t="s">
        <v>80</v>
      </c>
      <c r="D16" s="42" t="s">
        <v>91</v>
      </c>
      <c r="E16" s="43">
        <f>F16/G16</f>
      </c>
      <c r="F16" s="44">
        <f>SUM(H16:L16)</f>
      </c>
      <c r="G16" s="44">
        <f>SUM(H16:M16)</f>
      </c>
      <c r="H16" s="44">
        <f>COUNTIF('Scopes'!$M$15:$M$17,H$3)</f>
      </c>
      <c r="I16" s="44">
        <f>COUNTIF('Scopes'!$M$15:$M$17,I$3)</f>
      </c>
      <c r="J16" s="44">
        <f>COUNTIF('Scopes'!$M$15:$M$17,J$3)</f>
      </c>
      <c r="K16" s="44">
        <f>COUNTIF('Scopes'!$M$15:$M$17,K$3)</f>
      </c>
      <c r="L16" s="44">
        <f>COUNTIF('Scopes'!$M$15:$M$17,L$3)</f>
      </c>
      <c r="M16" s="44">
        <f>COUNTA('Scopes'!$G$15:$G$17)-SUM(H16:L16)</f>
      </c>
      <c r="N16" s="43">
        <f>O16/P16</f>
      </c>
      <c r="O16" s="44">
        <f>SUM(Q16:U16)</f>
      </c>
      <c r="P16" s="44">
        <f>SUM(Q16:V16)</f>
      </c>
      <c r="Q16" s="44">
        <f>COUNTIF('Scopes'!$R$15:$R$17,Q$3)</f>
      </c>
      <c r="R16" s="44">
        <f>COUNTIF('Scopes'!$R$15:$R$17,R$3)</f>
      </c>
      <c r="S16" s="44">
        <f>COUNTIF('Scopes'!$R$15:$R$17,S$3)</f>
      </c>
      <c r="T16" s="44">
        <f>COUNTIF('Scopes'!$R$15:$R$17,T$3)</f>
      </c>
      <c r="U16" s="44">
        <f>COUNTIF('Scopes'!$R$15:$R$17,U$3)</f>
      </c>
      <c r="V16" s="44">
        <f>COUNTA('Scopes'!$G$15:$G$17)-SUM(Q16:U16)</f>
      </c>
    </row>
    <row r="17" ht="15.75" customHeight="1">
      <c r="A17"/>
      <c r="B17" s="45"/>
      <c r="C17" s="42" t="s">
        <v>92</v>
      </c>
      <c r="D17" s="42" t="s">
        <v>93</v>
      </c>
      <c r="E17" s="43">
        <f>F17/G17</f>
      </c>
      <c r="F17" s="44">
        <f>SUM(H17:L17)</f>
      </c>
      <c r="G17" s="44">
        <f>SUM(H17:M17)</f>
      </c>
      <c r="H17" s="44">
        <f>COUNTIF('Scopes'!$M$18:$M$18,H$3)</f>
      </c>
      <c r="I17" s="44">
        <f>COUNTIF('Scopes'!$M$18:$M$18,I$3)</f>
      </c>
      <c r="J17" s="44">
        <f>COUNTIF('Scopes'!$M$18:$M$18,J$3)</f>
      </c>
      <c r="K17" s="44">
        <f>COUNTIF('Scopes'!$M$18:$M$18,K$3)</f>
      </c>
      <c r="L17" s="44">
        <f>COUNTIF('Scopes'!$M$18:$M$18,L$3)</f>
      </c>
      <c r="M17" s="44">
        <f>COUNTA('Scopes'!$G$18:$G$18)-SUM(H17:L17)</f>
      </c>
      <c r="N17" s="43">
        <f>O17/P17</f>
      </c>
      <c r="O17" s="44">
        <f>SUM(Q17:U17)</f>
      </c>
      <c r="P17" s="44">
        <f>SUM(Q17:V17)</f>
      </c>
      <c r="Q17" s="44">
        <f>COUNTIF('Scopes'!$R$18:$R$18,Q$3)</f>
      </c>
      <c r="R17" s="44">
        <f>COUNTIF('Scopes'!$R$18:$R$18,R$3)</f>
      </c>
      <c r="S17" s="44">
        <f>COUNTIF('Scopes'!$R$18:$R$18,S$3)</f>
      </c>
      <c r="T17" s="44">
        <f>COUNTIF('Scopes'!$R$18:$R$18,T$3)</f>
      </c>
      <c r="U17" s="44">
        <f>COUNTIF('Scopes'!$R$18:$R$18,U$3)</f>
      </c>
      <c r="V17" s="44">
        <f>COUNTA('Scopes'!$G$18:$G$18)-SUM(Q17:U17)</f>
      </c>
    </row>
    <row r="18" ht="15.75" customHeight="1">
      <c r="A18"/>
      <c r="B18" s="45"/>
      <c r="C18" s="42" t="s">
        <v>92</v>
      </c>
      <c r="D18" s="42" t="s">
        <v>94</v>
      </c>
      <c r="E18" s="43">
        <f>F18/G18</f>
      </c>
      <c r="F18" s="44">
        <f>SUM(H18:L18)</f>
      </c>
      <c r="G18" s="44">
        <f>SUM(H18:M18)</f>
      </c>
      <c r="H18" s="44">
        <f>COUNTIF('Scopes'!$M$19:$M$19,H$3)</f>
      </c>
      <c r="I18" s="44">
        <f>COUNTIF('Scopes'!$M$19:$M$19,I$3)</f>
      </c>
      <c r="J18" s="44">
        <f>COUNTIF('Scopes'!$M$19:$M$19,J$3)</f>
      </c>
      <c r="K18" s="44">
        <f>COUNTIF('Scopes'!$M$19:$M$19,K$3)</f>
      </c>
      <c r="L18" s="44">
        <f>COUNTIF('Scopes'!$M$19:$M$19,L$3)</f>
      </c>
      <c r="M18" s="44">
        <f>COUNTA('Scopes'!$G$19:$G$19)-SUM(H18:L18)</f>
      </c>
      <c r="N18" s="43">
        <f>O18/P18</f>
      </c>
      <c r="O18" s="44">
        <f>SUM(Q18:U18)</f>
      </c>
      <c r="P18" s="44">
        <f>SUM(Q18:V18)</f>
      </c>
      <c r="Q18" s="44">
        <f>COUNTIF('Scopes'!$R$19:$R$19,Q$3)</f>
      </c>
      <c r="R18" s="44">
        <f>COUNTIF('Scopes'!$R$19:$R$19,R$3)</f>
      </c>
      <c r="S18" s="44">
        <f>COUNTIF('Scopes'!$R$19:$R$19,S$3)</f>
      </c>
      <c r="T18" s="44">
        <f>COUNTIF('Scopes'!$R$19:$R$19,T$3)</f>
      </c>
      <c r="U18" s="44">
        <f>COUNTIF('Scopes'!$R$19:$R$19,U$3)</f>
      </c>
      <c r="V18" s="44">
        <f>COUNTA('Scopes'!$G$19:$G$19)-SUM(Q18:U18)</f>
      </c>
    </row>
    <row r="19" ht="15.75" customHeight="1">
      <c r="A19"/>
      <c r="B19" s="45"/>
      <c r="C19" s="42" t="s">
        <v>92</v>
      </c>
      <c r="D19" s="42" t="s">
        <v>95</v>
      </c>
      <c r="E19" s="43">
        <f>F19/G19</f>
      </c>
      <c r="F19" s="44">
        <f>SUM(H19:L19)</f>
      </c>
      <c r="G19" s="44">
        <f>SUM(H19:M19)</f>
      </c>
      <c r="H19" s="44">
        <f>COUNTIF('Scopes'!$M$20:$M$39,H$3)</f>
      </c>
      <c r="I19" s="44">
        <f>COUNTIF('Scopes'!$M$20:$M$39,I$3)</f>
      </c>
      <c r="J19" s="44">
        <f>COUNTIF('Scopes'!$M$20:$M$39,J$3)</f>
      </c>
      <c r="K19" s="44">
        <f>COUNTIF('Scopes'!$M$20:$M$39,K$3)</f>
      </c>
      <c r="L19" s="44">
        <f>COUNTIF('Scopes'!$M$20:$M$39,L$3)</f>
      </c>
      <c r="M19" s="44">
        <f>COUNTA('Scopes'!$G$20:$G$39)-SUM(H19:L19)</f>
      </c>
      <c r="N19" s="43">
        <f>O19/P19</f>
      </c>
      <c r="O19" s="44">
        <f>SUM(Q19:U19)</f>
      </c>
      <c r="P19" s="44">
        <f>SUM(Q19:V19)</f>
      </c>
      <c r="Q19" s="44">
        <f>COUNTIF('Scopes'!$R$20:$R$39,Q$3)</f>
      </c>
      <c r="R19" s="44">
        <f>COUNTIF('Scopes'!$R$20:$R$39,R$3)</f>
      </c>
      <c r="S19" s="44">
        <f>COUNTIF('Scopes'!$R$20:$R$39,S$3)</f>
      </c>
      <c r="T19" s="44">
        <f>COUNTIF('Scopes'!$R$20:$R$39,T$3)</f>
      </c>
      <c r="U19" s="44">
        <f>COUNTIF('Scopes'!$R$20:$R$39,U$3)</f>
      </c>
      <c r="V19" s="44">
        <f>COUNTA('Scopes'!$G$20:$G$39)-SUM(Q19:U19)</f>
      </c>
    </row>
    <row r="20" ht="15.75" customHeight="1">
      <c r="A20"/>
      <c r="B20" s="45"/>
      <c r="C20" s="42" t="s">
        <v>92</v>
      </c>
      <c r="D20" s="42" t="s">
        <v>96</v>
      </c>
      <c r="E20" s="43">
        <f>F20/G20</f>
      </c>
      <c r="F20" s="44">
        <f>SUM(H20:L20)</f>
      </c>
      <c r="G20" s="44">
        <f>SUM(H20:M20)</f>
      </c>
      <c r="H20" s="44">
        <f>COUNTIF('Scopes'!$M$40:$M$46,H$3)</f>
      </c>
      <c r="I20" s="44">
        <f>COUNTIF('Scopes'!$M$40:$M$46,I$3)</f>
      </c>
      <c r="J20" s="44">
        <f>COUNTIF('Scopes'!$M$40:$M$46,J$3)</f>
      </c>
      <c r="K20" s="44">
        <f>COUNTIF('Scopes'!$M$40:$M$46,K$3)</f>
      </c>
      <c r="L20" s="44">
        <f>COUNTIF('Scopes'!$M$40:$M$46,L$3)</f>
      </c>
      <c r="M20" s="44">
        <f>COUNTA('Scopes'!$G$40:$G$46)-SUM(H20:L20)</f>
      </c>
      <c r="N20" s="43">
        <f>O20/P20</f>
      </c>
      <c r="O20" s="44">
        <f>SUM(Q20:U20)</f>
      </c>
      <c r="P20" s="44">
        <f>SUM(Q20:V20)</f>
      </c>
      <c r="Q20" s="44">
        <f>COUNTIF('Scopes'!$R$40:$R$46,Q$3)</f>
      </c>
      <c r="R20" s="44">
        <f>COUNTIF('Scopes'!$R$40:$R$46,R$3)</f>
      </c>
      <c r="S20" s="44">
        <f>COUNTIF('Scopes'!$R$40:$R$46,S$3)</f>
      </c>
      <c r="T20" s="44">
        <f>COUNTIF('Scopes'!$R$40:$R$46,T$3)</f>
      </c>
      <c r="U20" s="44">
        <f>COUNTIF('Scopes'!$R$40:$R$46,U$3)</f>
      </c>
      <c r="V20" s="44">
        <f>COUNTA('Scopes'!$G$40:$G$46)-SUM(Q20:U20)</f>
      </c>
    </row>
    <row r="21" ht="15.75" customHeight="1">
      <c r="A21"/>
      <c r="B21" s="45"/>
      <c r="C21" s="42" t="s">
        <v>92</v>
      </c>
      <c r="D21" s="42" t="s">
        <v>97</v>
      </c>
      <c r="E21" s="43">
        <f>F21/G21</f>
      </c>
      <c r="F21" s="44">
        <f>SUM(H21:L21)</f>
      </c>
      <c r="G21" s="44">
        <f>SUM(H21:M21)</f>
      </c>
      <c r="H21" s="44">
        <f>COUNTIF('Scopes'!$M$47:$M$68,H$3)</f>
      </c>
      <c r="I21" s="44">
        <f>COUNTIF('Scopes'!$M$47:$M$68,I$3)</f>
      </c>
      <c r="J21" s="44">
        <f>COUNTIF('Scopes'!$M$47:$M$68,J$3)</f>
      </c>
      <c r="K21" s="44">
        <f>COUNTIF('Scopes'!$M$47:$M$68,K$3)</f>
      </c>
      <c r="L21" s="44">
        <f>COUNTIF('Scopes'!$M$47:$M$68,L$3)</f>
      </c>
      <c r="M21" s="44">
        <f>COUNTA('Scopes'!$G$47:$G$68)-SUM(H21:L21)</f>
      </c>
      <c r="N21" s="43">
        <f>O21/P21</f>
      </c>
      <c r="O21" s="44">
        <f>SUM(Q21:U21)</f>
      </c>
      <c r="P21" s="44">
        <f>SUM(Q21:V21)</f>
      </c>
      <c r="Q21" s="44">
        <f>COUNTIF('Scopes'!$R$47:$R$68,Q$3)</f>
      </c>
      <c r="R21" s="44">
        <f>COUNTIF('Scopes'!$R$47:$R$68,R$3)</f>
      </c>
      <c r="S21" s="44">
        <f>COUNTIF('Scopes'!$R$47:$R$68,S$3)</f>
      </c>
      <c r="T21" s="44">
        <f>COUNTIF('Scopes'!$R$47:$R$68,T$3)</f>
      </c>
      <c r="U21" s="44">
        <f>COUNTIF('Scopes'!$R$47:$R$68,U$3)</f>
      </c>
      <c r="V21" s="44">
        <f>COUNTA('Scopes'!$G$47:$G$68)-SUM(Q21:U21)</f>
      </c>
    </row>
    <row r="22" ht="15.75" customHeight="1">
      <c r="A22"/>
      <c r="B22" s="45"/>
      <c r="C22" s="42" t="s">
        <v>92</v>
      </c>
      <c r="D22" s="42" t="s">
        <v>98</v>
      </c>
      <c r="E22" s="43">
        <f>F22/G22</f>
      </c>
      <c r="F22" s="44">
        <f>SUM(H22:L22)</f>
      </c>
      <c r="G22" s="44">
        <f>SUM(H22:M22)</f>
      </c>
      <c r="H22" s="44">
        <f>COUNTIF('Scopes'!$M$69:$M$73,H$3)</f>
      </c>
      <c r="I22" s="44">
        <f>COUNTIF('Scopes'!$M$69:$M$73,I$3)</f>
      </c>
      <c r="J22" s="44">
        <f>COUNTIF('Scopes'!$M$69:$M$73,J$3)</f>
      </c>
      <c r="K22" s="44">
        <f>COUNTIF('Scopes'!$M$69:$M$73,K$3)</f>
      </c>
      <c r="L22" s="44">
        <f>COUNTIF('Scopes'!$M$69:$M$73,L$3)</f>
      </c>
      <c r="M22" s="44">
        <f>COUNTA('Scopes'!$G$69:$G$73)-SUM(H22:L22)</f>
      </c>
      <c r="N22" s="43">
        <f>O22/P22</f>
      </c>
      <c r="O22" s="44">
        <f>SUM(Q22:U22)</f>
      </c>
      <c r="P22" s="44">
        <f>SUM(Q22:V22)</f>
      </c>
      <c r="Q22" s="44">
        <f>COUNTIF('Scopes'!$R$69:$R$73,Q$3)</f>
      </c>
      <c r="R22" s="44">
        <f>COUNTIF('Scopes'!$R$69:$R$73,R$3)</f>
      </c>
      <c r="S22" s="44">
        <f>COUNTIF('Scopes'!$R$69:$R$73,S$3)</f>
      </c>
      <c r="T22" s="44">
        <f>COUNTIF('Scopes'!$R$69:$R$73,T$3)</f>
      </c>
      <c r="U22" s="44">
        <f>COUNTIF('Scopes'!$R$69:$R$73,U$3)</f>
      </c>
      <c r="V22" s="44">
        <f>COUNTA('Scopes'!$G$69:$G$73)-SUM(Q22:U22)</f>
      </c>
    </row>
    <row r="23" ht="15.75" customHeight="1">
      <c r="A23"/>
      <c r="B23" s="45"/>
      <c r="C23" s="42" t="s">
        <v>99</v>
      </c>
      <c r="D23" s="42" t="s">
        <v>100</v>
      </c>
      <c r="E23" s="43">
        <f>F23/G23</f>
      </c>
      <c r="F23" s="44">
        <f>SUM(H23:L23)</f>
      </c>
      <c r="G23" s="44">
        <f>SUM(H23:M23)</f>
      </c>
      <c r="H23" s="44">
        <f>COUNTIF('Scopes'!$M$74:$M$80,H$3)</f>
      </c>
      <c r="I23" s="44">
        <f>COUNTIF('Scopes'!$M$74:$M$80,I$3)</f>
      </c>
      <c r="J23" s="44">
        <f>COUNTIF('Scopes'!$M$74:$M$80,J$3)</f>
      </c>
      <c r="K23" s="44">
        <f>COUNTIF('Scopes'!$M$74:$M$80,K$3)</f>
      </c>
      <c r="L23" s="44">
        <f>COUNTIF('Scopes'!$M$74:$M$80,L$3)</f>
      </c>
      <c r="M23" s="44">
        <f>COUNTA('Scopes'!$G$74:$G$80)-SUM(H23:L23)</f>
      </c>
      <c r="N23" s="43">
        <f>O23/P23</f>
      </c>
      <c r="O23" s="44">
        <f>SUM(Q23:U23)</f>
      </c>
      <c r="P23" s="44">
        <f>SUM(Q23:V23)</f>
      </c>
      <c r="Q23" s="44">
        <f>COUNTIF('Scopes'!$R$74:$R$80,Q$3)</f>
      </c>
      <c r="R23" s="44">
        <f>COUNTIF('Scopes'!$R$74:$R$80,R$3)</f>
      </c>
      <c r="S23" s="44">
        <f>COUNTIF('Scopes'!$R$74:$R$80,S$3)</f>
      </c>
      <c r="T23" s="44">
        <f>COUNTIF('Scopes'!$R$74:$R$80,T$3)</f>
      </c>
      <c r="U23" s="44">
        <f>COUNTIF('Scopes'!$R$74:$R$80,U$3)</f>
      </c>
      <c r="V23" s="44">
        <f>COUNTA('Scopes'!$G$74:$G$80)-SUM(Q23:U23)</f>
      </c>
    </row>
    <row r="24" ht="15.75" customHeight="1">
      <c r="A24"/>
      <c r="B24" s="45"/>
      <c r="C24" s="42" t="s">
        <v>99</v>
      </c>
      <c r="D24" s="42" t="s">
        <v>101</v>
      </c>
      <c r="E24" s="43">
        <f>F24/G24</f>
      </c>
      <c r="F24" s="44">
        <f>SUM(H24:L24)</f>
      </c>
      <c r="G24" s="44">
        <f>SUM(H24:M24)</f>
      </c>
      <c r="H24" s="44">
        <f>COUNTIF('Scopes'!$M$81:$M$82,H$3)</f>
      </c>
      <c r="I24" s="44">
        <f>COUNTIF('Scopes'!$M$81:$M$82,I$3)</f>
      </c>
      <c r="J24" s="44">
        <f>COUNTIF('Scopes'!$M$81:$M$82,J$3)</f>
      </c>
      <c r="K24" s="44">
        <f>COUNTIF('Scopes'!$M$81:$M$82,K$3)</f>
      </c>
      <c r="L24" s="44">
        <f>COUNTIF('Scopes'!$M$81:$M$82,L$3)</f>
      </c>
      <c r="M24" s="44">
        <f>COUNTA('Scopes'!$G$81:$G$82)-SUM(H24:L24)</f>
      </c>
      <c r="N24" s="43">
        <f>O24/P24</f>
      </c>
      <c r="O24" s="44">
        <f>SUM(Q24:U24)</f>
      </c>
      <c r="P24" s="44">
        <f>SUM(Q24:V24)</f>
      </c>
      <c r="Q24" s="44">
        <f>COUNTIF('Scopes'!$R$81:$R$82,Q$3)</f>
      </c>
      <c r="R24" s="44">
        <f>COUNTIF('Scopes'!$R$81:$R$82,R$3)</f>
      </c>
      <c r="S24" s="44">
        <f>COUNTIF('Scopes'!$R$81:$R$82,S$3)</f>
      </c>
      <c r="T24" s="44">
        <f>COUNTIF('Scopes'!$R$81:$R$82,T$3)</f>
      </c>
      <c r="U24" s="44">
        <f>COUNTIF('Scopes'!$R$81:$R$82,U$3)</f>
      </c>
      <c r="V24" s="44">
        <f>COUNTA('Scopes'!$G$81:$G$82)-SUM(Q24:U24)</f>
      </c>
    </row>
    <row r="25" ht="15.75" customHeight="1">
      <c r="A25"/>
      <c r="B25" s="45"/>
      <c r="C25" s="42" t="s">
        <v>99</v>
      </c>
      <c r="D25" s="42" t="s">
        <v>102</v>
      </c>
      <c r="E25" s="43">
        <f>F25/G25</f>
      </c>
      <c r="F25" s="44">
        <f>SUM(H25:L25)</f>
      </c>
      <c r="G25" s="44">
        <f>SUM(H25:M25)</f>
      </c>
      <c r="H25" s="44">
        <f>COUNTIF('Scopes'!$M$83:$M$86,H$3)</f>
      </c>
      <c r="I25" s="44">
        <f>COUNTIF('Scopes'!$M$83:$M$86,I$3)</f>
      </c>
      <c r="J25" s="44">
        <f>COUNTIF('Scopes'!$M$83:$M$86,J$3)</f>
      </c>
      <c r="K25" s="44">
        <f>COUNTIF('Scopes'!$M$83:$M$86,K$3)</f>
      </c>
      <c r="L25" s="44">
        <f>COUNTIF('Scopes'!$M$83:$M$86,L$3)</f>
      </c>
      <c r="M25" s="44">
        <f>COUNTA('Scopes'!$G$83:$G$86)-SUM(H25:L25)</f>
      </c>
      <c r="N25" s="43">
        <f>O25/P25</f>
      </c>
      <c r="O25" s="44">
        <f>SUM(Q25:U25)</f>
      </c>
      <c r="P25" s="44">
        <f>SUM(Q25:V25)</f>
      </c>
      <c r="Q25" s="44">
        <f>COUNTIF('Scopes'!$R$83:$R$86,Q$3)</f>
      </c>
      <c r="R25" s="44">
        <f>COUNTIF('Scopes'!$R$83:$R$86,R$3)</f>
      </c>
      <c r="S25" s="44">
        <f>COUNTIF('Scopes'!$R$83:$R$86,S$3)</f>
      </c>
      <c r="T25" s="44">
        <f>COUNTIF('Scopes'!$R$83:$R$86,T$3)</f>
      </c>
      <c r="U25" s="44">
        <f>COUNTIF('Scopes'!$R$83:$R$86,U$3)</f>
      </c>
      <c r="V25" s="44">
        <f>COUNTA('Scopes'!$G$83:$G$86)-SUM(Q25:U25)</f>
      </c>
    </row>
    <row r="26" ht="15.75" customHeight="1">
      <c r="A26"/>
      <c r="B26" s="45"/>
      <c r="C26" s="42" t="s">
        <v>99</v>
      </c>
      <c r="D26" s="42" t="s">
        <v>103</v>
      </c>
      <c r="E26" s="43">
        <f>F26/G26</f>
      </c>
      <c r="F26" s="44">
        <f>SUM(H26:L26)</f>
      </c>
      <c r="G26" s="44">
        <f>SUM(H26:M26)</f>
      </c>
      <c r="H26" s="44">
        <f>COUNTIF('Scopes'!$M$87:$M$95,H$3)</f>
      </c>
      <c r="I26" s="44">
        <f>COUNTIF('Scopes'!$M$87:$M$95,I$3)</f>
      </c>
      <c r="J26" s="44">
        <f>COUNTIF('Scopes'!$M$87:$M$95,J$3)</f>
      </c>
      <c r="K26" s="44">
        <f>COUNTIF('Scopes'!$M$87:$M$95,K$3)</f>
      </c>
      <c r="L26" s="44">
        <f>COUNTIF('Scopes'!$M$87:$M$95,L$3)</f>
      </c>
      <c r="M26" s="44">
        <f>COUNTA('Scopes'!$G$87:$G$95)-SUM(H26:L26)</f>
      </c>
      <c r="N26" s="43">
        <f>O26/P26</f>
      </c>
      <c r="O26" s="44">
        <f>SUM(Q26:U26)</f>
      </c>
      <c r="P26" s="44">
        <f>SUM(Q26:V26)</f>
      </c>
      <c r="Q26" s="44">
        <f>COUNTIF('Scopes'!$R$87:$R$95,Q$3)</f>
      </c>
      <c r="R26" s="44">
        <f>COUNTIF('Scopes'!$R$87:$R$95,R$3)</f>
      </c>
      <c r="S26" s="44">
        <f>COUNTIF('Scopes'!$R$87:$R$95,S$3)</f>
      </c>
      <c r="T26" s="44">
        <f>COUNTIF('Scopes'!$R$87:$R$95,T$3)</f>
      </c>
      <c r="U26" s="44">
        <f>COUNTIF('Scopes'!$R$87:$R$95,U$3)</f>
      </c>
      <c r="V26" s="44">
        <f>COUNTA('Scopes'!$G$87:$G$95)-SUM(Q26:U26)</f>
      </c>
    </row>
    <row r="27" ht="15.75" customHeight="1">
      <c r="A27"/>
      <c r="B27" s="45"/>
      <c r="C27" s="42" t="s">
        <v>99</v>
      </c>
      <c r="D27" s="42" t="s">
        <v>104</v>
      </c>
      <c r="E27" s="43">
        <f>F27/G27</f>
      </c>
      <c r="F27" s="44">
        <f>SUM(H27:L27)</f>
      </c>
      <c r="G27" s="44">
        <f>SUM(H27:M27)</f>
      </c>
      <c r="H27" s="44">
        <f>COUNTIF('Scopes'!$M$96:$M$107,H$3)</f>
      </c>
      <c r="I27" s="44">
        <f>COUNTIF('Scopes'!$M$96:$M$107,I$3)</f>
      </c>
      <c r="J27" s="44">
        <f>COUNTIF('Scopes'!$M$96:$M$107,J$3)</f>
      </c>
      <c r="K27" s="44">
        <f>COUNTIF('Scopes'!$M$96:$M$107,K$3)</f>
      </c>
      <c r="L27" s="44">
        <f>COUNTIF('Scopes'!$M$96:$M$107,L$3)</f>
      </c>
      <c r="M27" s="44">
        <f>COUNTA('Scopes'!$G$96:$G$107)-SUM(H27:L27)</f>
      </c>
      <c r="N27" s="43">
        <f>O27/P27</f>
      </c>
      <c r="O27" s="44">
        <f>SUM(Q27:U27)</f>
      </c>
      <c r="P27" s="44">
        <f>SUM(Q27:V27)</f>
      </c>
      <c r="Q27" s="44">
        <f>COUNTIF('Scopes'!$R$96:$R$107,Q$3)</f>
      </c>
      <c r="R27" s="44">
        <f>COUNTIF('Scopes'!$R$96:$R$107,R$3)</f>
      </c>
      <c r="S27" s="44">
        <f>COUNTIF('Scopes'!$R$96:$R$107,S$3)</f>
      </c>
      <c r="T27" s="44">
        <f>COUNTIF('Scopes'!$R$96:$R$107,T$3)</f>
      </c>
      <c r="U27" s="44">
        <f>COUNTIF('Scopes'!$R$96:$R$107,U$3)</f>
      </c>
      <c r="V27" s="44">
        <f>COUNTA('Scopes'!$G$96:$G$107)-SUM(Q27:U27)</f>
      </c>
    </row>
    <row r="28" ht="15.75" customHeight="1">
      <c r="A28"/>
      <c r="B28" s="45"/>
      <c r="C28" s="42" t="s">
        <v>99</v>
      </c>
      <c r="D28" s="42" t="s">
        <v>105</v>
      </c>
      <c r="E28" s="43">
        <f>F28/G28</f>
      </c>
      <c r="F28" s="44">
        <f>SUM(H28:L28)</f>
      </c>
      <c r="G28" s="44">
        <f>SUM(H28:M28)</f>
      </c>
      <c r="H28" s="44">
        <f>COUNTIF('Scopes'!$M$108:$M$119,H$3)</f>
      </c>
      <c r="I28" s="44">
        <f>COUNTIF('Scopes'!$M$108:$M$119,I$3)</f>
      </c>
      <c r="J28" s="44">
        <f>COUNTIF('Scopes'!$M$108:$M$119,J$3)</f>
      </c>
      <c r="K28" s="44">
        <f>COUNTIF('Scopes'!$M$108:$M$119,K$3)</f>
      </c>
      <c r="L28" s="44">
        <f>COUNTIF('Scopes'!$M$108:$M$119,L$3)</f>
      </c>
      <c r="M28" s="44">
        <f>COUNTA('Scopes'!$G$108:$G$119)-SUM(H28:L28)</f>
      </c>
      <c r="N28" s="43">
        <f>O28/P28</f>
      </c>
      <c r="O28" s="44">
        <f>SUM(Q28:U28)</f>
      </c>
      <c r="P28" s="44">
        <f>SUM(Q28:V28)</f>
      </c>
      <c r="Q28" s="44">
        <f>COUNTIF('Scopes'!$R$108:$R$119,Q$3)</f>
      </c>
      <c r="R28" s="44">
        <f>COUNTIF('Scopes'!$R$108:$R$119,R$3)</f>
      </c>
      <c r="S28" s="44">
        <f>COUNTIF('Scopes'!$R$108:$R$119,S$3)</f>
      </c>
      <c r="T28" s="44">
        <f>COUNTIF('Scopes'!$R$108:$R$119,T$3)</f>
      </c>
      <c r="U28" s="44">
        <f>COUNTIF('Scopes'!$R$108:$R$119,U$3)</f>
      </c>
      <c r="V28" s="44">
        <f>COUNTA('Scopes'!$G$108:$G$119)-SUM(Q28:U28)</f>
      </c>
    </row>
    <row r="29" ht="15.75" customHeight="1">
      <c r="A29"/>
      <c r="B29" s="45"/>
      <c r="C29" s="42" t="s">
        <v>99</v>
      </c>
      <c r="D29" s="42" t="s">
        <v>106</v>
      </c>
      <c r="E29" s="43">
        <f>F29/G29</f>
      </c>
      <c r="F29" s="44">
        <f>SUM(H29:L29)</f>
      </c>
      <c r="G29" s="44">
        <f>SUM(H29:M29)</f>
      </c>
      <c r="H29" s="44">
        <f>COUNTIF('Scopes'!$M$120:$M$125,H$3)</f>
      </c>
      <c r="I29" s="44">
        <f>COUNTIF('Scopes'!$M$120:$M$125,I$3)</f>
      </c>
      <c r="J29" s="44">
        <f>COUNTIF('Scopes'!$M$120:$M$125,J$3)</f>
      </c>
      <c r="K29" s="44">
        <f>COUNTIF('Scopes'!$M$120:$M$125,K$3)</f>
      </c>
      <c r="L29" s="44">
        <f>COUNTIF('Scopes'!$M$120:$M$125,L$3)</f>
      </c>
      <c r="M29" s="44">
        <f>COUNTA('Scopes'!$G$120:$G$125)-SUM(H29:L29)</f>
      </c>
      <c r="N29" s="43">
        <f>O29/P29</f>
      </c>
      <c r="O29" s="44">
        <f>SUM(Q29:U29)</f>
      </c>
      <c r="P29" s="44">
        <f>SUM(Q29:V29)</f>
      </c>
      <c r="Q29" s="44">
        <f>COUNTIF('Scopes'!$R$120:$R$125,Q$3)</f>
      </c>
      <c r="R29" s="44">
        <f>COUNTIF('Scopes'!$R$120:$R$125,R$3)</f>
      </c>
      <c r="S29" s="44">
        <f>COUNTIF('Scopes'!$R$120:$R$125,S$3)</f>
      </c>
      <c r="T29" s="44">
        <f>COUNTIF('Scopes'!$R$120:$R$125,T$3)</f>
      </c>
      <c r="U29" s="44">
        <f>COUNTIF('Scopes'!$R$120:$R$125,U$3)</f>
      </c>
      <c r="V29" s="44">
        <f>COUNTA('Scopes'!$G$120:$G$125)-SUM(Q29:U29)</f>
      </c>
    </row>
    <row r="30" ht="15.75" customHeight="1">
      <c r="A30"/>
      <c r="B30" s="45"/>
      <c r="C30" s="42" t="s">
        <v>99</v>
      </c>
      <c r="D30" s="42" t="s">
        <v>107</v>
      </c>
      <c r="E30" s="43">
        <f>F30/G30</f>
      </c>
      <c r="F30" s="44">
        <f>SUM(H30:L30)</f>
      </c>
      <c r="G30" s="44">
        <f>SUM(H30:M30)</f>
      </c>
      <c r="H30" s="44">
        <f>COUNTIF('Scopes'!$M$126:$M$128,H$3)</f>
      </c>
      <c r="I30" s="44">
        <f>COUNTIF('Scopes'!$M$126:$M$128,I$3)</f>
      </c>
      <c r="J30" s="44">
        <f>COUNTIF('Scopes'!$M$126:$M$128,J$3)</f>
      </c>
      <c r="K30" s="44">
        <f>COUNTIF('Scopes'!$M$126:$M$128,K$3)</f>
      </c>
      <c r="L30" s="44">
        <f>COUNTIF('Scopes'!$M$126:$M$128,L$3)</f>
      </c>
      <c r="M30" s="44">
        <f>COUNTA('Scopes'!$G$126:$G$128)-SUM(H30:L30)</f>
      </c>
      <c r="N30" s="43">
        <f>O30/P30</f>
      </c>
      <c r="O30" s="44">
        <f>SUM(Q30:U30)</f>
      </c>
      <c r="P30" s="44">
        <f>SUM(Q30:V30)</f>
      </c>
      <c r="Q30" s="44">
        <f>COUNTIF('Scopes'!$R$126:$R$128,Q$3)</f>
      </c>
      <c r="R30" s="44">
        <f>COUNTIF('Scopes'!$R$126:$R$128,R$3)</f>
      </c>
      <c r="S30" s="44">
        <f>COUNTIF('Scopes'!$R$126:$R$128,S$3)</f>
      </c>
      <c r="T30" s="44">
        <f>COUNTIF('Scopes'!$R$126:$R$128,T$3)</f>
      </c>
      <c r="U30" s="44">
        <f>COUNTIF('Scopes'!$R$126:$R$128,U$3)</f>
      </c>
      <c r="V30" s="44">
        <f>COUNTA('Scopes'!$G$126:$G$128)-SUM(Q30:U30)</f>
      </c>
    </row>
    <row r="31" ht="15.75" customHeight="1">
      <c r="A31"/>
      <c r="B31" s="45"/>
      <c r="C31" s="42" t="s">
        <v>99</v>
      </c>
      <c r="D31" s="42" t="s">
        <v>108</v>
      </c>
      <c r="E31" s="43">
        <f>F31/G31</f>
      </c>
      <c r="F31" s="44">
        <f>SUM(H31:L31)</f>
      </c>
      <c r="G31" s="44">
        <f>SUM(H31:M31)</f>
      </c>
      <c r="H31" s="44">
        <f>COUNTIF('Scopes'!$M$129:$M$136,H$3)</f>
      </c>
      <c r="I31" s="44">
        <f>COUNTIF('Scopes'!$M$129:$M$136,I$3)</f>
      </c>
      <c r="J31" s="44">
        <f>COUNTIF('Scopes'!$M$129:$M$136,J$3)</f>
      </c>
      <c r="K31" s="44">
        <f>COUNTIF('Scopes'!$M$129:$M$136,K$3)</f>
      </c>
      <c r="L31" s="44">
        <f>COUNTIF('Scopes'!$M$129:$M$136,L$3)</f>
      </c>
      <c r="M31" s="44">
        <f>COUNTA('Scopes'!$G$129:$G$136)-SUM(H31:L31)</f>
      </c>
      <c r="N31" s="43">
        <f>O31/P31</f>
      </c>
      <c r="O31" s="44">
        <f>SUM(Q31:U31)</f>
      </c>
      <c r="P31" s="44">
        <f>SUM(Q31:V31)</f>
      </c>
      <c r="Q31" s="44">
        <f>COUNTIF('Scopes'!$R$129:$R$136,Q$3)</f>
      </c>
      <c r="R31" s="44">
        <f>COUNTIF('Scopes'!$R$129:$R$136,R$3)</f>
      </c>
      <c r="S31" s="44">
        <f>COUNTIF('Scopes'!$R$129:$R$136,S$3)</f>
      </c>
      <c r="T31" s="44">
        <f>COUNTIF('Scopes'!$R$129:$R$136,T$3)</f>
      </c>
      <c r="U31" s="44">
        <f>COUNTIF('Scopes'!$R$129:$R$136,U$3)</f>
      </c>
      <c r="V31" s="44">
        <f>COUNTA('Scopes'!$G$129:$G$136)-SUM(Q31:U31)</f>
      </c>
    </row>
    <row r="32" ht="15.75" customHeight="1">
      <c r="A32"/>
      <c r="B32" s="45"/>
      <c r="C32" s="42" t="s">
        <v>99</v>
      </c>
      <c r="D32" s="42" t="s">
        <v>109</v>
      </c>
      <c r="E32" s="43">
        <f>F32/G32</f>
      </c>
      <c r="F32" s="44">
        <f>SUM(H32:L32)</f>
      </c>
      <c r="G32" s="44">
        <f>SUM(H32:M32)</f>
      </c>
      <c r="H32" s="44">
        <f>COUNTIF('Scopes'!$M$137:$M$137,H$3)</f>
      </c>
      <c r="I32" s="44">
        <f>COUNTIF('Scopes'!$M$137:$M$137,I$3)</f>
      </c>
      <c r="J32" s="44">
        <f>COUNTIF('Scopes'!$M$137:$M$137,J$3)</f>
      </c>
      <c r="K32" s="44">
        <f>COUNTIF('Scopes'!$M$137:$M$137,K$3)</f>
      </c>
      <c r="L32" s="44">
        <f>COUNTIF('Scopes'!$M$137:$M$137,L$3)</f>
      </c>
      <c r="M32" s="44">
        <f>COUNTA('Scopes'!$G$137:$G$137)-SUM(H32:L32)</f>
      </c>
      <c r="N32" s="43">
        <f>O32/P32</f>
      </c>
      <c r="O32" s="44">
        <f>SUM(Q32:U32)</f>
      </c>
      <c r="P32" s="44">
        <f>SUM(Q32:V32)</f>
      </c>
      <c r="Q32" s="44">
        <f>COUNTIF('Scopes'!$R$137:$R$137,Q$3)</f>
      </c>
      <c r="R32" s="44">
        <f>COUNTIF('Scopes'!$R$137:$R$137,R$3)</f>
      </c>
      <c r="S32" s="44">
        <f>COUNTIF('Scopes'!$R$137:$R$137,S$3)</f>
      </c>
      <c r="T32" s="44">
        <f>COUNTIF('Scopes'!$R$137:$R$137,T$3)</f>
      </c>
      <c r="U32" s="44">
        <f>COUNTIF('Scopes'!$R$137:$R$137,U$3)</f>
      </c>
      <c r="V32" s="44">
        <f>COUNTA('Scopes'!$G$137:$G$137)-SUM(Q32:U32)</f>
      </c>
    </row>
    <row r="33" ht="15.75" customHeight="1">
      <c r="A33"/>
      <c r="B33" s="45"/>
      <c r="C33" s="42" t="s">
        <v>110</v>
      </c>
      <c r="D33" s="42" t="s">
        <v>111</v>
      </c>
      <c r="E33" s="43">
        <f>F33/G33</f>
      </c>
      <c r="F33" s="44">
        <f>SUM(H33:L33)</f>
      </c>
      <c r="G33" s="44">
        <f>SUM(H33:M33)</f>
      </c>
      <c r="H33" s="44">
        <f>COUNTIF('Scopes'!$M$138:$M$141,H$3)</f>
      </c>
      <c r="I33" s="44">
        <f>COUNTIF('Scopes'!$M$138:$M$141,I$3)</f>
      </c>
      <c r="J33" s="44">
        <f>COUNTIF('Scopes'!$M$138:$M$141,J$3)</f>
      </c>
      <c r="K33" s="44">
        <f>COUNTIF('Scopes'!$M$138:$M$141,K$3)</f>
      </c>
      <c r="L33" s="44">
        <f>COUNTIF('Scopes'!$M$138:$M$141,L$3)</f>
      </c>
      <c r="M33" s="44">
        <f>COUNTA('Scopes'!$G$138:$G$141)-SUM(H33:L33)</f>
      </c>
      <c r="N33" s="43">
        <f>O33/P33</f>
      </c>
      <c r="O33" s="44">
        <f>SUM(Q33:U33)</f>
      </c>
      <c r="P33" s="44">
        <f>SUM(Q33:V33)</f>
      </c>
      <c r="Q33" s="44">
        <f>COUNTIF('Scopes'!$R$138:$R$141,Q$3)</f>
      </c>
      <c r="R33" s="44">
        <f>COUNTIF('Scopes'!$R$138:$R$141,R$3)</f>
      </c>
      <c r="S33" s="44">
        <f>COUNTIF('Scopes'!$R$138:$R$141,S$3)</f>
      </c>
      <c r="T33" s="44">
        <f>COUNTIF('Scopes'!$R$138:$R$141,T$3)</f>
      </c>
      <c r="U33" s="44">
        <f>COUNTIF('Scopes'!$R$138:$R$141,U$3)</f>
      </c>
      <c r="V33" s="44">
        <f>COUNTA('Scopes'!$G$138:$G$141)-SUM(Q33:U33)</f>
      </c>
    </row>
    <row r="34" ht="15.75" customHeight="1">
      <c r="A34"/>
      <c r="B34" s="45"/>
      <c r="C34" s="42" t="s">
        <v>110</v>
      </c>
      <c r="D34" s="42" t="s">
        <v>112</v>
      </c>
      <c r="E34" s="43">
        <f>F34/G34</f>
      </c>
      <c r="F34" s="44">
        <f>SUM(H34:L34)</f>
      </c>
      <c r="G34" s="44">
        <f>SUM(H34:M34)</f>
      </c>
      <c r="H34" s="44">
        <f>COUNTIF('Scopes'!$M$142:$M$142,H$3)</f>
      </c>
      <c r="I34" s="44">
        <f>COUNTIF('Scopes'!$M$142:$M$142,I$3)</f>
      </c>
      <c r="J34" s="44">
        <f>COUNTIF('Scopes'!$M$142:$M$142,J$3)</f>
      </c>
      <c r="K34" s="44">
        <f>COUNTIF('Scopes'!$M$142:$M$142,K$3)</f>
      </c>
      <c r="L34" s="44">
        <f>COUNTIF('Scopes'!$M$142:$M$142,L$3)</f>
      </c>
      <c r="M34" s="44">
        <f>COUNTA('Scopes'!$G$142:$G$142)-SUM(H34:L34)</f>
      </c>
      <c r="N34" s="43">
        <f>O34/P34</f>
      </c>
      <c r="O34" s="44">
        <f>SUM(Q34:U34)</f>
      </c>
      <c r="P34" s="44">
        <f>SUM(Q34:V34)</f>
      </c>
      <c r="Q34" s="44">
        <f>COUNTIF('Scopes'!$R$142:$R$142,Q$3)</f>
      </c>
      <c r="R34" s="44">
        <f>COUNTIF('Scopes'!$R$142:$R$142,R$3)</f>
      </c>
      <c r="S34" s="44">
        <f>COUNTIF('Scopes'!$R$142:$R$142,S$3)</f>
      </c>
      <c r="T34" s="44">
        <f>COUNTIF('Scopes'!$R$142:$R$142,T$3)</f>
      </c>
      <c r="U34" s="44">
        <f>COUNTIF('Scopes'!$R$142:$R$142,U$3)</f>
      </c>
      <c r="V34" s="44">
        <f>COUNTA('Scopes'!$G$142:$G$142)-SUM(Q34:U34)</f>
      </c>
    </row>
    <row r="35" ht="15.75" customHeight="1">
      <c r="A35"/>
      <c r="B35" s="45"/>
      <c r="C35" s="42" t="s">
        <v>110</v>
      </c>
      <c r="D35" s="42" t="s">
        <v>113</v>
      </c>
      <c r="E35" s="43">
        <f>F35/G35</f>
      </c>
      <c r="F35" s="44">
        <f>SUM(H35:L35)</f>
      </c>
      <c r="G35" s="44">
        <f>SUM(H35:M35)</f>
      </c>
      <c r="H35" s="44">
        <f>COUNTIF('Scopes'!$M$143:$M$144,H$3)</f>
      </c>
      <c r="I35" s="44">
        <f>COUNTIF('Scopes'!$M$143:$M$144,I$3)</f>
      </c>
      <c r="J35" s="44">
        <f>COUNTIF('Scopes'!$M$143:$M$144,J$3)</f>
      </c>
      <c r="K35" s="44">
        <f>COUNTIF('Scopes'!$M$143:$M$144,K$3)</f>
      </c>
      <c r="L35" s="44">
        <f>COUNTIF('Scopes'!$M$143:$M$144,L$3)</f>
      </c>
      <c r="M35" s="44">
        <f>COUNTA('Scopes'!$G$143:$G$144)-SUM(H35:L35)</f>
      </c>
      <c r="N35" s="43">
        <f>O35/P35</f>
      </c>
      <c r="O35" s="44">
        <f>SUM(Q35:U35)</f>
      </c>
      <c r="P35" s="44">
        <f>SUM(Q35:V35)</f>
      </c>
      <c r="Q35" s="44">
        <f>COUNTIF('Scopes'!$R$143:$R$144,Q$3)</f>
      </c>
      <c r="R35" s="44">
        <f>COUNTIF('Scopes'!$R$143:$R$144,R$3)</f>
      </c>
      <c r="S35" s="44">
        <f>COUNTIF('Scopes'!$R$143:$R$144,S$3)</f>
      </c>
      <c r="T35" s="44">
        <f>COUNTIF('Scopes'!$R$143:$R$144,T$3)</f>
      </c>
      <c r="U35" s="44">
        <f>COUNTIF('Scopes'!$R$143:$R$144,U$3)</f>
      </c>
      <c r="V35" s="44">
        <f>COUNTA('Scopes'!$G$143:$G$144)-SUM(Q35:U35)</f>
      </c>
    </row>
    <row r="36" ht="15.75" customHeight="1">
      <c r="A36"/>
      <c r="B36" s="45"/>
      <c r="C36" s="42" t="s">
        <v>89</v>
      </c>
      <c r="D36" s="42" t="s">
        <v>114</v>
      </c>
      <c r="E36" s="43">
        <f>F36/G36</f>
      </c>
      <c r="F36" s="44">
        <f>SUM(H36:L36)</f>
      </c>
      <c r="G36" s="44">
        <f>SUM(H36:M36)</f>
      </c>
      <c r="H36" s="44">
        <f>COUNTIF('Scopes'!$M$145:$M$146,H$3)</f>
      </c>
      <c r="I36" s="44">
        <f>COUNTIF('Scopes'!$M$145:$M$146,I$3)</f>
      </c>
      <c r="J36" s="44">
        <f>COUNTIF('Scopes'!$M$145:$M$146,J$3)</f>
      </c>
      <c r="K36" s="44">
        <f>COUNTIF('Scopes'!$M$145:$M$146,K$3)</f>
      </c>
      <c r="L36" s="44">
        <f>COUNTIF('Scopes'!$M$145:$M$146,L$3)</f>
      </c>
      <c r="M36" s="44">
        <f>COUNTA('Scopes'!$G$145:$G$146)-SUM(H36:L36)</f>
      </c>
      <c r="N36" s="43">
        <f>O36/P36</f>
      </c>
      <c r="O36" s="44">
        <f>SUM(Q36:U36)</f>
      </c>
      <c r="P36" s="44">
        <f>SUM(Q36:V36)</f>
      </c>
      <c r="Q36" s="44">
        <f>COUNTIF('Scopes'!$R$145:$R$146,Q$3)</f>
      </c>
      <c r="R36" s="44">
        <f>COUNTIF('Scopes'!$R$145:$R$146,R$3)</f>
      </c>
      <c r="S36" s="44">
        <f>COUNTIF('Scopes'!$R$145:$R$146,S$3)</f>
      </c>
      <c r="T36" s="44">
        <f>COUNTIF('Scopes'!$R$145:$R$146,T$3)</f>
      </c>
      <c r="U36" s="44">
        <f>COUNTIF('Scopes'!$R$145:$R$146,U$3)</f>
      </c>
      <c r="V36" s="44">
        <f>COUNTA('Scopes'!$G$145:$G$146)-SUM(Q36:U36)</f>
      </c>
    </row>
    <row r="37" ht="15.75" customHeight="1">
      <c r="A37"/>
      <c r="B37" s="45"/>
      <c r="C37" s="42" t="s">
        <v>89</v>
      </c>
      <c r="D37" s="42" t="s">
        <v>115</v>
      </c>
      <c r="E37" s="43">
        <f>F37/G37</f>
      </c>
      <c r="F37" s="44">
        <f>SUM(H37:L37)</f>
      </c>
      <c r="G37" s="44">
        <f>SUM(H37:M37)</f>
      </c>
      <c r="H37" s="44">
        <f>COUNTIF('Scopes'!$M$147:$M$147,H$3)</f>
      </c>
      <c r="I37" s="44">
        <f>COUNTIF('Scopes'!$M$147:$M$147,I$3)</f>
      </c>
      <c r="J37" s="44">
        <f>COUNTIF('Scopes'!$M$147:$M$147,J$3)</f>
      </c>
      <c r="K37" s="44">
        <f>COUNTIF('Scopes'!$M$147:$M$147,K$3)</f>
      </c>
      <c r="L37" s="44">
        <f>COUNTIF('Scopes'!$M$147:$M$147,L$3)</f>
      </c>
      <c r="M37" s="44">
        <f>COUNTA('Scopes'!$G$147:$G$147)-SUM(H37:L37)</f>
      </c>
      <c r="N37" s="43">
        <f>O37/P37</f>
      </c>
      <c r="O37" s="44">
        <f>SUM(Q37:U37)</f>
      </c>
      <c r="P37" s="44">
        <f>SUM(Q37:V37)</f>
      </c>
      <c r="Q37" s="44">
        <f>COUNTIF('Scopes'!$R$147:$R$147,Q$3)</f>
      </c>
      <c r="R37" s="44">
        <f>COUNTIF('Scopes'!$R$147:$R$147,R$3)</f>
      </c>
      <c r="S37" s="44">
        <f>COUNTIF('Scopes'!$R$147:$R$147,S$3)</f>
      </c>
      <c r="T37" s="44">
        <f>COUNTIF('Scopes'!$R$147:$R$147,T$3)</f>
      </c>
      <c r="U37" s="44">
        <f>COUNTIF('Scopes'!$R$147:$R$147,U$3)</f>
      </c>
      <c r="V37" s="44">
        <f>COUNTA('Scopes'!$G$147:$G$147)-SUM(Q37:U37)</f>
      </c>
    </row>
    <row r="38" ht="15.75" customHeight="1">
      <c r="A38"/>
      <c r="B38" s="45"/>
      <c r="C38" s="42" t="s">
        <v>89</v>
      </c>
      <c r="D38" s="42" t="s">
        <v>116</v>
      </c>
      <c r="E38" s="43">
        <f>F38/G38</f>
      </c>
      <c r="F38" s="44">
        <f>SUM(H38:L38)</f>
      </c>
      <c r="G38" s="44">
        <f>SUM(H38:M38)</f>
      </c>
      <c r="H38" s="44">
        <f>COUNTIF('Scopes'!$M$148:$M$148,H$3)</f>
      </c>
      <c r="I38" s="44">
        <f>COUNTIF('Scopes'!$M$148:$M$148,I$3)</f>
      </c>
      <c r="J38" s="44">
        <f>COUNTIF('Scopes'!$M$148:$M$148,J$3)</f>
      </c>
      <c r="K38" s="44">
        <f>COUNTIF('Scopes'!$M$148:$M$148,K$3)</f>
      </c>
      <c r="L38" s="44">
        <f>COUNTIF('Scopes'!$M$148:$M$148,L$3)</f>
      </c>
      <c r="M38" s="44">
        <f>COUNTA('Scopes'!$G$148:$G$148)-SUM(H38:L38)</f>
      </c>
      <c r="N38" s="43">
        <f>O38/P38</f>
      </c>
      <c r="O38" s="44">
        <f>SUM(Q38:U38)</f>
      </c>
      <c r="P38" s="44">
        <f>SUM(Q38:V38)</f>
      </c>
      <c r="Q38" s="44">
        <f>COUNTIF('Scopes'!$R$148:$R$148,Q$3)</f>
      </c>
      <c r="R38" s="44">
        <f>COUNTIF('Scopes'!$R$148:$R$148,R$3)</f>
      </c>
      <c r="S38" s="44">
        <f>COUNTIF('Scopes'!$R$148:$R$148,S$3)</f>
      </c>
      <c r="T38" s="44">
        <f>COUNTIF('Scopes'!$R$148:$R$148,T$3)</f>
      </c>
      <c r="U38" s="44">
        <f>COUNTIF('Scopes'!$R$148:$R$148,U$3)</f>
      </c>
      <c r="V38" s="44">
        <f>COUNTA('Scopes'!$G$148:$G$148)-SUM(Q38:U38)</f>
      </c>
    </row>
    <row r="39" ht="15.75" customHeight="1">
      <c r="A39"/>
      <c r="B39" s="12"/>
      <c r="C39" s="46" t="s">
        <v>71</v>
      </c>
      <c r="D39" s="46"/>
      <c r="E39" s="47">
        <f>F39/G39</f>
      </c>
      <c r="F39" s="48">
        <f>SUM(H39:L39)</f>
      </c>
      <c r="G39" s="48">
        <f>SUM(H39:M39)</f>
      </c>
      <c r="H39" s="48">
        <f>SUM(H15:H38)</f>
      </c>
      <c r="I39" s="48">
        <f>SUM(I15:I38)</f>
      </c>
      <c r="J39" s="48">
        <f>SUM(J15:J38)</f>
      </c>
      <c r="K39" s="48">
        <f>SUM(K15:K38)</f>
      </c>
      <c r="L39" s="48">
        <f>SUM(L15:L38)</f>
      </c>
      <c r="M39" s="48">
        <f>SUM(M15:M38)</f>
      </c>
      <c r="N39" s="47">
        <f>O39/P39</f>
      </c>
      <c r="O39" s="48">
        <f>SUM(Q39:U39)</f>
      </c>
      <c r="P39" s="48">
        <f>SUM(Q39:V39)</f>
      </c>
      <c r="Q39" s="48">
        <f>SUM(Q15:Q38)</f>
      </c>
      <c r="R39" s="48">
        <f>SUM(R15:R38)</f>
      </c>
      <c r="S39" s="48">
        <f>SUM(S15:S38)</f>
      </c>
      <c r="T39" s="48">
        <f>SUM(T15:T38)</f>
      </c>
      <c r="U39" s="48">
        <f>SUM(U15:U38)</f>
      </c>
      <c r="V39" s="48">
        <f>SUM(V15:V38)</f>
      </c>
    </row>
    <row r="40" ht="15.75" customHeight="1">
      <c r="A40"/>
      <c r="B40" s="41" t="s">
        <v>57</v>
      </c>
      <c r="C40" s="42" t="s">
        <v>80</v>
      </c>
      <c r="D40" s="42" t="s">
        <v>117</v>
      </c>
      <c r="E40" s="43">
        <f>F40/G40</f>
      </c>
      <c r="F40" s="44">
        <f>SUM(H40:L40)</f>
      </c>
      <c r="G40" s="44">
        <f>SUM(H40:M40)</f>
      </c>
      <c r="H40" s="44">
        <f>COUNTIF('Frameworks'!$M$13:$M$14,H$3)</f>
      </c>
      <c r="I40" s="44">
        <f>COUNTIF('Frameworks'!$M$13:$M$14,I$3)</f>
      </c>
      <c r="J40" s="44">
        <f>COUNTIF('Frameworks'!$M$13:$M$14,J$3)</f>
      </c>
      <c r="K40" s="44">
        <f>COUNTIF('Frameworks'!$M$13:$M$14,K$3)</f>
      </c>
      <c r="L40" s="44">
        <f>COUNTIF('Frameworks'!$M$13:$M$14,L$3)</f>
      </c>
      <c r="M40" s="44">
        <f>COUNTA('Frameworks'!$G$13:$G$14)-SUM(H40:L40)</f>
      </c>
      <c r="N40" s="43">
        <f>O40/P40</f>
      </c>
      <c r="O40" s="44">
        <f>SUM(Q40:U40)</f>
      </c>
      <c r="P40" s="44">
        <f>SUM(Q40:V40)</f>
      </c>
      <c r="Q40" s="44">
        <f>COUNTIF('Frameworks'!$R$13:$R$14,Q$3)</f>
      </c>
      <c r="R40" s="44">
        <f>COUNTIF('Frameworks'!$R$13:$R$14,R$3)</f>
      </c>
      <c r="S40" s="44">
        <f>COUNTIF('Frameworks'!$R$13:$R$14,S$3)</f>
      </c>
      <c r="T40" s="44">
        <f>COUNTIF('Frameworks'!$R$13:$R$14,T$3)</f>
      </c>
      <c r="U40" s="44">
        <f>COUNTIF('Frameworks'!$R$13:$R$14,U$3)</f>
      </c>
      <c r="V40" s="44">
        <f>COUNTA('Frameworks'!$G$13:$G$14)-SUM(Q40:U40)</f>
      </c>
    </row>
    <row r="41" ht="15.75" customHeight="1">
      <c r="A41"/>
      <c r="B41" s="45"/>
      <c r="C41" s="42" t="s">
        <v>80</v>
      </c>
      <c r="D41" s="42" t="s">
        <v>118</v>
      </c>
      <c r="E41" s="43">
        <f>F41/G41</f>
      </c>
      <c r="F41" s="44">
        <f>SUM(H41:L41)</f>
      </c>
      <c r="G41" s="44">
        <f>SUM(H41:M41)</f>
      </c>
      <c r="H41" s="44">
        <f>COUNTIF('Frameworks'!$M$15:$M$18,H$3)</f>
      </c>
      <c r="I41" s="44">
        <f>COUNTIF('Frameworks'!$M$15:$M$18,I$3)</f>
      </c>
      <c r="J41" s="44">
        <f>COUNTIF('Frameworks'!$M$15:$M$18,J$3)</f>
      </c>
      <c r="K41" s="44">
        <f>COUNTIF('Frameworks'!$M$15:$M$18,K$3)</f>
      </c>
      <c r="L41" s="44">
        <f>COUNTIF('Frameworks'!$M$15:$M$18,L$3)</f>
      </c>
      <c r="M41" s="44">
        <f>COUNTA('Frameworks'!$G$15:$G$18)-SUM(H41:L41)</f>
      </c>
      <c r="N41" s="43">
        <f>O41/P41</f>
      </c>
      <c r="O41" s="44">
        <f>SUM(Q41:U41)</f>
      </c>
      <c r="P41" s="44">
        <f>SUM(Q41:V41)</f>
      </c>
      <c r="Q41" s="44">
        <f>COUNTIF('Frameworks'!$R$15:$R$18,Q$3)</f>
      </c>
      <c r="R41" s="44">
        <f>COUNTIF('Frameworks'!$R$15:$R$18,R$3)</f>
      </c>
      <c r="S41" s="44">
        <f>COUNTIF('Frameworks'!$R$15:$R$18,S$3)</f>
      </c>
      <c r="T41" s="44">
        <f>COUNTIF('Frameworks'!$R$15:$R$18,T$3)</f>
      </c>
      <c r="U41" s="44">
        <f>COUNTIF('Frameworks'!$R$15:$R$18,U$3)</f>
      </c>
      <c r="V41" s="44">
        <f>COUNTA('Frameworks'!$G$15:$G$18)-SUM(Q41:U41)</f>
      </c>
    </row>
    <row r="42" ht="31.5" customHeight="1">
      <c r="A42"/>
      <c r="B42" s="45"/>
      <c r="C42" s="42" t="s">
        <v>120</v>
      </c>
      <c r="D42" s="42" t="s">
        <v>93</v>
      </c>
      <c r="E42" s="43">
        <f>F42/G42</f>
      </c>
      <c r="F42" s="44">
        <f>SUM(H42:L42)</f>
      </c>
      <c r="G42" s="44">
        <f>SUM(H42:M42)</f>
      </c>
      <c r="H42" s="44">
        <f>COUNTIF('Frameworks'!$M$19:$M$19,H$3)</f>
      </c>
      <c r="I42" s="44">
        <f>COUNTIF('Frameworks'!$M$19:$M$19,I$3)</f>
      </c>
      <c r="J42" s="44">
        <f>COUNTIF('Frameworks'!$M$19:$M$19,J$3)</f>
      </c>
      <c r="K42" s="44">
        <f>COUNTIF('Frameworks'!$M$19:$M$19,K$3)</f>
      </c>
      <c r="L42" s="44">
        <f>COUNTIF('Frameworks'!$M$19:$M$19,L$3)</f>
      </c>
      <c r="M42" s="44">
        <f>COUNTA('Frameworks'!$G$19:$G$19)-SUM(H42:L42)</f>
      </c>
      <c r="N42" s="43">
        <f>O42/P42</f>
      </c>
      <c r="O42" s="44">
        <f>SUM(Q42:U42)</f>
      </c>
      <c r="P42" s="44">
        <f>SUM(Q42:V42)</f>
      </c>
      <c r="Q42" s="44">
        <f>COUNTIF('Frameworks'!$R$19:$R$19,Q$3)</f>
      </c>
      <c r="R42" s="44">
        <f>COUNTIF('Frameworks'!$R$19:$R$19,R$3)</f>
      </c>
      <c r="S42" s="44">
        <f>COUNTIF('Frameworks'!$R$19:$R$19,S$3)</f>
      </c>
      <c r="T42" s="44">
        <f>COUNTIF('Frameworks'!$R$19:$R$19,T$3)</f>
      </c>
      <c r="U42" s="44">
        <f>COUNTIF('Frameworks'!$R$19:$R$19,U$3)</f>
      </c>
      <c r="V42" s="44">
        <f>COUNTA('Frameworks'!$G$19:$G$19)-SUM(Q42:U42)</f>
      </c>
    </row>
    <row r="43" ht="31.5" customHeight="1">
      <c r="A43"/>
      <c r="B43" s="45"/>
      <c r="C43" s="42" t="s">
        <v>120</v>
      </c>
      <c r="D43" s="42" t="s">
        <v>127</v>
      </c>
      <c r="E43" s="43">
        <f>F43/G43</f>
      </c>
      <c r="F43" s="44">
        <f>SUM(H43:L43)</f>
      </c>
      <c r="G43" s="44">
        <f>SUM(H43:M43)</f>
      </c>
      <c r="H43" s="44">
        <f>COUNTIF('Frameworks'!$M$20:$M$64,H$3)</f>
      </c>
      <c r="I43" s="44">
        <f>COUNTIF('Frameworks'!$M$20:$M$64,I$3)</f>
      </c>
      <c r="J43" s="44">
        <f>COUNTIF('Frameworks'!$M$20:$M$64,J$3)</f>
      </c>
      <c r="K43" s="44">
        <f>COUNTIF('Frameworks'!$M$20:$M$64,K$3)</f>
      </c>
      <c r="L43" s="44">
        <f>COUNTIF('Frameworks'!$M$20:$M$64,L$3)</f>
      </c>
      <c r="M43" s="44">
        <f>COUNTA('Frameworks'!$G$20:$G$64)-SUM(H43:L43)</f>
      </c>
      <c r="N43" s="43">
        <f>O43/P43</f>
      </c>
      <c r="O43" s="44">
        <f>SUM(Q43:U43)</f>
      </c>
      <c r="P43" s="44">
        <f>SUM(Q43:V43)</f>
      </c>
      <c r="Q43" s="44">
        <f>COUNTIF('Frameworks'!$R$20:$R$64,Q$3)</f>
      </c>
      <c r="R43" s="44">
        <f>COUNTIF('Frameworks'!$R$20:$R$64,R$3)</f>
      </c>
      <c r="S43" s="44">
        <f>COUNTIF('Frameworks'!$R$20:$R$64,S$3)</f>
      </c>
      <c r="T43" s="44">
        <f>COUNTIF('Frameworks'!$R$20:$R$64,T$3)</f>
      </c>
      <c r="U43" s="44">
        <f>COUNTIF('Frameworks'!$R$20:$R$64,U$3)</f>
      </c>
      <c r="V43" s="44">
        <f>COUNTA('Frameworks'!$G$20:$G$64)-SUM(Q43:U43)</f>
      </c>
    </row>
    <row r="44" ht="31.5" customHeight="1">
      <c r="A44"/>
      <c r="B44" s="45"/>
      <c r="C44" s="42" t="s">
        <v>120</v>
      </c>
      <c r="D44" s="42" t="s">
        <v>96</v>
      </c>
      <c r="E44" s="43">
        <f>F44/G44</f>
      </c>
      <c r="F44" s="44">
        <f>SUM(H44:L44)</f>
      </c>
      <c r="G44" s="44">
        <f>SUM(H44:M44)</f>
      </c>
      <c r="H44" s="44">
        <f>COUNTIF('Frameworks'!$M$65:$M$77,H$3)</f>
      </c>
      <c r="I44" s="44">
        <f>COUNTIF('Frameworks'!$M$65:$M$77,I$3)</f>
      </c>
      <c r="J44" s="44">
        <f>COUNTIF('Frameworks'!$M$65:$M$77,J$3)</f>
      </c>
      <c r="K44" s="44">
        <f>COUNTIF('Frameworks'!$M$65:$M$77,K$3)</f>
      </c>
      <c r="L44" s="44">
        <f>COUNTIF('Frameworks'!$M$65:$M$77,L$3)</f>
      </c>
      <c r="M44" s="44">
        <f>COUNTA('Frameworks'!$G$65:$G$77)-SUM(H44:L44)</f>
      </c>
      <c r="N44" s="43">
        <f>O44/P44</f>
      </c>
      <c r="O44" s="44">
        <f>SUM(Q44:U44)</f>
      </c>
      <c r="P44" s="44">
        <f>SUM(Q44:V44)</f>
      </c>
      <c r="Q44" s="44">
        <f>COUNTIF('Frameworks'!$R$65:$R$77,Q$3)</f>
      </c>
      <c r="R44" s="44">
        <f>COUNTIF('Frameworks'!$R$65:$R$77,R$3)</f>
      </c>
      <c r="S44" s="44">
        <f>COUNTIF('Frameworks'!$R$65:$R$77,S$3)</f>
      </c>
      <c r="T44" s="44">
        <f>COUNTIF('Frameworks'!$R$65:$R$77,T$3)</f>
      </c>
      <c r="U44" s="44">
        <f>COUNTIF('Frameworks'!$R$65:$R$77,U$3)</f>
      </c>
      <c r="V44" s="44">
        <f>COUNTA('Frameworks'!$G$65:$G$77)-SUM(Q44:U44)</f>
      </c>
    </row>
    <row r="45" ht="31.5" customHeight="1">
      <c r="A45"/>
      <c r="B45" s="45"/>
      <c r="C45" s="42" t="s">
        <v>120</v>
      </c>
      <c r="D45" s="42" t="s">
        <v>97</v>
      </c>
      <c r="E45" s="43">
        <f>F45/G45</f>
      </c>
      <c r="F45" s="44">
        <f>SUM(H45:L45)</f>
      </c>
      <c r="G45" s="44">
        <f>SUM(H45:M45)</f>
      </c>
      <c r="H45" s="44">
        <f>COUNTIF('Frameworks'!$M$78:$M$96,H$3)</f>
      </c>
      <c r="I45" s="44">
        <f>COUNTIF('Frameworks'!$M$78:$M$96,I$3)</f>
      </c>
      <c r="J45" s="44">
        <f>COUNTIF('Frameworks'!$M$78:$M$96,J$3)</f>
      </c>
      <c r="K45" s="44">
        <f>COUNTIF('Frameworks'!$M$78:$M$96,K$3)</f>
      </c>
      <c r="L45" s="44">
        <f>COUNTIF('Frameworks'!$M$78:$M$96,L$3)</f>
      </c>
      <c r="M45" s="44">
        <f>COUNTA('Frameworks'!$G$78:$G$96)-SUM(H45:L45)</f>
      </c>
      <c r="N45" s="43">
        <f>O45/P45</f>
      </c>
      <c r="O45" s="44">
        <f>SUM(Q45:U45)</f>
      </c>
      <c r="P45" s="44">
        <f>SUM(Q45:V45)</f>
      </c>
      <c r="Q45" s="44">
        <f>COUNTIF('Frameworks'!$R$78:$R$96,Q$3)</f>
      </c>
      <c r="R45" s="44">
        <f>COUNTIF('Frameworks'!$R$78:$R$96,R$3)</f>
      </c>
      <c r="S45" s="44">
        <f>COUNTIF('Frameworks'!$R$78:$R$96,S$3)</f>
      </c>
      <c r="T45" s="44">
        <f>COUNTIF('Frameworks'!$R$78:$R$96,T$3)</f>
      </c>
      <c r="U45" s="44">
        <f>COUNTIF('Frameworks'!$R$78:$R$96,U$3)</f>
      </c>
      <c r="V45" s="44">
        <f>COUNTA('Frameworks'!$G$78:$G$96)-SUM(Q45:U45)</f>
      </c>
    </row>
    <row r="46" ht="31.5" customHeight="1">
      <c r="A46"/>
      <c r="B46" s="45"/>
      <c r="C46" s="42" t="s">
        <v>120</v>
      </c>
      <c r="D46" s="42" t="s">
        <v>98</v>
      </c>
      <c r="E46" s="43">
        <f>F46/G46</f>
      </c>
      <c r="F46" s="44">
        <f>SUM(H46:L46)</f>
      </c>
      <c r="G46" s="44">
        <f>SUM(H46:M46)</f>
      </c>
      <c r="H46" s="44">
        <f>COUNTIF('Frameworks'!$M$97:$M$101,H$3)</f>
      </c>
      <c r="I46" s="44">
        <f>COUNTIF('Frameworks'!$M$97:$M$101,I$3)</f>
      </c>
      <c r="J46" s="44">
        <f>COUNTIF('Frameworks'!$M$97:$M$101,J$3)</f>
      </c>
      <c r="K46" s="44">
        <f>COUNTIF('Frameworks'!$M$97:$M$101,K$3)</f>
      </c>
      <c r="L46" s="44">
        <f>COUNTIF('Frameworks'!$M$97:$M$101,L$3)</f>
      </c>
      <c r="M46" s="44">
        <f>COUNTA('Frameworks'!$G$97:$G$101)-SUM(H46:L46)</f>
      </c>
      <c r="N46" s="43">
        <f>O46/P46</f>
      </c>
      <c r="O46" s="44">
        <f>SUM(Q46:U46)</f>
      </c>
      <c r="P46" s="44">
        <f>SUM(Q46:V46)</f>
      </c>
      <c r="Q46" s="44">
        <f>COUNTIF('Frameworks'!$R$97:$R$101,Q$3)</f>
      </c>
      <c r="R46" s="44">
        <f>COUNTIF('Frameworks'!$R$97:$R$101,R$3)</f>
      </c>
      <c r="S46" s="44">
        <f>COUNTIF('Frameworks'!$R$97:$R$101,S$3)</f>
      </c>
      <c r="T46" s="44">
        <f>COUNTIF('Frameworks'!$R$97:$R$101,T$3)</f>
      </c>
      <c r="U46" s="44">
        <f>COUNTIF('Frameworks'!$R$97:$R$101,U$3)</f>
      </c>
      <c r="V46" s="44">
        <f>COUNTA('Frameworks'!$G$97:$G$101)-SUM(Q46:U46)</f>
      </c>
    </row>
    <row r="47" ht="15.75" customHeight="1">
      <c r="A47"/>
      <c r="B47" s="45"/>
      <c r="C47" s="42" t="s">
        <v>131</v>
      </c>
      <c r="D47" s="42" t="s">
        <v>100</v>
      </c>
      <c r="E47" s="43">
        <f>F47/G47</f>
      </c>
      <c r="F47" s="44">
        <f>SUM(H47:L47)</f>
      </c>
      <c r="G47" s="44">
        <f>SUM(H47:M47)</f>
      </c>
      <c r="H47" s="44">
        <f>COUNTIF('Frameworks'!$M$102:$M$103,H$3)</f>
      </c>
      <c r="I47" s="44">
        <f>COUNTIF('Frameworks'!$M$102:$M$103,I$3)</f>
      </c>
      <c r="J47" s="44">
        <f>COUNTIF('Frameworks'!$M$102:$M$103,J$3)</f>
      </c>
      <c r="K47" s="44">
        <f>COUNTIF('Frameworks'!$M$102:$M$103,K$3)</f>
      </c>
      <c r="L47" s="44">
        <f>COUNTIF('Frameworks'!$M$102:$M$103,L$3)</f>
      </c>
      <c r="M47" s="44">
        <f>COUNTA('Frameworks'!$G$102:$G$103)-SUM(H47:L47)</f>
      </c>
      <c r="N47" s="43">
        <f>O47/P47</f>
      </c>
      <c r="O47" s="44">
        <f>SUM(Q47:U47)</f>
      </c>
      <c r="P47" s="44">
        <f>SUM(Q47:V47)</f>
      </c>
      <c r="Q47" s="44">
        <f>COUNTIF('Frameworks'!$R$102:$R$103,Q$3)</f>
      </c>
      <c r="R47" s="44">
        <f>COUNTIF('Frameworks'!$R$102:$R$103,R$3)</f>
      </c>
      <c r="S47" s="44">
        <f>COUNTIF('Frameworks'!$R$102:$R$103,S$3)</f>
      </c>
      <c r="T47" s="44">
        <f>COUNTIF('Frameworks'!$R$102:$R$103,T$3)</f>
      </c>
      <c r="U47" s="44">
        <f>COUNTIF('Frameworks'!$R$102:$R$103,U$3)</f>
      </c>
      <c r="V47" s="44">
        <f>COUNTA('Frameworks'!$G$102:$G$103)-SUM(Q47:U47)</f>
      </c>
    </row>
    <row r="48" ht="15.75" customHeight="1">
      <c r="A48"/>
      <c r="B48" s="45"/>
      <c r="C48" s="42" t="s">
        <v>131</v>
      </c>
      <c r="D48" s="42" t="s">
        <v>101</v>
      </c>
      <c r="E48" s="43">
        <f>F48/G48</f>
      </c>
      <c r="F48" s="44">
        <f>SUM(H48:L48)</f>
      </c>
      <c r="G48" s="44">
        <f>SUM(H48:M48)</f>
      </c>
      <c r="H48" s="44">
        <f>COUNTIF('Frameworks'!$M$104:$M$106,H$3)</f>
      </c>
      <c r="I48" s="44">
        <f>COUNTIF('Frameworks'!$M$104:$M$106,I$3)</f>
      </c>
      <c r="J48" s="44">
        <f>COUNTIF('Frameworks'!$M$104:$M$106,J$3)</f>
      </c>
      <c r="K48" s="44">
        <f>COUNTIF('Frameworks'!$M$104:$M$106,K$3)</f>
      </c>
      <c r="L48" s="44">
        <f>COUNTIF('Frameworks'!$M$104:$M$106,L$3)</f>
      </c>
      <c r="M48" s="44">
        <f>COUNTA('Frameworks'!$G$104:$G$106)-SUM(H48:L48)</f>
      </c>
      <c r="N48" s="43">
        <f>O48/P48</f>
      </c>
      <c r="O48" s="44">
        <f>SUM(Q48:U48)</f>
      </c>
      <c r="P48" s="44">
        <f>SUM(Q48:V48)</f>
      </c>
      <c r="Q48" s="44">
        <f>COUNTIF('Frameworks'!$R$104:$R$106,Q$3)</f>
      </c>
      <c r="R48" s="44">
        <f>COUNTIF('Frameworks'!$R$104:$R$106,R$3)</f>
      </c>
      <c r="S48" s="44">
        <f>COUNTIF('Frameworks'!$R$104:$R$106,S$3)</f>
      </c>
      <c r="T48" s="44">
        <f>COUNTIF('Frameworks'!$R$104:$R$106,T$3)</f>
      </c>
      <c r="U48" s="44">
        <f>COUNTIF('Frameworks'!$R$104:$R$106,U$3)</f>
      </c>
      <c r="V48" s="44">
        <f>COUNTA('Frameworks'!$G$104:$G$106)-SUM(Q48:U48)</f>
      </c>
    </row>
    <row r="49" ht="15.75" customHeight="1">
      <c r="A49"/>
      <c r="B49" s="45"/>
      <c r="C49" s="42" t="s">
        <v>131</v>
      </c>
      <c r="D49" s="42" t="s">
        <v>132</v>
      </c>
      <c r="E49" s="43">
        <f>F49/G49</f>
      </c>
      <c r="F49" s="44">
        <f>SUM(H49:L49)</f>
      </c>
      <c r="G49" s="44">
        <f>SUM(H49:M49)</f>
      </c>
      <c r="H49" s="44">
        <f>COUNTIF('Frameworks'!$M$107:$M$111,H$3)</f>
      </c>
      <c r="I49" s="44">
        <f>COUNTIF('Frameworks'!$M$107:$M$111,I$3)</f>
      </c>
      <c r="J49" s="44">
        <f>COUNTIF('Frameworks'!$M$107:$M$111,J$3)</f>
      </c>
      <c r="K49" s="44">
        <f>COUNTIF('Frameworks'!$M$107:$M$111,K$3)</f>
      </c>
      <c r="L49" s="44">
        <f>COUNTIF('Frameworks'!$M$107:$M$111,L$3)</f>
      </c>
      <c r="M49" s="44">
        <f>COUNTA('Frameworks'!$G$107:$G$111)-SUM(H49:L49)</f>
      </c>
      <c r="N49" s="43">
        <f>O49/P49</f>
      </c>
      <c r="O49" s="44">
        <f>SUM(Q49:U49)</f>
      </c>
      <c r="P49" s="44">
        <f>SUM(Q49:V49)</f>
      </c>
      <c r="Q49" s="44">
        <f>COUNTIF('Frameworks'!$R$107:$R$111,Q$3)</f>
      </c>
      <c r="R49" s="44">
        <f>COUNTIF('Frameworks'!$R$107:$R$111,R$3)</f>
      </c>
      <c r="S49" s="44">
        <f>COUNTIF('Frameworks'!$R$107:$R$111,S$3)</f>
      </c>
      <c r="T49" s="44">
        <f>COUNTIF('Frameworks'!$R$107:$R$111,T$3)</f>
      </c>
      <c r="U49" s="44">
        <f>COUNTIF('Frameworks'!$R$107:$R$111,U$3)</f>
      </c>
      <c r="V49" s="44">
        <f>COUNTA('Frameworks'!$G$107:$G$111)-SUM(Q49:U49)</f>
      </c>
    </row>
    <row r="50" ht="15.75" customHeight="1">
      <c r="A50"/>
      <c r="B50" s="45"/>
      <c r="C50" s="42" t="s">
        <v>131</v>
      </c>
      <c r="D50" s="42" t="s">
        <v>2730</v>
      </c>
      <c r="E50" s="43">
        <f>F50/G50</f>
      </c>
      <c r="F50" s="44">
        <f>SUM(H50:L50)</f>
      </c>
      <c r="G50" s="44">
        <f>SUM(H50:M50)</f>
      </c>
      <c r="H50" s="44">
        <f>COUNTIF('Frameworks'!$M$112:$M$113,H$3)</f>
      </c>
      <c r="I50" s="44">
        <f>COUNTIF('Frameworks'!$M$112:$M$113,I$3)</f>
      </c>
      <c r="J50" s="44">
        <f>COUNTIF('Frameworks'!$M$112:$M$113,J$3)</f>
      </c>
      <c r="K50" s="44">
        <f>COUNTIF('Frameworks'!$M$112:$M$113,K$3)</f>
      </c>
      <c r="L50" s="44">
        <f>COUNTIF('Frameworks'!$M$112:$M$113,L$3)</f>
      </c>
      <c r="M50" s="44">
        <f>COUNTA('Frameworks'!$G$112:$G$113)-SUM(H50:L50)</f>
      </c>
      <c r="N50" s="43">
        <f>O50/P50</f>
      </c>
      <c r="O50" s="44">
        <f>SUM(Q50:U50)</f>
      </c>
      <c r="P50" s="44">
        <f>SUM(Q50:V50)</f>
      </c>
      <c r="Q50" s="44">
        <f>COUNTIF('Frameworks'!$R$112:$R$113,Q$3)</f>
      </c>
      <c r="R50" s="44">
        <f>COUNTIF('Frameworks'!$R$112:$R$113,R$3)</f>
      </c>
      <c r="S50" s="44">
        <f>COUNTIF('Frameworks'!$R$112:$R$113,S$3)</f>
      </c>
      <c r="T50" s="44">
        <f>COUNTIF('Frameworks'!$R$112:$R$113,T$3)</f>
      </c>
      <c r="U50" s="44">
        <f>COUNTIF('Frameworks'!$R$112:$R$113,U$3)</f>
      </c>
      <c r="V50" s="44">
        <f>COUNTA('Frameworks'!$G$112:$G$113)-SUM(Q50:U50)</f>
      </c>
    </row>
    <row r="51" ht="15.75" customHeight="1">
      <c r="A51"/>
      <c r="B51" s="45"/>
      <c r="C51" s="42" t="s">
        <v>131</v>
      </c>
      <c r="D51" s="42" t="s">
        <v>134</v>
      </c>
      <c r="E51" s="43">
        <f>F51/G51</f>
      </c>
      <c r="F51" s="44">
        <f>SUM(H51:L51)</f>
      </c>
      <c r="G51" s="44">
        <f>SUM(H51:M51)</f>
      </c>
      <c r="H51" s="44">
        <f>COUNTIF('Frameworks'!$M$114:$M$118,H$3)</f>
      </c>
      <c r="I51" s="44">
        <f>COUNTIF('Frameworks'!$M$114:$M$118,I$3)</f>
      </c>
      <c r="J51" s="44">
        <f>COUNTIF('Frameworks'!$M$114:$M$118,J$3)</f>
      </c>
      <c r="K51" s="44">
        <f>COUNTIF('Frameworks'!$M$114:$M$118,K$3)</f>
      </c>
      <c r="L51" s="44">
        <f>COUNTIF('Frameworks'!$M$114:$M$118,L$3)</f>
      </c>
      <c r="M51" s="44">
        <f>COUNTA('Frameworks'!$G$114:$G$118)-SUM(H51:L51)</f>
      </c>
      <c r="N51" s="43">
        <f>O51/P51</f>
      </c>
      <c r="O51" s="44">
        <f>SUM(Q51:U51)</f>
      </c>
      <c r="P51" s="44">
        <f>SUM(Q51:V51)</f>
      </c>
      <c r="Q51" s="44">
        <f>COUNTIF('Frameworks'!$R$114:$R$118,Q$3)</f>
      </c>
      <c r="R51" s="44">
        <f>COUNTIF('Frameworks'!$R$114:$R$118,R$3)</f>
      </c>
      <c r="S51" s="44">
        <f>COUNTIF('Frameworks'!$R$114:$R$118,S$3)</f>
      </c>
      <c r="T51" s="44">
        <f>COUNTIF('Frameworks'!$R$114:$R$118,T$3)</f>
      </c>
      <c r="U51" s="44">
        <f>COUNTIF('Frameworks'!$R$114:$R$118,U$3)</f>
      </c>
      <c r="V51" s="44">
        <f>COUNTA('Frameworks'!$G$114:$G$118)-SUM(Q51:U51)</f>
      </c>
    </row>
    <row r="52" ht="15.75" customHeight="1">
      <c r="A52"/>
      <c r="B52" s="45"/>
      <c r="C52" s="42" t="s">
        <v>131</v>
      </c>
      <c r="D52" s="42" t="s">
        <v>2757</v>
      </c>
      <c r="E52" s="43">
        <f>F52/G52</f>
      </c>
      <c r="F52" s="44">
        <f>SUM(H52:L52)</f>
      </c>
      <c r="G52" s="44">
        <f>SUM(H52:M52)</f>
      </c>
      <c r="H52" s="44">
        <f>COUNTIF('Frameworks'!$M$119:$M$128,H$3)</f>
      </c>
      <c r="I52" s="44">
        <f>COUNTIF('Frameworks'!$M$119:$M$128,I$3)</f>
      </c>
      <c r="J52" s="44">
        <f>COUNTIF('Frameworks'!$M$119:$M$128,J$3)</f>
      </c>
      <c r="K52" s="44">
        <f>COUNTIF('Frameworks'!$M$119:$M$128,K$3)</f>
      </c>
      <c r="L52" s="44">
        <f>COUNTIF('Frameworks'!$M$119:$M$128,L$3)</f>
      </c>
      <c r="M52" s="44">
        <f>COUNTA('Frameworks'!$G$119:$G$128)-SUM(H52:L52)</f>
      </c>
      <c r="N52" s="43">
        <f>O52/P52</f>
      </c>
      <c r="O52" s="44">
        <f>SUM(Q52:U52)</f>
      </c>
      <c r="P52" s="44">
        <f>SUM(Q52:V52)</f>
      </c>
      <c r="Q52" s="44">
        <f>COUNTIF('Frameworks'!$R$119:$R$128,Q$3)</f>
      </c>
      <c r="R52" s="44">
        <f>COUNTIF('Frameworks'!$R$119:$R$128,R$3)</f>
      </c>
      <c r="S52" s="44">
        <f>COUNTIF('Frameworks'!$R$119:$R$128,S$3)</f>
      </c>
      <c r="T52" s="44">
        <f>COUNTIF('Frameworks'!$R$119:$R$128,T$3)</f>
      </c>
      <c r="U52" s="44">
        <f>COUNTIF('Frameworks'!$R$119:$R$128,U$3)</f>
      </c>
      <c r="V52" s="44">
        <f>COUNTA('Frameworks'!$G$119:$G$128)-SUM(Q52:U52)</f>
      </c>
    </row>
    <row r="53" ht="31.5" customHeight="1">
      <c r="A53"/>
      <c r="B53" s="45"/>
      <c r="C53" s="42" t="s">
        <v>123</v>
      </c>
      <c r="D53" s="42" t="s">
        <v>100</v>
      </c>
      <c r="E53" s="43">
        <f>F53/G53</f>
      </c>
      <c r="F53" s="44">
        <f>SUM(H53:L53)</f>
      </c>
      <c r="G53" s="44">
        <f>SUM(H53:M53)</f>
      </c>
      <c r="H53" s="44">
        <f>COUNTIF('Frameworks'!$M$129:$M$132,H$3)</f>
      </c>
      <c r="I53" s="44">
        <f>COUNTIF('Frameworks'!$M$129:$M$132,I$3)</f>
      </c>
      <c r="J53" s="44">
        <f>COUNTIF('Frameworks'!$M$129:$M$132,J$3)</f>
      </c>
      <c r="K53" s="44">
        <f>COUNTIF('Frameworks'!$M$129:$M$132,K$3)</f>
      </c>
      <c r="L53" s="44">
        <f>COUNTIF('Frameworks'!$M$129:$M$132,L$3)</f>
      </c>
      <c r="M53" s="44">
        <f>COUNTA('Frameworks'!$G$129:$G$132)-SUM(H53:L53)</f>
      </c>
      <c r="N53" s="43">
        <f>O53/P53</f>
      </c>
      <c r="O53" s="44">
        <f>SUM(Q53:U53)</f>
      </c>
      <c r="P53" s="44">
        <f>SUM(Q53:V53)</f>
      </c>
      <c r="Q53" s="44">
        <f>COUNTIF('Frameworks'!$R$129:$R$132,Q$3)</f>
      </c>
      <c r="R53" s="44">
        <f>COUNTIF('Frameworks'!$R$129:$R$132,R$3)</f>
      </c>
      <c r="S53" s="44">
        <f>COUNTIF('Frameworks'!$R$129:$R$132,S$3)</f>
      </c>
      <c r="T53" s="44">
        <f>COUNTIF('Frameworks'!$R$129:$R$132,T$3)</f>
      </c>
      <c r="U53" s="44">
        <f>COUNTIF('Frameworks'!$R$129:$R$132,U$3)</f>
      </c>
      <c r="V53" s="44">
        <f>COUNTA('Frameworks'!$G$129:$G$132)-SUM(Q53:U53)</f>
      </c>
    </row>
    <row r="54" ht="31.5" customHeight="1">
      <c r="A54"/>
      <c r="B54" s="45"/>
      <c r="C54" s="42" t="s">
        <v>123</v>
      </c>
      <c r="D54" s="42" t="s">
        <v>101</v>
      </c>
      <c r="E54" s="43">
        <f>F54/G54</f>
      </c>
      <c r="F54" s="44">
        <f>SUM(H54:L54)</f>
      </c>
      <c r="G54" s="44">
        <f>SUM(H54:M54)</f>
      </c>
      <c r="H54" s="44">
        <f>COUNTIF('Frameworks'!$M$133:$M$134,H$3)</f>
      </c>
      <c r="I54" s="44">
        <f>COUNTIF('Frameworks'!$M$133:$M$134,I$3)</f>
      </c>
      <c r="J54" s="44">
        <f>COUNTIF('Frameworks'!$M$133:$M$134,J$3)</f>
      </c>
      <c r="K54" s="44">
        <f>COUNTIF('Frameworks'!$M$133:$M$134,K$3)</f>
      </c>
      <c r="L54" s="44">
        <f>COUNTIF('Frameworks'!$M$133:$M$134,L$3)</f>
      </c>
      <c r="M54" s="44">
        <f>COUNTA('Frameworks'!$G$133:$G$134)-SUM(H54:L54)</f>
      </c>
      <c r="N54" s="43">
        <f>O54/P54</f>
      </c>
      <c r="O54" s="44">
        <f>SUM(Q54:U54)</f>
      </c>
      <c r="P54" s="44">
        <f>SUM(Q54:V54)</f>
      </c>
      <c r="Q54" s="44">
        <f>COUNTIF('Frameworks'!$R$133:$R$134,Q$3)</f>
      </c>
      <c r="R54" s="44">
        <f>COUNTIF('Frameworks'!$R$133:$R$134,R$3)</f>
      </c>
      <c r="S54" s="44">
        <f>COUNTIF('Frameworks'!$R$133:$R$134,S$3)</f>
      </c>
      <c r="T54" s="44">
        <f>COUNTIF('Frameworks'!$R$133:$R$134,T$3)</f>
      </c>
      <c r="U54" s="44">
        <f>COUNTIF('Frameworks'!$R$133:$R$134,U$3)</f>
      </c>
      <c r="V54" s="44">
        <f>COUNTA('Frameworks'!$G$133:$G$134)-SUM(Q54:U54)</f>
      </c>
    </row>
    <row r="55" ht="31.5" customHeight="1">
      <c r="A55"/>
      <c r="B55" s="45"/>
      <c r="C55" s="42" t="s">
        <v>123</v>
      </c>
      <c r="D55" s="42" t="s">
        <v>102</v>
      </c>
      <c r="E55" s="43">
        <f>F55/G55</f>
      </c>
      <c r="F55" s="44">
        <f>SUM(H55:L55)</f>
      </c>
      <c r="G55" s="44">
        <f>SUM(H55:M55)</f>
      </c>
      <c r="H55" s="44">
        <f>COUNTIF('Frameworks'!$M$135:$M$147,H$3)</f>
      </c>
      <c r="I55" s="44">
        <f>COUNTIF('Frameworks'!$M$135:$M$147,I$3)</f>
      </c>
      <c r="J55" s="44">
        <f>COUNTIF('Frameworks'!$M$135:$M$147,J$3)</f>
      </c>
      <c r="K55" s="44">
        <f>COUNTIF('Frameworks'!$M$135:$M$147,K$3)</f>
      </c>
      <c r="L55" s="44">
        <f>COUNTIF('Frameworks'!$M$135:$M$147,L$3)</f>
      </c>
      <c r="M55" s="44">
        <f>COUNTA('Frameworks'!$G$135:$G$147)-SUM(H55:L55)</f>
      </c>
      <c r="N55" s="43">
        <f>O55/P55</f>
      </c>
      <c r="O55" s="44">
        <f>SUM(Q55:U55)</f>
      </c>
      <c r="P55" s="44">
        <f>SUM(Q55:V55)</f>
      </c>
      <c r="Q55" s="44">
        <f>COUNTIF('Frameworks'!$R$135:$R$147,Q$3)</f>
      </c>
      <c r="R55" s="44">
        <f>COUNTIF('Frameworks'!$R$135:$R$147,R$3)</f>
      </c>
      <c r="S55" s="44">
        <f>COUNTIF('Frameworks'!$R$135:$R$147,S$3)</f>
      </c>
      <c r="T55" s="44">
        <f>COUNTIF('Frameworks'!$R$135:$R$147,T$3)</f>
      </c>
      <c r="U55" s="44">
        <f>COUNTIF('Frameworks'!$R$135:$R$147,U$3)</f>
      </c>
      <c r="V55" s="44">
        <f>COUNTA('Frameworks'!$G$135:$G$147)-SUM(Q55:U55)</f>
      </c>
    </row>
    <row r="56" ht="31.5" customHeight="1">
      <c r="A56"/>
      <c r="B56" s="45"/>
      <c r="C56" s="42" t="s">
        <v>123</v>
      </c>
      <c r="D56" s="42" t="s">
        <v>126</v>
      </c>
      <c r="E56" s="43">
        <f>F56/G56</f>
      </c>
      <c r="F56" s="44">
        <f>SUM(H56:L56)</f>
      </c>
      <c r="G56" s="44">
        <f>SUM(H56:M56)</f>
      </c>
      <c r="H56" s="44">
        <f>COUNTIF('Frameworks'!$M$148:$M$164,H$3)</f>
      </c>
      <c r="I56" s="44">
        <f>COUNTIF('Frameworks'!$M$148:$M$164,I$3)</f>
      </c>
      <c r="J56" s="44">
        <f>COUNTIF('Frameworks'!$M$148:$M$164,J$3)</f>
      </c>
      <c r="K56" s="44">
        <f>COUNTIF('Frameworks'!$M$148:$M$164,K$3)</f>
      </c>
      <c r="L56" s="44">
        <f>COUNTIF('Frameworks'!$M$148:$M$164,L$3)</f>
      </c>
      <c r="M56" s="44">
        <f>COUNTA('Frameworks'!$G$148:$G$164)-SUM(H56:L56)</f>
      </c>
      <c r="N56" s="43">
        <f>O56/P56</f>
      </c>
      <c r="O56" s="44">
        <f>SUM(Q56:U56)</f>
      </c>
      <c r="P56" s="44">
        <f>SUM(Q56:V56)</f>
      </c>
      <c r="Q56" s="44">
        <f>COUNTIF('Frameworks'!$R$148:$R$164,Q$3)</f>
      </c>
      <c r="R56" s="44">
        <f>COUNTIF('Frameworks'!$R$148:$R$164,R$3)</f>
      </c>
      <c r="S56" s="44">
        <f>COUNTIF('Frameworks'!$R$148:$R$164,S$3)</f>
      </c>
      <c r="T56" s="44">
        <f>COUNTIF('Frameworks'!$R$148:$R$164,T$3)</f>
      </c>
      <c r="U56" s="44">
        <f>COUNTIF('Frameworks'!$R$148:$R$164,U$3)</f>
      </c>
      <c r="V56" s="44">
        <f>COUNTA('Frameworks'!$G$148:$G$164)-SUM(Q56:U56)</f>
      </c>
    </row>
    <row r="57" ht="15.75" customHeight="1">
      <c r="A57"/>
      <c r="B57" s="45"/>
      <c r="C57" s="42" t="s">
        <v>110</v>
      </c>
      <c r="D57" s="42" t="s">
        <v>139</v>
      </c>
      <c r="E57" s="43">
        <f>F57/G57</f>
      </c>
      <c r="F57" s="44">
        <f>SUM(H57:L57)</f>
      </c>
      <c r="G57" s="44">
        <f>SUM(H57:M57)</f>
      </c>
      <c r="H57" s="44">
        <f>COUNTIF('Frameworks'!$M$165:$M$167,H$3)</f>
      </c>
      <c r="I57" s="44">
        <f>COUNTIF('Frameworks'!$M$165:$M$167,I$3)</f>
      </c>
      <c r="J57" s="44">
        <f>COUNTIF('Frameworks'!$M$165:$M$167,J$3)</f>
      </c>
      <c r="K57" s="44">
        <f>COUNTIF('Frameworks'!$M$165:$M$167,K$3)</f>
      </c>
      <c r="L57" s="44">
        <f>COUNTIF('Frameworks'!$M$165:$M$167,L$3)</f>
      </c>
      <c r="M57" s="44">
        <f>COUNTA('Frameworks'!$G$165:$G$167)-SUM(H57:L57)</f>
      </c>
      <c r="N57" s="43">
        <f>O57/P57</f>
      </c>
      <c r="O57" s="44">
        <f>SUM(Q57:U57)</f>
      </c>
      <c r="P57" s="44">
        <f>SUM(Q57:V57)</f>
      </c>
      <c r="Q57" s="44">
        <f>COUNTIF('Frameworks'!$R$165:$R$167,Q$3)</f>
      </c>
      <c r="R57" s="44">
        <f>COUNTIF('Frameworks'!$R$165:$R$167,R$3)</f>
      </c>
      <c r="S57" s="44">
        <f>COUNTIF('Frameworks'!$R$165:$R$167,S$3)</f>
      </c>
      <c r="T57" s="44">
        <f>COUNTIF('Frameworks'!$R$165:$R$167,T$3)</f>
      </c>
      <c r="U57" s="44">
        <f>COUNTIF('Frameworks'!$R$165:$R$167,U$3)</f>
      </c>
      <c r="V57" s="44">
        <f>COUNTA('Frameworks'!$G$165:$G$167)-SUM(Q57:U57)</f>
      </c>
    </row>
    <row r="58" ht="15.75" customHeight="1">
      <c r="A58"/>
      <c r="B58" s="45"/>
      <c r="C58" s="42" t="s">
        <v>110</v>
      </c>
      <c r="D58" s="42" t="s">
        <v>140</v>
      </c>
      <c r="E58" s="43">
        <f>F58/G58</f>
      </c>
      <c r="F58" s="44">
        <f>SUM(H58:L58)</f>
      </c>
      <c r="G58" s="44">
        <f>SUM(H58:M58)</f>
      </c>
      <c r="H58" s="44">
        <f>COUNTIF('Frameworks'!$M$168:$M$169,H$3)</f>
      </c>
      <c r="I58" s="44">
        <f>COUNTIF('Frameworks'!$M$168:$M$169,I$3)</f>
      </c>
      <c r="J58" s="44">
        <f>COUNTIF('Frameworks'!$M$168:$M$169,J$3)</f>
      </c>
      <c r="K58" s="44">
        <f>COUNTIF('Frameworks'!$M$168:$M$169,K$3)</f>
      </c>
      <c r="L58" s="44">
        <f>COUNTIF('Frameworks'!$M$168:$M$169,L$3)</f>
      </c>
      <c r="M58" s="44">
        <f>COUNTA('Frameworks'!$G$168:$G$169)-SUM(H58:L58)</f>
      </c>
      <c r="N58" s="43">
        <f>O58/P58</f>
      </c>
      <c r="O58" s="44">
        <f>SUM(Q58:U58)</f>
      </c>
      <c r="P58" s="44">
        <f>SUM(Q58:V58)</f>
      </c>
      <c r="Q58" s="44">
        <f>COUNTIF('Frameworks'!$R$168:$R$169,Q$3)</f>
      </c>
      <c r="R58" s="44">
        <f>COUNTIF('Frameworks'!$R$168:$R$169,R$3)</f>
      </c>
      <c r="S58" s="44">
        <f>COUNTIF('Frameworks'!$R$168:$R$169,S$3)</f>
      </c>
      <c r="T58" s="44">
        <f>COUNTIF('Frameworks'!$R$168:$R$169,T$3)</f>
      </c>
      <c r="U58" s="44">
        <f>COUNTIF('Frameworks'!$R$168:$R$169,U$3)</f>
      </c>
      <c r="V58" s="44">
        <f>COUNTA('Frameworks'!$G$168:$G$169)-SUM(Q58:U58)</f>
      </c>
    </row>
    <row r="59" ht="15.75" customHeight="1">
      <c r="A59"/>
      <c r="B59" s="45"/>
      <c r="C59" s="42" t="s">
        <v>110</v>
      </c>
      <c r="D59" s="42" t="s">
        <v>141</v>
      </c>
      <c r="E59" s="43">
        <f>F59/G59</f>
      </c>
      <c r="F59" s="44">
        <f>SUM(H59:L59)</f>
      </c>
      <c r="G59" s="44">
        <f>SUM(H59:M59)</f>
      </c>
      <c r="H59" s="44">
        <f>COUNTIF('Frameworks'!$M$170:$M$171,H$3)</f>
      </c>
      <c r="I59" s="44">
        <f>COUNTIF('Frameworks'!$M$170:$M$171,I$3)</f>
      </c>
      <c r="J59" s="44">
        <f>COUNTIF('Frameworks'!$M$170:$M$171,J$3)</f>
      </c>
      <c r="K59" s="44">
        <f>COUNTIF('Frameworks'!$M$170:$M$171,K$3)</f>
      </c>
      <c r="L59" s="44">
        <f>COUNTIF('Frameworks'!$M$170:$M$171,L$3)</f>
      </c>
      <c r="M59" s="44">
        <f>COUNTA('Frameworks'!$G$170:$G$171)-SUM(H59:L59)</f>
      </c>
      <c r="N59" s="43">
        <f>O59/P59</f>
      </c>
      <c r="O59" s="44">
        <f>SUM(Q59:U59)</f>
      </c>
      <c r="P59" s="44">
        <f>SUM(Q59:V59)</f>
      </c>
      <c r="Q59" s="44">
        <f>COUNTIF('Frameworks'!$R$170:$R$171,Q$3)</f>
      </c>
      <c r="R59" s="44">
        <f>COUNTIF('Frameworks'!$R$170:$R$171,R$3)</f>
      </c>
      <c r="S59" s="44">
        <f>COUNTIF('Frameworks'!$R$170:$R$171,S$3)</f>
      </c>
      <c r="T59" s="44">
        <f>COUNTIF('Frameworks'!$R$170:$R$171,T$3)</f>
      </c>
      <c r="U59" s="44">
        <f>COUNTIF('Frameworks'!$R$170:$R$171,U$3)</f>
      </c>
      <c r="V59" s="44">
        <f>COUNTA('Frameworks'!$G$170:$G$171)-SUM(Q59:U59)</f>
      </c>
    </row>
    <row r="60" ht="15.75" customHeight="1">
      <c r="A60"/>
      <c r="B60" s="45"/>
      <c r="C60" s="42" t="s">
        <v>110</v>
      </c>
      <c r="D60" s="42" t="s">
        <v>3020</v>
      </c>
      <c r="E60" s="43">
        <f>F60/G60</f>
      </c>
      <c r="F60" s="44">
        <f>SUM(H60:L60)</f>
      </c>
      <c r="G60" s="44">
        <f>SUM(H60:M60)</f>
      </c>
      <c r="H60" s="44">
        <f>COUNTIF('Frameworks'!$M$172:$M$175,H$3)</f>
      </c>
      <c r="I60" s="44">
        <f>COUNTIF('Frameworks'!$M$172:$M$175,I$3)</f>
      </c>
      <c r="J60" s="44">
        <f>COUNTIF('Frameworks'!$M$172:$M$175,J$3)</f>
      </c>
      <c r="K60" s="44">
        <f>COUNTIF('Frameworks'!$M$172:$M$175,K$3)</f>
      </c>
      <c r="L60" s="44">
        <f>COUNTIF('Frameworks'!$M$172:$M$175,L$3)</f>
      </c>
      <c r="M60" s="44">
        <f>COUNTA('Frameworks'!$G$172:$G$175)-SUM(H60:L60)</f>
      </c>
      <c r="N60" s="43">
        <f>O60/P60</f>
      </c>
      <c r="O60" s="44">
        <f>SUM(Q60:U60)</f>
      </c>
      <c r="P60" s="44">
        <f>SUM(Q60:V60)</f>
      </c>
      <c r="Q60" s="44">
        <f>COUNTIF('Frameworks'!$R$172:$R$175,Q$3)</f>
      </c>
      <c r="R60" s="44">
        <f>COUNTIF('Frameworks'!$R$172:$R$175,R$3)</f>
      </c>
      <c r="S60" s="44">
        <f>COUNTIF('Frameworks'!$R$172:$R$175,S$3)</f>
      </c>
      <c r="T60" s="44">
        <f>COUNTIF('Frameworks'!$R$172:$R$175,T$3)</f>
      </c>
      <c r="U60" s="44">
        <f>COUNTIF('Frameworks'!$R$172:$R$175,U$3)</f>
      </c>
      <c r="V60" s="44">
        <f>COUNTA('Frameworks'!$G$172:$G$175)-SUM(Q60:U60)</f>
      </c>
    </row>
    <row r="61" ht="15.75" customHeight="1">
      <c r="A61"/>
      <c r="B61" s="45"/>
      <c r="C61" s="42" t="s">
        <v>89</v>
      </c>
      <c r="D61" s="42" t="s">
        <v>3034</v>
      </c>
      <c r="E61" s="43">
        <f>F61/G61</f>
      </c>
      <c r="F61" s="44">
        <f>SUM(H61:L61)</f>
      </c>
      <c r="G61" s="44">
        <f>SUM(H61:M61)</f>
      </c>
      <c r="H61" s="44">
        <f>COUNTIF('Frameworks'!$M$176:$M$177,H$3)</f>
      </c>
      <c r="I61" s="44">
        <f>COUNTIF('Frameworks'!$M$176:$M$177,I$3)</f>
      </c>
      <c r="J61" s="44">
        <f>COUNTIF('Frameworks'!$M$176:$M$177,J$3)</f>
      </c>
      <c r="K61" s="44">
        <f>COUNTIF('Frameworks'!$M$176:$M$177,K$3)</f>
      </c>
      <c r="L61" s="44">
        <f>COUNTIF('Frameworks'!$M$176:$M$177,L$3)</f>
      </c>
      <c r="M61" s="44">
        <f>COUNTA('Frameworks'!$G$176:$G$177)-SUM(H61:L61)</f>
      </c>
      <c r="N61" s="43">
        <f>O61/P61</f>
      </c>
      <c r="O61" s="44">
        <f>SUM(Q61:U61)</f>
      </c>
      <c r="P61" s="44">
        <f>SUM(Q61:V61)</f>
      </c>
      <c r="Q61" s="44">
        <f>COUNTIF('Frameworks'!$R$176:$R$177,Q$3)</f>
      </c>
      <c r="R61" s="44">
        <f>COUNTIF('Frameworks'!$R$176:$R$177,R$3)</f>
      </c>
      <c r="S61" s="44">
        <f>COUNTIF('Frameworks'!$R$176:$R$177,S$3)</f>
      </c>
      <c r="T61" s="44">
        <f>COUNTIF('Frameworks'!$R$176:$R$177,T$3)</f>
      </c>
      <c r="U61" s="44">
        <f>COUNTIF('Frameworks'!$R$176:$R$177,U$3)</f>
      </c>
      <c r="V61" s="44">
        <f>COUNTA('Frameworks'!$G$176:$G$177)-SUM(Q61:U61)</f>
      </c>
    </row>
    <row r="62" ht="15.75" customHeight="1">
      <c r="A62"/>
      <c r="B62" s="45"/>
      <c r="C62" s="42" t="s">
        <v>89</v>
      </c>
      <c r="D62" s="42" t="s">
        <v>116</v>
      </c>
      <c r="E62" s="43">
        <f>F62/G62</f>
      </c>
      <c r="F62" s="44">
        <f>SUM(H62:L62)</f>
      </c>
      <c r="G62" s="44">
        <f>SUM(H62:M62)</f>
      </c>
      <c r="H62" s="44">
        <f>COUNTIF('Frameworks'!$M$178:$M$178,H$3)</f>
      </c>
      <c r="I62" s="44">
        <f>COUNTIF('Frameworks'!$M$178:$M$178,I$3)</f>
      </c>
      <c r="J62" s="44">
        <f>COUNTIF('Frameworks'!$M$178:$M$178,J$3)</f>
      </c>
      <c r="K62" s="44">
        <f>COUNTIF('Frameworks'!$M$178:$M$178,K$3)</f>
      </c>
      <c r="L62" s="44">
        <f>COUNTIF('Frameworks'!$M$178:$M$178,L$3)</f>
      </c>
      <c r="M62" s="44">
        <f>COUNTA('Frameworks'!$G$178:$G$178)-SUM(H62:L62)</f>
      </c>
      <c r="N62" s="43">
        <f>O62/P62</f>
      </c>
      <c r="O62" s="44">
        <f>SUM(Q62:U62)</f>
      </c>
      <c r="P62" s="44">
        <f>SUM(Q62:V62)</f>
      </c>
      <c r="Q62" s="44">
        <f>COUNTIF('Frameworks'!$R$178:$R$178,Q$3)</f>
      </c>
      <c r="R62" s="44">
        <f>COUNTIF('Frameworks'!$R$178:$R$178,R$3)</f>
      </c>
      <c r="S62" s="44">
        <f>COUNTIF('Frameworks'!$R$178:$R$178,S$3)</f>
      </c>
      <c r="T62" s="44">
        <f>COUNTIF('Frameworks'!$R$178:$R$178,T$3)</f>
      </c>
      <c r="U62" s="44">
        <f>COUNTIF('Frameworks'!$R$178:$R$178,U$3)</f>
      </c>
      <c r="V62" s="44">
        <f>COUNTA('Frameworks'!$G$178:$G$178)-SUM(Q62:U62)</f>
      </c>
    </row>
    <row r="63" ht="15.75" customHeight="1">
      <c r="A63"/>
      <c r="B63" s="12"/>
      <c r="C63" s="46" t="s">
        <v>71</v>
      </c>
      <c r="D63" s="46"/>
      <c r="E63" s="47">
        <f>F63/G63</f>
      </c>
      <c r="F63" s="48">
        <f>SUM(H63:L63)</f>
      </c>
      <c r="G63" s="48">
        <f>SUM(H63:M63)</f>
      </c>
      <c r="H63" s="48">
        <f>SUM(H40:H62)</f>
      </c>
      <c r="I63" s="48">
        <f>SUM(I40:I62)</f>
      </c>
      <c r="J63" s="48">
        <f>SUM(J40:J62)</f>
      </c>
      <c r="K63" s="48">
        <f>SUM(K40:K62)</f>
      </c>
      <c r="L63" s="48">
        <f>SUM(L40:L62)</f>
      </c>
      <c r="M63" s="48">
        <f>SUM(M40:M62)</f>
      </c>
      <c r="N63" s="47">
        <f>O63/P63</f>
      </c>
      <c r="O63" s="48">
        <f>SUM(Q63:U63)</f>
      </c>
      <c r="P63" s="48">
        <f>SUM(Q63:V63)</f>
      </c>
      <c r="Q63" s="48">
        <f>SUM(Q40:Q62)</f>
      </c>
      <c r="R63" s="48">
        <f>SUM(R40:R62)</f>
      </c>
      <c r="S63" s="48">
        <f>SUM(S40:S62)</f>
      </c>
      <c r="T63" s="48">
        <f>SUM(T40:T62)</f>
      </c>
      <c r="U63" s="48">
        <f>SUM(U40:U62)</f>
      </c>
      <c r="V63" s="48">
        <f>SUM(V40:V62)</f>
      </c>
    </row>
    <row r="64" ht="15.75" customHeight="1">
      <c r="A64"/>
      <c r="B64" s="41" t="s">
        <v>144</v>
      </c>
      <c r="C64" s="42" t="s">
        <v>80</v>
      </c>
      <c r="D64" s="42" t="s">
        <v>145</v>
      </c>
      <c r="E64" s="43">
        <f>F64/G64</f>
      </c>
      <c r="F64" s="44">
        <f>SUM(H64:L64)</f>
      </c>
      <c r="G64" s="44">
        <f>SUM(H64:M64)</f>
      </c>
      <c r="H64" s="44">
        <f>COUNTIF('Users'!$M$13:$M$14,H$3)</f>
      </c>
      <c r="I64" s="44">
        <f>COUNTIF('Users'!$M$13:$M$14,I$3)</f>
      </c>
      <c r="J64" s="44">
        <f>COUNTIF('Users'!$M$13:$M$14,J$3)</f>
      </c>
      <c r="K64" s="44">
        <f>COUNTIF('Users'!$M$13:$M$14,K$3)</f>
      </c>
      <c r="L64" s="44">
        <f>COUNTIF('Users'!$M$13:$M$14,L$3)</f>
      </c>
      <c r="M64" s="44">
        <f>COUNTA('Users'!$G$13:$G$14)-SUM(H64:L64)</f>
      </c>
      <c r="N64" s="43">
        <f>O64/P64</f>
      </c>
      <c r="O64" s="44">
        <f>SUM(Q64:U64)</f>
      </c>
      <c r="P64" s="44">
        <f>SUM(Q64:V64)</f>
      </c>
      <c r="Q64" s="44">
        <f>COUNTIF('Users'!$R$13:$R$14,Q$3)</f>
      </c>
      <c r="R64" s="44">
        <f>COUNTIF('Users'!$R$13:$R$14,R$3)</f>
      </c>
      <c r="S64" s="44">
        <f>COUNTIF('Users'!$R$13:$R$14,S$3)</f>
      </c>
      <c r="T64" s="44">
        <f>COUNTIF('Users'!$R$13:$R$14,T$3)</f>
      </c>
      <c r="U64" s="44">
        <f>COUNTIF('Users'!$R$13:$R$14,U$3)</f>
      </c>
      <c r="V64" s="44">
        <f>COUNTA('Users'!$G$13:$G$14)-SUM(Q64:U64)</f>
      </c>
    </row>
    <row r="65" ht="15.75" customHeight="1">
      <c r="A65"/>
      <c r="B65" s="45"/>
      <c r="C65" s="42" t="s">
        <v>80</v>
      </c>
      <c r="D65" s="42" t="s">
        <v>146</v>
      </c>
      <c r="E65" s="43">
        <f>F65/G65</f>
      </c>
      <c r="F65" s="44">
        <f>SUM(H65:L65)</f>
      </c>
      <c r="G65" s="44">
        <f>SUM(H65:M65)</f>
      </c>
      <c r="H65" s="44">
        <f>COUNTIF('Users'!$M$15:$M$15,H$3)</f>
      </c>
      <c r="I65" s="44">
        <f>COUNTIF('Users'!$M$15:$M$15,I$3)</f>
      </c>
      <c r="J65" s="44">
        <f>COUNTIF('Users'!$M$15:$M$15,J$3)</f>
      </c>
      <c r="K65" s="44">
        <f>COUNTIF('Users'!$M$15:$M$15,K$3)</f>
      </c>
      <c r="L65" s="44">
        <f>COUNTIF('Users'!$M$15:$M$15,L$3)</f>
      </c>
      <c r="M65" s="44">
        <f>COUNTA('Users'!$G$15:$G$15)-SUM(H65:L65)</f>
      </c>
      <c r="N65" s="43">
        <f>O65/P65</f>
      </c>
      <c r="O65" s="44">
        <f>SUM(Q65:U65)</f>
      </c>
      <c r="P65" s="44">
        <f>SUM(Q65:V65)</f>
      </c>
      <c r="Q65" s="44">
        <f>COUNTIF('Users'!$R$15:$R$15,Q$3)</f>
      </c>
      <c r="R65" s="44">
        <f>COUNTIF('Users'!$R$15:$R$15,R$3)</f>
      </c>
      <c r="S65" s="44">
        <f>COUNTIF('Users'!$R$15:$R$15,S$3)</f>
      </c>
      <c r="T65" s="44">
        <f>COUNTIF('Users'!$R$15:$R$15,T$3)</f>
      </c>
      <c r="U65" s="44">
        <f>COUNTIF('Users'!$R$15:$R$15,U$3)</f>
      </c>
      <c r="V65" s="44">
        <f>COUNTA('Users'!$G$15:$G$15)-SUM(Q65:U65)</f>
      </c>
    </row>
    <row r="66" ht="15.75" customHeight="1">
      <c r="A66"/>
      <c r="B66" s="45"/>
      <c r="C66" s="42" t="s">
        <v>147</v>
      </c>
      <c r="D66" s="42" t="s">
        <v>148</v>
      </c>
      <c r="E66" s="43">
        <f>F66/G66</f>
      </c>
      <c r="F66" s="44">
        <f>SUM(H66:L66)</f>
      </c>
      <c r="G66" s="44">
        <f>SUM(H66:M66)</f>
      </c>
      <c r="H66" s="44">
        <f>COUNTIF('Users'!$M$16:$M$17,H$3)</f>
      </c>
      <c r="I66" s="44">
        <f>COUNTIF('Users'!$M$16:$M$17,I$3)</f>
      </c>
      <c r="J66" s="44">
        <f>COUNTIF('Users'!$M$16:$M$17,J$3)</f>
      </c>
      <c r="K66" s="44">
        <f>COUNTIF('Users'!$M$16:$M$17,K$3)</f>
      </c>
      <c r="L66" s="44">
        <f>COUNTIF('Users'!$M$16:$M$17,L$3)</f>
      </c>
      <c r="M66" s="44">
        <f>COUNTA('Users'!$G$16:$G$17)-SUM(H66:L66)</f>
      </c>
      <c r="N66" s="43">
        <f>O66/P66</f>
      </c>
      <c r="O66" s="44">
        <f>SUM(Q66:U66)</f>
      </c>
      <c r="P66" s="44">
        <f>SUM(Q66:V66)</f>
      </c>
      <c r="Q66" s="44">
        <f>COUNTIF('Users'!$R$16:$R$17,Q$3)</f>
      </c>
      <c r="R66" s="44">
        <f>COUNTIF('Users'!$R$16:$R$17,R$3)</f>
      </c>
      <c r="S66" s="44">
        <f>COUNTIF('Users'!$R$16:$R$17,S$3)</f>
      </c>
      <c r="T66" s="44">
        <f>COUNTIF('Users'!$R$16:$R$17,T$3)</f>
      </c>
      <c r="U66" s="44">
        <f>COUNTIF('Users'!$R$16:$R$17,U$3)</f>
      </c>
      <c r="V66" s="44">
        <f>COUNTA('Users'!$G$16:$G$17)-SUM(Q66:U66)</f>
      </c>
    </row>
    <row r="67" ht="15.75" customHeight="1">
      <c r="A67"/>
      <c r="B67" s="45"/>
      <c r="C67" s="42" t="s">
        <v>147</v>
      </c>
      <c r="D67" s="42" t="s">
        <v>149</v>
      </c>
      <c r="E67" s="43">
        <f>F67/G67</f>
      </c>
      <c r="F67" s="44">
        <f>SUM(H67:L67)</f>
      </c>
      <c r="G67" s="44">
        <f>SUM(H67:M67)</f>
      </c>
      <c r="H67" s="44">
        <f>COUNTIF('Users'!$M$18:$M$18,H$3)</f>
      </c>
      <c r="I67" s="44">
        <f>COUNTIF('Users'!$M$18:$M$18,I$3)</f>
      </c>
      <c r="J67" s="44">
        <f>COUNTIF('Users'!$M$18:$M$18,J$3)</f>
      </c>
      <c r="K67" s="44">
        <f>COUNTIF('Users'!$M$18:$M$18,K$3)</f>
      </c>
      <c r="L67" s="44">
        <f>COUNTIF('Users'!$M$18:$M$18,L$3)</f>
      </c>
      <c r="M67" s="44">
        <f>COUNTA('Users'!$G$18:$G$18)-SUM(H67:L67)</f>
      </c>
      <c r="N67" s="43">
        <f>O67/P67</f>
      </c>
      <c r="O67" s="44">
        <f>SUM(Q67:U67)</f>
      </c>
      <c r="P67" s="44">
        <f>SUM(Q67:V67)</f>
      </c>
      <c r="Q67" s="44">
        <f>COUNTIF('Users'!$R$18:$R$18,Q$3)</f>
      </c>
      <c r="R67" s="44">
        <f>COUNTIF('Users'!$R$18:$R$18,R$3)</f>
      </c>
      <c r="S67" s="44">
        <f>COUNTIF('Users'!$R$18:$R$18,S$3)</f>
      </c>
      <c r="T67" s="44">
        <f>COUNTIF('Users'!$R$18:$R$18,T$3)</f>
      </c>
      <c r="U67" s="44">
        <f>COUNTIF('Users'!$R$18:$R$18,U$3)</f>
      </c>
      <c r="V67" s="44">
        <f>COUNTA('Users'!$G$18:$G$18)-SUM(Q67:U67)</f>
      </c>
    </row>
    <row r="68" ht="31.5" customHeight="1">
      <c r="A68"/>
      <c r="B68" s="45"/>
      <c r="C68" s="42" t="s">
        <v>150</v>
      </c>
      <c r="D68" s="42" t="s">
        <v>151</v>
      </c>
      <c r="E68" s="43">
        <f>F68/G68</f>
      </c>
      <c r="F68" s="44">
        <f>SUM(H68:L68)</f>
      </c>
      <c r="G68" s="44">
        <f>SUM(H68:M68)</f>
      </c>
      <c r="H68" s="44">
        <f>COUNTIF('Users'!$M$19:$M$20,H$3)</f>
      </c>
      <c r="I68" s="44">
        <f>COUNTIF('Users'!$M$19:$M$20,I$3)</f>
      </c>
      <c r="J68" s="44">
        <f>COUNTIF('Users'!$M$19:$M$20,J$3)</f>
      </c>
      <c r="K68" s="44">
        <f>COUNTIF('Users'!$M$19:$M$20,K$3)</f>
      </c>
      <c r="L68" s="44">
        <f>COUNTIF('Users'!$M$19:$M$20,L$3)</f>
      </c>
      <c r="M68" s="44">
        <f>COUNTA('Users'!$G$19:$G$20)-SUM(H68:L68)</f>
      </c>
      <c r="N68" s="43">
        <f>O68/P68</f>
      </c>
      <c r="O68" s="44">
        <f>SUM(Q68:U68)</f>
      </c>
      <c r="P68" s="44">
        <f>SUM(Q68:V68)</f>
      </c>
      <c r="Q68" s="44">
        <f>COUNTIF('Users'!$R$19:$R$20,Q$3)</f>
      </c>
      <c r="R68" s="44">
        <f>COUNTIF('Users'!$R$19:$R$20,R$3)</f>
      </c>
      <c r="S68" s="44">
        <f>COUNTIF('Users'!$R$19:$R$20,S$3)</f>
      </c>
      <c r="T68" s="44">
        <f>COUNTIF('Users'!$R$19:$R$20,T$3)</f>
      </c>
      <c r="U68" s="44">
        <f>COUNTIF('Users'!$R$19:$R$20,U$3)</f>
      </c>
      <c r="V68" s="44">
        <f>COUNTA('Users'!$G$19:$G$20)-SUM(Q68:U68)</f>
      </c>
    </row>
    <row r="69" ht="15.75" customHeight="1">
      <c r="A69"/>
      <c r="B69" s="45"/>
      <c r="C69" s="42" t="s">
        <v>152</v>
      </c>
      <c r="D69" s="42" t="s">
        <v>153</v>
      </c>
      <c r="E69" s="43">
        <f>F69/G69</f>
      </c>
      <c r="F69" s="44">
        <f>SUM(H69:L69)</f>
      </c>
      <c r="G69" s="44">
        <f>SUM(H69:M69)</f>
      </c>
      <c r="H69" s="44">
        <f>COUNTIF('Users'!$M$21:$M$22,H$3)</f>
      </c>
      <c r="I69" s="44">
        <f>COUNTIF('Users'!$M$21:$M$22,I$3)</f>
      </c>
      <c r="J69" s="44">
        <f>COUNTIF('Users'!$M$21:$M$22,J$3)</f>
      </c>
      <c r="K69" s="44">
        <f>COUNTIF('Users'!$M$21:$M$22,K$3)</f>
      </c>
      <c r="L69" s="44">
        <f>COUNTIF('Users'!$M$21:$M$22,L$3)</f>
      </c>
      <c r="M69" s="44">
        <f>COUNTA('Users'!$G$21:$G$22)-SUM(H69:L69)</f>
      </c>
      <c r="N69" s="43">
        <f>O69/P69</f>
      </c>
      <c r="O69" s="44">
        <f>SUM(Q69:U69)</f>
      </c>
      <c r="P69" s="44">
        <f>SUM(Q69:V69)</f>
      </c>
      <c r="Q69" s="44">
        <f>COUNTIF('Users'!$R$21:$R$22,Q$3)</f>
      </c>
      <c r="R69" s="44">
        <f>COUNTIF('Users'!$R$21:$R$22,R$3)</f>
      </c>
      <c r="S69" s="44">
        <f>COUNTIF('Users'!$R$21:$R$22,S$3)</f>
      </c>
      <c r="T69" s="44">
        <f>COUNTIF('Users'!$R$21:$R$22,T$3)</f>
      </c>
      <c r="U69" s="44">
        <f>COUNTIF('Users'!$R$21:$R$22,U$3)</f>
      </c>
      <c r="V69" s="44">
        <f>COUNTA('Users'!$G$21:$G$22)-SUM(Q69:U69)</f>
      </c>
    </row>
    <row r="70" ht="15.75" customHeight="1">
      <c r="A70"/>
      <c r="B70" s="45"/>
      <c r="C70" s="42" t="s">
        <v>152</v>
      </c>
      <c r="D70" s="42" t="s">
        <v>154</v>
      </c>
      <c r="E70" s="43">
        <f>F70/G70</f>
      </c>
      <c r="F70" s="44">
        <f>SUM(H70:L70)</f>
      </c>
      <c r="G70" s="44">
        <f>SUM(H70:M70)</f>
      </c>
      <c r="H70" s="44">
        <f>COUNTIF('Users'!$M$23:$M$36,H$3)</f>
      </c>
      <c r="I70" s="44">
        <f>COUNTIF('Users'!$M$23:$M$36,I$3)</f>
      </c>
      <c r="J70" s="44">
        <f>COUNTIF('Users'!$M$23:$M$36,J$3)</f>
      </c>
      <c r="K70" s="44">
        <f>COUNTIF('Users'!$M$23:$M$36,K$3)</f>
      </c>
      <c r="L70" s="44">
        <f>COUNTIF('Users'!$M$23:$M$36,L$3)</f>
      </c>
      <c r="M70" s="44">
        <f>COUNTA('Users'!$G$23:$G$36)-SUM(H70:L70)</f>
      </c>
      <c r="N70" s="43">
        <f>O70/P70</f>
      </c>
      <c r="O70" s="44">
        <f>SUM(Q70:U70)</f>
      </c>
      <c r="P70" s="44">
        <f>SUM(Q70:V70)</f>
      </c>
      <c r="Q70" s="44">
        <f>COUNTIF('Users'!$R$23:$R$36,Q$3)</f>
      </c>
      <c r="R70" s="44">
        <f>COUNTIF('Users'!$R$23:$R$36,R$3)</f>
      </c>
      <c r="S70" s="44">
        <f>COUNTIF('Users'!$R$23:$R$36,S$3)</f>
      </c>
      <c r="T70" s="44">
        <f>COUNTIF('Users'!$R$23:$R$36,T$3)</f>
      </c>
      <c r="U70" s="44">
        <f>COUNTIF('Users'!$R$23:$R$36,U$3)</f>
      </c>
      <c r="V70" s="44">
        <f>COUNTA('Users'!$G$23:$G$36)-SUM(Q70:U70)</f>
      </c>
    </row>
    <row r="71" ht="15.75" customHeight="1">
      <c r="A71"/>
      <c r="B71" s="45"/>
      <c r="C71" s="42" t="s">
        <v>152</v>
      </c>
      <c r="D71" s="42" t="s">
        <v>155</v>
      </c>
      <c r="E71" s="43">
        <f>F71/G71</f>
      </c>
      <c r="F71" s="44">
        <f>SUM(H71:L71)</f>
      </c>
      <c r="G71" s="44">
        <f>SUM(H71:M71)</f>
      </c>
      <c r="H71" s="44">
        <f>COUNTIF('Users'!$M$37:$M$40,H$3)</f>
      </c>
      <c r="I71" s="44">
        <f>COUNTIF('Users'!$M$37:$M$40,I$3)</f>
      </c>
      <c r="J71" s="44">
        <f>COUNTIF('Users'!$M$37:$M$40,J$3)</f>
      </c>
      <c r="K71" s="44">
        <f>COUNTIF('Users'!$M$37:$M$40,K$3)</f>
      </c>
      <c r="L71" s="44">
        <f>COUNTIF('Users'!$M$37:$M$40,L$3)</f>
      </c>
      <c r="M71" s="44">
        <f>COUNTA('Users'!$G$37:$G$40)-SUM(H71:L71)</f>
      </c>
      <c r="N71" s="43">
        <f>O71/P71</f>
      </c>
      <c r="O71" s="44">
        <f>SUM(Q71:U71)</f>
      </c>
      <c r="P71" s="44">
        <f>SUM(Q71:V71)</f>
      </c>
      <c r="Q71" s="44">
        <f>COUNTIF('Users'!$R$37:$R$40,Q$3)</f>
      </c>
      <c r="R71" s="44">
        <f>COUNTIF('Users'!$R$37:$R$40,R$3)</f>
      </c>
      <c r="S71" s="44">
        <f>COUNTIF('Users'!$R$37:$R$40,S$3)</f>
      </c>
      <c r="T71" s="44">
        <f>COUNTIF('Users'!$R$37:$R$40,T$3)</f>
      </c>
      <c r="U71" s="44">
        <f>COUNTIF('Users'!$R$37:$R$40,U$3)</f>
      </c>
      <c r="V71" s="44">
        <f>COUNTA('Users'!$G$37:$G$40)-SUM(Q71:U71)</f>
      </c>
    </row>
    <row r="72" ht="15.75" customHeight="1">
      <c r="A72"/>
      <c r="B72" s="45"/>
      <c r="C72" s="42" t="s">
        <v>156</v>
      </c>
      <c r="D72" s="42" t="s">
        <v>156</v>
      </c>
      <c r="E72" s="43">
        <f>F72/G72</f>
      </c>
      <c r="F72" s="44">
        <f>SUM(H72:L72)</f>
      </c>
      <c r="G72" s="44">
        <f>SUM(H72:M72)</f>
      </c>
      <c r="H72" s="44">
        <f>COUNTIF('Users'!$M$41:$M$49,H$3)</f>
      </c>
      <c r="I72" s="44">
        <f>COUNTIF('Users'!$M$41:$M$49,I$3)</f>
      </c>
      <c r="J72" s="44">
        <f>COUNTIF('Users'!$M$41:$M$49,J$3)</f>
      </c>
      <c r="K72" s="44">
        <f>COUNTIF('Users'!$M$41:$M$49,K$3)</f>
      </c>
      <c r="L72" s="44">
        <f>COUNTIF('Users'!$M$41:$M$49,L$3)</f>
      </c>
      <c r="M72" s="44">
        <f>COUNTA('Users'!$G$41:$G$49)-SUM(H72:L72)</f>
      </c>
      <c r="N72" s="43">
        <f>O72/P72</f>
      </c>
      <c r="O72" s="44">
        <f>SUM(Q72:U72)</f>
      </c>
      <c r="P72" s="44">
        <f>SUM(Q72:V72)</f>
      </c>
      <c r="Q72" s="44">
        <f>COUNTIF('Users'!$R$41:$R$49,Q$3)</f>
      </c>
      <c r="R72" s="44">
        <f>COUNTIF('Users'!$R$41:$R$49,R$3)</f>
      </c>
      <c r="S72" s="44">
        <f>COUNTIF('Users'!$R$41:$R$49,S$3)</f>
      </c>
      <c r="T72" s="44">
        <f>COUNTIF('Users'!$R$41:$R$49,T$3)</f>
      </c>
      <c r="U72" s="44">
        <f>COUNTIF('Users'!$R$41:$R$49,U$3)</f>
      </c>
      <c r="V72" s="44">
        <f>COUNTA('Users'!$G$41:$G$49)-SUM(Q72:U72)</f>
      </c>
    </row>
    <row r="73" ht="15.75" customHeight="1">
      <c r="A73"/>
      <c r="B73" s="45"/>
      <c r="C73" s="42" t="s">
        <v>157</v>
      </c>
      <c r="D73" s="42" t="s">
        <v>158</v>
      </c>
      <c r="E73" s="43">
        <f>F73/G73</f>
      </c>
      <c r="F73" s="44">
        <f>SUM(H73:L73)</f>
      </c>
      <c r="G73" s="44">
        <f>SUM(H73:M73)</f>
      </c>
      <c r="H73" s="44">
        <f>COUNTIF('Users'!$M$50:$M$55,H$3)</f>
      </c>
      <c r="I73" s="44">
        <f>COUNTIF('Users'!$M$50:$M$55,I$3)</f>
      </c>
      <c r="J73" s="44">
        <f>COUNTIF('Users'!$M$50:$M$55,J$3)</f>
      </c>
      <c r="K73" s="44">
        <f>COUNTIF('Users'!$M$50:$M$55,K$3)</f>
      </c>
      <c r="L73" s="44">
        <f>COUNTIF('Users'!$M$50:$M$55,L$3)</f>
      </c>
      <c r="M73" s="44">
        <f>COUNTA('Users'!$G$50:$G$55)-SUM(H73:L73)</f>
      </c>
      <c r="N73" s="43">
        <f>O73/P73</f>
      </c>
      <c r="O73" s="44">
        <f>SUM(Q73:U73)</f>
      </c>
      <c r="P73" s="44">
        <f>SUM(Q73:V73)</f>
      </c>
      <c r="Q73" s="44">
        <f>COUNTIF('Users'!$R$50:$R$55,Q$3)</f>
      </c>
      <c r="R73" s="44">
        <f>COUNTIF('Users'!$R$50:$R$55,R$3)</f>
      </c>
      <c r="S73" s="44">
        <f>COUNTIF('Users'!$R$50:$R$55,S$3)</f>
      </c>
      <c r="T73" s="44">
        <f>COUNTIF('Users'!$R$50:$R$55,T$3)</f>
      </c>
      <c r="U73" s="44">
        <f>COUNTIF('Users'!$R$50:$R$55,U$3)</f>
      </c>
      <c r="V73" s="44">
        <f>COUNTA('Users'!$G$50:$G$55)-SUM(Q73:U73)</f>
      </c>
    </row>
    <row r="74" ht="15.75" customHeight="1">
      <c r="A74"/>
      <c r="B74" s="45"/>
      <c r="C74" s="42" t="s">
        <v>157</v>
      </c>
      <c r="D74" s="42" t="s">
        <v>159</v>
      </c>
      <c r="E74" s="43">
        <f>F74/G74</f>
      </c>
      <c r="F74" s="44">
        <f>SUM(H74:L74)</f>
      </c>
      <c r="G74" s="44">
        <f>SUM(H74:M74)</f>
      </c>
      <c r="H74" s="44">
        <f>COUNTIF('Users'!$M$56:$M$59,H$3)</f>
      </c>
      <c r="I74" s="44">
        <f>COUNTIF('Users'!$M$56:$M$59,I$3)</f>
      </c>
      <c r="J74" s="44">
        <f>COUNTIF('Users'!$M$56:$M$59,J$3)</f>
      </c>
      <c r="K74" s="44">
        <f>COUNTIF('Users'!$M$56:$M$59,K$3)</f>
      </c>
      <c r="L74" s="44">
        <f>COUNTIF('Users'!$M$56:$M$59,L$3)</f>
      </c>
      <c r="M74" s="44">
        <f>COUNTA('Users'!$G$56:$G$59)-SUM(H74:L74)</f>
      </c>
      <c r="N74" s="43">
        <f>O74/P74</f>
      </c>
      <c r="O74" s="44">
        <f>SUM(Q74:U74)</f>
      </c>
      <c r="P74" s="44">
        <f>SUM(Q74:V74)</f>
      </c>
      <c r="Q74" s="44">
        <f>COUNTIF('Users'!$R$56:$R$59,Q$3)</f>
      </c>
      <c r="R74" s="44">
        <f>COUNTIF('Users'!$R$56:$R$59,R$3)</f>
      </c>
      <c r="S74" s="44">
        <f>COUNTIF('Users'!$R$56:$R$59,S$3)</f>
      </c>
      <c r="T74" s="44">
        <f>COUNTIF('Users'!$R$56:$R$59,T$3)</f>
      </c>
      <c r="U74" s="44">
        <f>COUNTIF('Users'!$R$56:$R$59,U$3)</f>
      </c>
      <c r="V74" s="44">
        <f>COUNTA('Users'!$G$56:$G$59)-SUM(Q74:U74)</f>
      </c>
    </row>
    <row r="75" ht="15.75" customHeight="1">
      <c r="A75"/>
      <c r="B75" s="45"/>
      <c r="C75" s="42" t="s">
        <v>157</v>
      </c>
      <c r="D75" s="42" t="s">
        <v>160</v>
      </c>
      <c r="E75" s="43">
        <f>F75/G75</f>
      </c>
      <c r="F75" s="44">
        <f>SUM(H75:L75)</f>
      </c>
      <c r="G75" s="44">
        <f>SUM(H75:M75)</f>
      </c>
      <c r="H75" s="44">
        <f>COUNTIF('Users'!$M$60:$M$61,H$3)</f>
      </c>
      <c r="I75" s="44">
        <f>COUNTIF('Users'!$M$60:$M$61,I$3)</f>
      </c>
      <c r="J75" s="44">
        <f>COUNTIF('Users'!$M$60:$M$61,J$3)</f>
      </c>
      <c r="K75" s="44">
        <f>COUNTIF('Users'!$M$60:$M$61,K$3)</f>
      </c>
      <c r="L75" s="44">
        <f>COUNTIF('Users'!$M$60:$M$61,L$3)</f>
      </c>
      <c r="M75" s="44">
        <f>COUNTA('Users'!$G$60:$G$61)-SUM(H75:L75)</f>
      </c>
      <c r="N75" s="43">
        <f>O75/P75</f>
      </c>
      <c r="O75" s="44">
        <f>SUM(Q75:U75)</f>
      </c>
      <c r="P75" s="44">
        <f>SUM(Q75:V75)</f>
      </c>
      <c r="Q75" s="44">
        <f>COUNTIF('Users'!$R$60:$R$61,Q$3)</f>
      </c>
      <c r="R75" s="44">
        <f>COUNTIF('Users'!$R$60:$R$61,R$3)</f>
      </c>
      <c r="S75" s="44">
        <f>COUNTIF('Users'!$R$60:$R$61,S$3)</f>
      </c>
      <c r="T75" s="44">
        <f>COUNTIF('Users'!$R$60:$R$61,T$3)</f>
      </c>
      <c r="U75" s="44">
        <f>COUNTIF('Users'!$R$60:$R$61,U$3)</f>
      </c>
      <c r="V75" s="44">
        <f>COUNTA('Users'!$G$60:$G$61)-SUM(Q75:U75)</f>
      </c>
    </row>
    <row r="76" ht="15.75" customHeight="1">
      <c r="A76"/>
      <c r="B76" s="45"/>
      <c r="C76" s="42" t="s">
        <v>161</v>
      </c>
      <c r="D76" s="42" t="s">
        <v>162</v>
      </c>
      <c r="E76" s="43">
        <f>F76/G76</f>
      </c>
      <c r="F76" s="44">
        <f>SUM(H76:L76)</f>
      </c>
      <c r="G76" s="44">
        <f>SUM(H76:M76)</f>
      </c>
      <c r="H76" s="44">
        <f>COUNTIF('Users'!$M$62:$M$63,H$3)</f>
      </c>
      <c r="I76" s="44">
        <f>COUNTIF('Users'!$M$62:$M$63,I$3)</f>
      </c>
      <c r="J76" s="44">
        <f>COUNTIF('Users'!$M$62:$M$63,J$3)</f>
      </c>
      <c r="K76" s="44">
        <f>COUNTIF('Users'!$M$62:$M$63,K$3)</f>
      </c>
      <c r="L76" s="44">
        <f>COUNTIF('Users'!$M$62:$M$63,L$3)</f>
      </c>
      <c r="M76" s="44">
        <f>COUNTA('Users'!$G$62:$G$63)-SUM(H76:L76)</f>
      </c>
      <c r="N76" s="43">
        <f>O76/P76</f>
      </c>
      <c r="O76" s="44">
        <f>SUM(Q76:U76)</f>
      </c>
      <c r="P76" s="44">
        <f>SUM(Q76:V76)</f>
      </c>
      <c r="Q76" s="44">
        <f>COUNTIF('Users'!$R$62:$R$63,Q$3)</f>
      </c>
      <c r="R76" s="44">
        <f>COUNTIF('Users'!$R$62:$R$63,R$3)</f>
      </c>
      <c r="S76" s="44">
        <f>COUNTIF('Users'!$R$62:$R$63,S$3)</f>
      </c>
      <c r="T76" s="44">
        <f>COUNTIF('Users'!$R$62:$R$63,T$3)</f>
      </c>
      <c r="U76" s="44">
        <f>COUNTIF('Users'!$R$62:$R$63,U$3)</f>
      </c>
      <c r="V76" s="44">
        <f>COUNTA('Users'!$G$62:$G$63)-SUM(Q76:U76)</f>
      </c>
    </row>
    <row r="77" ht="15.75" customHeight="1">
      <c r="A77"/>
      <c r="B77" s="45"/>
      <c r="C77" s="42" t="s">
        <v>110</v>
      </c>
      <c r="D77" s="42" t="s">
        <v>111</v>
      </c>
      <c r="E77" s="43">
        <f>F77/G77</f>
      </c>
      <c r="F77" s="44">
        <f>SUM(H77:L77)</f>
      </c>
      <c r="G77" s="44">
        <f>SUM(H77:M77)</f>
      </c>
      <c r="H77" s="44">
        <f>COUNTIF('Users'!$M$64:$M$66,H$3)</f>
      </c>
      <c r="I77" s="44">
        <f>COUNTIF('Users'!$M$64:$M$66,I$3)</f>
      </c>
      <c r="J77" s="44">
        <f>COUNTIF('Users'!$M$64:$M$66,J$3)</f>
      </c>
      <c r="K77" s="44">
        <f>COUNTIF('Users'!$M$64:$M$66,K$3)</f>
      </c>
      <c r="L77" s="44">
        <f>COUNTIF('Users'!$M$64:$M$66,L$3)</f>
      </c>
      <c r="M77" s="44">
        <f>COUNTA('Users'!$G$64:$G$66)-SUM(H77:L77)</f>
      </c>
      <c r="N77" s="43">
        <f>O77/P77</f>
      </c>
      <c r="O77" s="44">
        <f>SUM(Q77:U77)</f>
      </c>
      <c r="P77" s="44">
        <f>SUM(Q77:V77)</f>
      </c>
      <c r="Q77" s="44">
        <f>COUNTIF('Users'!$R$64:$R$66,Q$3)</f>
      </c>
      <c r="R77" s="44">
        <f>COUNTIF('Users'!$R$64:$R$66,R$3)</f>
      </c>
      <c r="S77" s="44">
        <f>COUNTIF('Users'!$R$64:$R$66,S$3)</f>
      </c>
      <c r="T77" s="44">
        <f>COUNTIF('Users'!$R$64:$R$66,T$3)</f>
      </c>
      <c r="U77" s="44">
        <f>COUNTIF('Users'!$R$64:$R$66,U$3)</f>
      </c>
      <c r="V77" s="44">
        <f>COUNTA('Users'!$G$64:$G$66)-SUM(Q77:U77)</f>
      </c>
    </row>
    <row r="78" ht="15.75" customHeight="1">
      <c r="A78"/>
      <c r="B78" s="45"/>
      <c r="C78" s="42" t="s">
        <v>110</v>
      </c>
      <c r="D78" s="42" t="s">
        <v>112</v>
      </c>
      <c r="E78" s="43">
        <f>F78/G78</f>
      </c>
      <c r="F78" s="44">
        <f>SUM(H78:L78)</f>
      </c>
      <c r="G78" s="44">
        <f>SUM(H78:M78)</f>
      </c>
      <c r="H78" s="44">
        <f>COUNTIF('Users'!$M$67:$M$67,H$3)</f>
      </c>
      <c r="I78" s="44">
        <f>COUNTIF('Users'!$M$67:$M$67,I$3)</f>
      </c>
      <c r="J78" s="44">
        <f>COUNTIF('Users'!$M$67:$M$67,J$3)</f>
      </c>
      <c r="K78" s="44">
        <f>COUNTIF('Users'!$M$67:$M$67,K$3)</f>
      </c>
      <c r="L78" s="44">
        <f>COUNTIF('Users'!$M$67:$M$67,L$3)</f>
      </c>
      <c r="M78" s="44">
        <f>COUNTA('Users'!$G$67:$G$67)-SUM(H78:L78)</f>
      </c>
      <c r="N78" s="43">
        <f>O78/P78</f>
      </c>
      <c r="O78" s="44">
        <f>SUM(Q78:U78)</f>
      </c>
      <c r="P78" s="44">
        <f>SUM(Q78:V78)</f>
      </c>
      <c r="Q78" s="44">
        <f>COUNTIF('Users'!$R$67:$R$67,Q$3)</f>
      </c>
      <c r="R78" s="44">
        <f>COUNTIF('Users'!$R$67:$R$67,R$3)</f>
      </c>
      <c r="S78" s="44">
        <f>COUNTIF('Users'!$R$67:$R$67,S$3)</f>
      </c>
      <c r="T78" s="44">
        <f>COUNTIF('Users'!$R$67:$R$67,T$3)</f>
      </c>
      <c r="U78" s="44">
        <f>COUNTIF('Users'!$R$67:$R$67,U$3)</f>
      </c>
      <c r="V78" s="44">
        <f>COUNTA('Users'!$G$67:$G$67)-SUM(Q78:U78)</f>
      </c>
    </row>
    <row r="79" ht="15.75" customHeight="1">
      <c r="A79"/>
      <c r="B79" s="45"/>
      <c r="C79" s="42" t="s">
        <v>110</v>
      </c>
      <c r="D79" s="42" t="s">
        <v>113</v>
      </c>
      <c r="E79" s="43">
        <f>F79/G79</f>
      </c>
      <c r="F79" s="44">
        <f>SUM(H79:L79)</f>
      </c>
      <c r="G79" s="44">
        <f>SUM(H79:M79)</f>
      </c>
      <c r="H79" s="44">
        <f>COUNTIF('Users'!$M$68:$M$68,H$3)</f>
      </c>
      <c r="I79" s="44">
        <f>COUNTIF('Users'!$M$68:$M$68,I$3)</f>
      </c>
      <c r="J79" s="44">
        <f>COUNTIF('Users'!$M$68:$M$68,J$3)</f>
      </c>
      <c r="K79" s="44">
        <f>COUNTIF('Users'!$M$68:$M$68,K$3)</f>
      </c>
      <c r="L79" s="44">
        <f>COUNTIF('Users'!$M$68:$M$68,L$3)</f>
      </c>
      <c r="M79" s="44">
        <f>COUNTA('Users'!$G$68:$G$68)-SUM(H79:L79)</f>
      </c>
      <c r="N79" s="43">
        <f>O79/P79</f>
      </c>
      <c r="O79" s="44">
        <f>SUM(Q79:U79)</f>
      </c>
      <c r="P79" s="44">
        <f>SUM(Q79:V79)</f>
      </c>
      <c r="Q79" s="44">
        <f>COUNTIF('Users'!$R$68:$R$68,Q$3)</f>
      </c>
      <c r="R79" s="44">
        <f>COUNTIF('Users'!$R$68:$R$68,R$3)</f>
      </c>
      <c r="S79" s="44">
        <f>COUNTIF('Users'!$R$68:$R$68,S$3)</f>
      </c>
      <c r="T79" s="44">
        <f>COUNTIF('Users'!$R$68:$R$68,T$3)</f>
      </c>
      <c r="U79" s="44">
        <f>COUNTIF('Users'!$R$68:$R$68,U$3)</f>
      </c>
      <c r="V79" s="44">
        <f>COUNTA('Users'!$G$68:$G$68)-SUM(Q79:U79)</f>
      </c>
    </row>
    <row r="80" ht="15.75" customHeight="1">
      <c r="A80"/>
      <c r="B80" s="45"/>
      <c r="C80" s="42" t="s">
        <v>89</v>
      </c>
      <c r="D80" s="42" t="s">
        <v>114</v>
      </c>
      <c r="E80" s="43">
        <f>F80/G80</f>
      </c>
      <c r="F80" s="44">
        <f>SUM(H80:L80)</f>
      </c>
      <c r="G80" s="44">
        <f>SUM(H80:M80)</f>
      </c>
      <c r="H80" s="44">
        <f>COUNTIF('Users'!$M$69:$M$71,H$3)</f>
      </c>
      <c r="I80" s="44">
        <f>COUNTIF('Users'!$M$69:$M$71,I$3)</f>
      </c>
      <c r="J80" s="44">
        <f>COUNTIF('Users'!$M$69:$M$71,J$3)</f>
      </c>
      <c r="K80" s="44">
        <f>COUNTIF('Users'!$M$69:$M$71,K$3)</f>
      </c>
      <c r="L80" s="44">
        <f>COUNTIF('Users'!$M$69:$M$71,L$3)</f>
      </c>
      <c r="M80" s="44">
        <f>COUNTA('Users'!$G$69:$G$71)-SUM(H80:L80)</f>
      </c>
      <c r="N80" s="43">
        <f>O80/P80</f>
      </c>
      <c r="O80" s="44">
        <f>SUM(Q80:U80)</f>
      </c>
      <c r="P80" s="44">
        <f>SUM(Q80:V80)</f>
      </c>
      <c r="Q80" s="44">
        <f>COUNTIF('Users'!$R$69:$R$71,Q$3)</f>
      </c>
      <c r="R80" s="44">
        <f>COUNTIF('Users'!$R$69:$R$71,R$3)</f>
      </c>
      <c r="S80" s="44">
        <f>COUNTIF('Users'!$R$69:$R$71,S$3)</f>
      </c>
      <c r="T80" s="44">
        <f>COUNTIF('Users'!$R$69:$R$71,T$3)</f>
      </c>
      <c r="U80" s="44">
        <f>COUNTIF('Users'!$R$69:$R$71,U$3)</f>
      </c>
      <c r="V80" s="44">
        <f>COUNTA('Users'!$G$69:$G$71)-SUM(Q80:U80)</f>
      </c>
    </row>
    <row r="81" ht="15.75" customHeight="1">
      <c r="A81"/>
      <c r="B81" s="45"/>
      <c r="C81" s="42" t="s">
        <v>89</v>
      </c>
      <c r="D81" s="42" t="s">
        <v>163</v>
      </c>
      <c r="E81" s="43">
        <f>F81/G81</f>
      </c>
      <c r="F81" s="44">
        <f>SUM(H81:L81)</f>
      </c>
      <c r="G81" s="44">
        <f>SUM(H81:M81)</f>
      </c>
      <c r="H81" s="44">
        <f>COUNTIF('Users'!$M$72:$M$72,H$3)</f>
      </c>
      <c r="I81" s="44">
        <f>COUNTIF('Users'!$M$72:$M$72,I$3)</f>
      </c>
      <c r="J81" s="44">
        <f>COUNTIF('Users'!$M$72:$M$72,J$3)</f>
      </c>
      <c r="K81" s="44">
        <f>COUNTIF('Users'!$M$72:$M$72,K$3)</f>
      </c>
      <c r="L81" s="44">
        <f>COUNTIF('Users'!$M$72:$M$72,L$3)</f>
      </c>
      <c r="M81" s="44">
        <f>COUNTA('Users'!$G$72:$G$72)-SUM(H81:L81)</f>
      </c>
      <c r="N81" s="43">
        <f>O81/P81</f>
      </c>
      <c r="O81" s="44">
        <f>SUM(Q81:U81)</f>
      </c>
      <c r="P81" s="44">
        <f>SUM(Q81:V81)</f>
      </c>
      <c r="Q81" s="44">
        <f>COUNTIF('Users'!$R$72:$R$72,Q$3)</f>
      </c>
      <c r="R81" s="44">
        <f>COUNTIF('Users'!$R$72:$R$72,R$3)</f>
      </c>
      <c r="S81" s="44">
        <f>COUNTIF('Users'!$R$72:$R$72,S$3)</f>
      </c>
      <c r="T81" s="44">
        <f>COUNTIF('Users'!$R$72:$R$72,T$3)</f>
      </c>
      <c r="U81" s="44">
        <f>COUNTIF('Users'!$R$72:$R$72,U$3)</f>
      </c>
      <c r="V81" s="44">
        <f>COUNTA('Users'!$G$72:$G$72)-SUM(Q81:U81)</f>
      </c>
    </row>
    <row r="82" ht="15.75" customHeight="1">
      <c r="A82"/>
      <c r="B82" s="45"/>
      <c r="C82" s="42" t="s">
        <v>89</v>
      </c>
      <c r="D82" s="42" t="s">
        <v>115</v>
      </c>
      <c r="E82" s="43">
        <f>F82/G82</f>
      </c>
      <c r="F82" s="44">
        <f>SUM(H82:L82)</f>
      </c>
      <c r="G82" s="44">
        <f>SUM(H82:M82)</f>
      </c>
      <c r="H82" s="44">
        <f>COUNTIF('Users'!$M$73:$M$73,H$3)</f>
      </c>
      <c r="I82" s="44">
        <f>COUNTIF('Users'!$M$73:$M$73,I$3)</f>
      </c>
      <c r="J82" s="44">
        <f>COUNTIF('Users'!$M$73:$M$73,J$3)</f>
      </c>
      <c r="K82" s="44">
        <f>COUNTIF('Users'!$M$73:$M$73,K$3)</f>
      </c>
      <c r="L82" s="44">
        <f>COUNTIF('Users'!$M$73:$M$73,L$3)</f>
      </c>
      <c r="M82" s="44">
        <f>COUNTA('Users'!$G$73:$G$73)-SUM(H82:L82)</f>
      </c>
      <c r="N82" s="43">
        <f>O82/P82</f>
      </c>
      <c r="O82" s="44">
        <f>SUM(Q82:U82)</f>
      </c>
      <c r="P82" s="44">
        <f>SUM(Q82:V82)</f>
      </c>
      <c r="Q82" s="44">
        <f>COUNTIF('Users'!$R$73:$R$73,Q$3)</f>
      </c>
      <c r="R82" s="44">
        <f>COUNTIF('Users'!$R$73:$R$73,R$3)</f>
      </c>
      <c r="S82" s="44">
        <f>COUNTIF('Users'!$R$73:$R$73,S$3)</f>
      </c>
      <c r="T82" s="44">
        <f>COUNTIF('Users'!$R$73:$R$73,T$3)</f>
      </c>
      <c r="U82" s="44">
        <f>COUNTIF('Users'!$R$73:$R$73,U$3)</f>
      </c>
      <c r="V82" s="44">
        <f>COUNTA('Users'!$G$73:$G$73)-SUM(Q82:U82)</f>
      </c>
    </row>
    <row r="83" ht="15.75" customHeight="1">
      <c r="A83"/>
      <c r="B83" s="45"/>
      <c r="C83" s="42" t="s">
        <v>89</v>
      </c>
      <c r="D83" s="42" t="s">
        <v>116</v>
      </c>
      <c r="E83" s="43">
        <f>F83/G83</f>
      </c>
      <c r="F83" s="44">
        <f>SUM(H83:L83)</f>
      </c>
      <c r="G83" s="44">
        <f>SUM(H83:M83)</f>
      </c>
      <c r="H83" s="44">
        <f>COUNTIF('Users'!$M$74:$M$74,H$3)</f>
      </c>
      <c r="I83" s="44">
        <f>COUNTIF('Users'!$M$74:$M$74,I$3)</f>
      </c>
      <c r="J83" s="44">
        <f>COUNTIF('Users'!$M$74:$M$74,J$3)</f>
      </c>
      <c r="K83" s="44">
        <f>COUNTIF('Users'!$M$74:$M$74,K$3)</f>
      </c>
      <c r="L83" s="44">
        <f>COUNTIF('Users'!$M$74:$M$74,L$3)</f>
      </c>
      <c r="M83" s="44">
        <f>COUNTA('Users'!$G$74:$G$74)-SUM(H83:L83)</f>
      </c>
      <c r="N83" s="43">
        <f>O83/P83</f>
      </c>
      <c r="O83" s="44">
        <f>SUM(Q83:U83)</f>
      </c>
      <c r="P83" s="44">
        <f>SUM(Q83:V83)</f>
      </c>
      <c r="Q83" s="44">
        <f>COUNTIF('Users'!$R$74:$R$74,Q$3)</f>
      </c>
      <c r="R83" s="44">
        <f>COUNTIF('Users'!$R$74:$R$74,R$3)</f>
      </c>
      <c r="S83" s="44">
        <f>COUNTIF('Users'!$R$74:$R$74,S$3)</f>
      </c>
      <c r="T83" s="44">
        <f>COUNTIF('Users'!$R$74:$R$74,T$3)</f>
      </c>
      <c r="U83" s="44">
        <f>COUNTIF('Users'!$R$74:$R$74,U$3)</f>
      </c>
      <c r="V83" s="44">
        <f>COUNTA('Users'!$G$74:$G$74)-SUM(Q83:U83)</f>
      </c>
    </row>
    <row r="84" ht="15.75" customHeight="1">
      <c r="A84"/>
      <c r="B84" s="12"/>
      <c r="C84" s="46" t="s">
        <v>71</v>
      </c>
      <c r="D84" s="46"/>
      <c r="E84" s="47">
        <f>F84/G84</f>
      </c>
      <c r="F84" s="48">
        <f>SUM(H84:L84)</f>
      </c>
      <c r="G84" s="48">
        <f>SUM(H84:M84)</f>
      </c>
      <c r="H84" s="48">
        <f>SUM(H64:H83)</f>
      </c>
      <c r="I84" s="48">
        <f>SUM(I64:I83)</f>
      </c>
      <c r="J84" s="48">
        <f>SUM(J64:J83)</f>
      </c>
      <c r="K84" s="48">
        <f>SUM(K64:K83)</f>
      </c>
      <c r="L84" s="48">
        <f>SUM(L64:L83)</f>
      </c>
      <c r="M84" s="48">
        <f>SUM(M64:M83)</f>
      </c>
      <c r="N84" s="47">
        <f>O84/P84</f>
      </c>
      <c r="O84" s="48">
        <f>SUM(Q84:U84)</f>
      </c>
      <c r="P84" s="48">
        <f>SUM(Q84:V84)</f>
      </c>
      <c r="Q84" s="48">
        <f>SUM(Q64:Q83)</f>
      </c>
      <c r="R84" s="48">
        <f>SUM(R64:R83)</f>
      </c>
      <c r="S84" s="48">
        <f>SUM(S64:S83)</f>
      </c>
      <c r="T84" s="48">
        <f>SUM(T64:T83)</f>
      </c>
      <c r="U84" s="48">
        <f>SUM(U64:U83)</f>
      </c>
      <c r="V84" s="48">
        <f>SUM(V64:V83)</f>
      </c>
    </row>
    <row r="85" ht="15.75" customHeight="1">
      <c r="A85"/>
      <c r="B85" s="41" t="s">
        <v>164</v>
      </c>
      <c r="C85" s="42" t="s">
        <v>80</v>
      </c>
      <c r="D85" s="42" t="s">
        <v>165</v>
      </c>
      <c r="E85" s="43">
        <f>F85/G85</f>
      </c>
      <c r="F85" s="44">
        <f>SUM(H85:L85)</f>
      </c>
      <c r="G85" s="44">
        <f>SUM(H85:M85)</f>
      </c>
      <c r="H85" s="44">
        <f>COUNTIF('Profile'!$M$13:$M$13,H$3)</f>
      </c>
      <c r="I85" s="44">
        <f>COUNTIF('Profile'!$M$13:$M$13,I$3)</f>
      </c>
      <c r="J85" s="44">
        <f>COUNTIF('Profile'!$M$13:$M$13,J$3)</f>
      </c>
      <c r="K85" s="44">
        <f>COUNTIF('Profile'!$M$13:$M$13,K$3)</f>
      </c>
      <c r="L85" s="44">
        <f>COUNTIF('Profile'!$M$13:$M$13,L$3)</f>
      </c>
      <c r="M85" s="44">
        <f>COUNTA('Profile'!$G$13:$G$13)-SUM(H85:L85)</f>
      </c>
      <c r="N85" s="43">
        <f>O85/P85</f>
      </c>
      <c r="O85" s="44">
        <f>SUM(Q85:U85)</f>
      </c>
      <c r="P85" s="44">
        <f>SUM(Q85:V85)</f>
      </c>
      <c r="Q85" s="44">
        <f>COUNTIF('Profile'!$R$13:$R$13,Q$3)</f>
      </c>
      <c r="R85" s="44">
        <f>COUNTIF('Profile'!$R$13:$R$13,R$3)</f>
      </c>
      <c r="S85" s="44">
        <f>COUNTIF('Profile'!$R$13:$R$13,S$3)</f>
      </c>
      <c r="T85" s="44">
        <f>COUNTIF('Profile'!$R$13:$R$13,T$3)</f>
      </c>
      <c r="U85" s="44">
        <f>COUNTIF('Profile'!$R$13:$R$13,U$3)</f>
      </c>
      <c r="V85" s="44">
        <f>COUNTA('Profile'!$G$13:$G$13)-SUM(Q85:U85)</f>
      </c>
    </row>
    <row r="86" ht="15.75" customHeight="1">
      <c r="A86"/>
      <c r="B86" s="45"/>
      <c r="C86" s="42" t="s">
        <v>166</v>
      </c>
      <c r="D86" s="42" t="s">
        <v>167</v>
      </c>
      <c r="E86" s="43">
        <f>F86/G86</f>
      </c>
      <c r="F86" s="44">
        <f>SUM(H86:L86)</f>
      </c>
      <c r="G86" s="44">
        <f>SUM(H86:M86)</f>
      </c>
      <c r="H86" s="44">
        <f>COUNTIF('Profile'!$M$14:$M$15,H$3)</f>
      </c>
      <c r="I86" s="44">
        <f>COUNTIF('Profile'!$M$14:$M$15,I$3)</f>
      </c>
      <c r="J86" s="44">
        <f>COUNTIF('Profile'!$M$14:$M$15,J$3)</f>
      </c>
      <c r="K86" s="44">
        <f>COUNTIF('Profile'!$M$14:$M$15,K$3)</f>
      </c>
      <c r="L86" s="44">
        <f>COUNTIF('Profile'!$M$14:$M$15,L$3)</f>
      </c>
      <c r="M86" s="44">
        <f>COUNTA('Profile'!$G$14:$G$15)-SUM(H86:L86)</f>
      </c>
      <c r="N86" s="43">
        <f>O86/P86</f>
      </c>
      <c r="O86" s="44">
        <f>SUM(Q86:U86)</f>
      </c>
      <c r="P86" s="44">
        <f>SUM(Q86:V86)</f>
      </c>
      <c r="Q86" s="44">
        <f>COUNTIF('Profile'!$R$14:$R$15,Q$3)</f>
      </c>
      <c r="R86" s="44">
        <f>COUNTIF('Profile'!$R$14:$R$15,R$3)</f>
      </c>
      <c r="S86" s="44">
        <f>COUNTIF('Profile'!$R$14:$R$15,S$3)</f>
      </c>
      <c r="T86" s="44">
        <f>COUNTIF('Profile'!$R$14:$R$15,T$3)</f>
      </c>
      <c r="U86" s="44">
        <f>COUNTIF('Profile'!$R$14:$R$15,U$3)</f>
      </c>
      <c r="V86" s="44">
        <f>COUNTA('Profile'!$G$14:$G$15)-SUM(Q86:U86)</f>
      </c>
    </row>
    <row r="87" ht="15.75" customHeight="1">
      <c r="A87"/>
      <c r="B87" s="45"/>
      <c r="C87" s="42" t="s">
        <v>166</v>
      </c>
      <c r="D87" s="42" t="s">
        <v>168</v>
      </c>
      <c r="E87" s="43">
        <f>F87/G87</f>
      </c>
      <c r="F87" s="44">
        <f>SUM(H87:L87)</f>
      </c>
      <c r="G87" s="44">
        <f>SUM(H87:M87)</f>
      </c>
      <c r="H87" s="44">
        <f>COUNTIF('Profile'!$M$16:$M$18,H$3)</f>
      </c>
      <c r="I87" s="44">
        <f>COUNTIF('Profile'!$M$16:$M$18,I$3)</f>
      </c>
      <c r="J87" s="44">
        <f>COUNTIF('Profile'!$M$16:$M$18,J$3)</f>
      </c>
      <c r="K87" s="44">
        <f>COUNTIF('Profile'!$M$16:$M$18,K$3)</f>
      </c>
      <c r="L87" s="44">
        <f>COUNTIF('Profile'!$M$16:$M$18,L$3)</f>
      </c>
      <c r="M87" s="44">
        <f>COUNTA('Profile'!$G$16:$G$18)-SUM(H87:L87)</f>
      </c>
      <c r="N87" s="43">
        <f>O87/P87</f>
      </c>
      <c r="O87" s="44">
        <f>SUM(Q87:U87)</f>
      </c>
      <c r="P87" s="44">
        <f>SUM(Q87:V87)</f>
      </c>
      <c r="Q87" s="44">
        <f>COUNTIF('Profile'!$R$16:$R$18,Q$3)</f>
      </c>
      <c r="R87" s="44">
        <f>COUNTIF('Profile'!$R$16:$R$18,R$3)</f>
      </c>
      <c r="S87" s="44">
        <f>COUNTIF('Profile'!$R$16:$R$18,S$3)</f>
      </c>
      <c r="T87" s="44">
        <f>COUNTIF('Profile'!$R$16:$R$18,T$3)</f>
      </c>
      <c r="U87" s="44">
        <f>COUNTIF('Profile'!$R$16:$R$18,U$3)</f>
      </c>
      <c r="V87" s="44">
        <f>COUNTA('Profile'!$G$16:$G$18)-SUM(Q87:U87)</f>
      </c>
    </row>
    <row r="88" ht="15.75" customHeight="1">
      <c r="A88"/>
      <c r="B88" s="45"/>
      <c r="C88" s="42" t="s">
        <v>169</v>
      </c>
      <c r="D88" s="42" t="s">
        <v>170</v>
      </c>
      <c r="E88" s="43">
        <f>F88/G88</f>
      </c>
      <c r="F88" s="44">
        <f>SUM(H88:L88)</f>
      </c>
      <c r="G88" s="44">
        <f>SUM(H88:M88)</f>
      </c>
      <c r="H88" s="44">
        <f>COUNTIF('Profile'!$M$19:$M$23,H$3)</f>
      </c>
      <c r="I88" s="44">
        <f>COUNTIF('Profile'!$M$19:$M$23,I$3)</f>
      </c>
      <c r="J88" s="44">
        <f>COUNTIF('Profile'!$M$19:$M$23,J$3)</f>
      </c>
      <c r="K88" s="44">
        <f>COUNTIF('Profile'!$M$19:$M$23,K$3)</f>
      </c>
      <c r="L88" s="44">
        <f>COUNTIF('Profile'!$M$19:$M$23,L$3)</f>
      </c>
      <c r="M88" s="44">
        <f>COUNTA('Profile'!$G$19:$G$23)-SUM(H88:L88)</f>
      </c>
      <c r="N88" s="43">
        <f>O88/P88</f>
      </c>
      <c r="O88" s="44">
        <f>SUM(Q88:U88)</f>
      </c>
      <c r="P88" s="44">
        <f>SUM(Q88:V88)</f>
      </c>
      <c r="Q88" s="44">
        <f>COUNTIF('Profile'!$R$19:$R$23,Q$3)</f>
      </c>
      <c r="R88" s="44">
        <f>COUNTIF('Profile'!$R$19:$R$23,R$3)</f>
      </c>
      <c r="S88" s="44">
        <f>COUNTIF('Profile'!$R$19:$R$23,S$3)</f>
      </c>
      <c r="T88" s="44">
        <f>COUNTIF('Profile'!$R$19:$R$23,T$3)</f>
      </c>
      <c r="U88" s="44">
        <f>COUNTIF('Profile'!$R$19:$R$23,U$3)</f>
      </c>
      <c r="V88" s="44">
        <f>COUNTA('Profile'!$G$19:$G$23)-SUM(Q88:U88)</f>
      </c>
    </row>
    <row r="89" ht="15.75" customHeight="1">
      <c r="A89"/>
      <c r="B89" s="45"/>
      <c r="C89" s="42" t="s">
        <v>110</v>
      </c>
      <c r="D89" s="42" t="s">
        <v>113</v>
      </c>
      <c r="E89" s="43">
        <f>F89/G89</f>
      </c>
      <c r="F89" s="44">
        <f>SUM(H89:L89)</f>
      </c>
      <c r="G89" s="44">
        <f>SUM(H89:M89)</f>
      </c>
      <c r="H89" s="44">
        <f>COUNTIF('Profile'!$M$24:$M$24,H$3)</f>
      </c>
      <c r="I89" s="44">
        <f>COUNTIF('Profile'!$M$24:$M$24,I$3)</f>
      </c>
      <c r="J89" s="44">
        <f>COUNTIF('Profile'!$M$24:$M$24,J$3)</f>
      </c>
      <c r="K89" s="44">
        <f>COUNTIF('Profile'!$M$24:$M$24,K$3)</f>
      </c>
      <c r="L89" s="44">
        <f>COUNTIF('Profile'!$M$24:$M$24,L$3)</f>
      </c>
      <c r="M89" s="44">
        <f>COUNTA('Profile'!$G$24:$G$24)-SUM(H89:L89)</f>
      </c>
      <c r="N89" s="43">
        <f>O89/P89</f>
      </c>
      <c r="O89" s="44">
        <f>SUM(Q89:U89)</f>
      </c>
      <c r="P89" s="44">
        <f>SUM(Q89:V89)</f>
      </c>
      <c r="Q89" s="44">
        <f>COUNTIF('Profile'!$R$24:$R$24,Q$3)</f>
      </c>
      <c r="R89" s="44">
        <f>COUNTIF('Profile'!$R$24:$R$24,R$3)</f>
      </c>
      <c r="S89" s="44">
        <f>COUNTIF('Profile'!$R$24:$R$24,S$3)</f>
      </c>
      <c r="T89" s="44">
        <f>COUNTIF('Profile'!$R$24:$R$24,T$3)</f>
      </c>
      <c r="U89" s="44">
        <f>COUNTIF('Profile'!$R$24:$R$24,U$3)</f>
      </c>
      <c r="V89" s="44">
        <f>COUNTA('Profile'!$G$24:$G$24)-SUM(Q89:U89)</f>
      </c>
    </row>
    <row r="90" ht="15.75" customHeight="1">
      <c r="A90"/>
      <c r="B90" s="45"/>
      <c r="C90" s="42" t="s">
        <v>110</v>
      </c>
      <c r="D90" s="42" t="s">
        <v>112</v>
      </c>
      <c r="E90" s="43">
        <f>F90/G90</f>
      </c>
      <c r="F90" s="44">
        <f>SUM(H90:L90)</f>
      </c>
      <c r="G90" s="44">
        <f>SUM(H90:M90)</f>
      </c>
      <c r="H90" s="44">
        <f>COUNTIF('Profile'!$M$25:$M$25,H$3)</f>
      </c>
      <c r="I90" s="44">
        <f>COUNTIF('Profile'!$M$25:$M$25,I$3)</f>
      </c>
      <c r="J90" s="44">
        <f>COUNTIF('Profile'!$M$25:$M$25,J$3)</f>
      </c>
      <c r="K90" s="44">
        <f>COUNTIF('Profile'!$M$25:$M$25,K$3)</f>
      </c>
      <c r="L90" s="44">
        <f>COUNTIF('Profile'!$M$25:$M$25,L$3)</f>
      </c>
      <c r="M90" s="44">
        <f>COUNTA('Profile'!$G$25:$G$25)-SUM(H90:L90)</f>
      </c>
      <c r="N90" s="43">
        <f>O90/P90</f>
      </c>
      <c r="O90" s="44">
        <f>SUM(Q90:U90)</f>
      </c>
      <c r="P90" s="44">
        <f>SUM(Q90:V90)</f>
      </c>
      <c r="Q90" s="44">
        <f>COUNTIF('Profile'!$R$25:$R$25,Q$3)</f>
      </c>
      <c r="R90" s="44">
        <f>COUNTIF('Profile'!$R$25:$R$25,R$3)</f>
      </c>
      <c r="S90" s="44">
        <f>COUNTIF('Profile'!$R$25:$R$25,S$3)</f>
      </c>
      <c r="T90" s="44">
        <f>COUNTIF('Profile'!$R$25:$R$25,T$3)</f>
      </c>
      <c r="U90" s="44">
        <f>COUNTIF('Profile'!$R$25:$R$25,U$3)</f>
      </c>
      <c r="V90" s="44">
        <f>COUNTA('Profile'!$G$25:$G$25)-SUM(Q90:U90)</f>
      </c>
    </row>
    <row r="91" ht="15.75" customHeight="1">
      <c r="A91"/>
      <c r="B91" s="12"/>
      <c r="C91" s="46" t="s">
        <v>71</v>
      </c>
      <c r="D91" s="46"/>
      <c r="E91" s="47">
        <f>F91/G91</f>
      </c>
      <c r="F91" s="48">
        <f>SUM(H91:L91)</f>
      </c>
      <c r="G91" s="48">
        <f>SUM(H91:M91)</f>
      </c>
      <c r="H91" s="48">
        <f>SUM(H85:H90)</f>
      </c>
      <c r="I91" s="48">
        <f>SUM(I85:I90)</f>
      </c>
      <c r="J91" s="48">
        <f>SUM(J85:J90)</f>
      </c>
      <c r="K91" s="48">
        <f>SUM(K85:K90)</f>
      </c>
      <c r="L91" s="48">
        <f>SUM(L85:L90)</f>
      </c>
      <c r="M91" s="48">
        <f>SUM(M85:M90)</f>
      </c>
      <c r="N91" s="47">
        <f>O91/P91</f>
      </c>
      <c r="O91" s="48">
        <f>SUM(Q91:U91)</f>
      </c>
      <c r="P91" s="48">
        <f>SUM(Q91:V91)</f>
      </c>
      <c r="Q91" s="48">
        <f>SUM(Q85:Q90)</f>
      </c>
      <c r="R91" s="48">
        <f>SUM(R85:R90)</f>
      </c>
      <c r="S91" s="48">
        <f>SUM(S85:S90)</f>
      </c>
      <c r="T91" s="48">
        <f>SUM(T85:T90)</f>
      </c>
      <c r="U91" s="48">
        <f>SUM(U85:U90)</f>
      </c>
      <c r="V91" s="48">
        <f>SUM(V85:V90)</f>
      </c>
    </row>
    <row r="92" ht="15.75" customHeight="1">
      <c r="A92"/>
      <c r="B92" s="39" t="s">
        <v>71</v>
      </c>
      <c r="C92" s="46"/>
      <c r="D92" s="46"/>
      <c r="E92" s="47">
        <f>F92/G92</f>
      </c>
      <c r="F92" s="48">
        <f>SUM(F14,F39,F63,F84,F91)</f>
      </c>
      <c r="G92" s="48">
        <f>SUM(G14,G39,G63,G84,G91)</f>
      </c>
      <c r="H92" s="48">
        <f>SUM(H14,H39,H63,H84,H91)</f>
      </c>
      <c r="I92" s="48">
        <f>SUM(I14,I39,I63,I84,I91)</f>
      </c>
      <c r="J92" s="48">
        <f>SUM(J14,J39,J63,J84,J91)</f>
      </c>
      <c r="K92" s="48">
        <f>SUM(K14,K39,K63,K84,K91)</f>
      </c>
      <c r="L92" s="48">
        <f>SUM(L14,L39,L63,L84,L91)</f>
      </c>
      <c r="M92" s="48">
        <f>SUM(M14,M39,M63,M84,M91)</f>
      </c>
      <c r="N92" s="47">
        <f>O92/P92</f>
      </c>
      <c r="O92" s="48">
        <f>SUM(O14,O39,O63,O84,O91)</f>
      </c>
      <c r="P92" s="48">
        <f>SUM(P14,P39,P63,P84,P91)</f>
      </c>
      <c r="Q92" s="48">
        <f>SUM(Q14,Q39,Q63,Q84,Q91)</f>
      </c>
      <c r="R92" s="48">
        <f>SUM(R14,R39,R63,R84,R91)</f>
      </c>
      <c r="S92" s="48">
        <f>SUM(S14,S39,S63,S84,S91)</f>
      </c>
      <c r="T92" s="48">
        <f>SUM(T14,T39,T63,T84,T91)</f>
      </c>
      <c r="U92" s="48">
        <f>SUM(U14,U39,U63,U84,U91)</f>
      </c>
      <c r="V92" s="48">
        <f>SUM(V14,V39,V63,V84,V91)</f>
      </c>
    </row>
    <row r="93" ht="15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ht="15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ht="15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ht="15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ht="15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E2:M2"/>
    <mergeCell ref="N2:V2"/>
    <mergeCell ref="B4:B14"/>
    <mergeCell ref="B15:B39"/>
    <mergeCell ref="B40:B63"/>
    <mergeCell ref="B64:B84"/>
    <mergeCell ref="B85:B9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172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175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COUNTA($G$13:$G$112)</f>
        <v>52</v>
      </c>
      <c r="M4" s="61">
        <f>COUNTIF($M$13:$M941,M3)</f>
        <v>0</v>
      </c>
      <c r="N4" s="61">
        <f>COUNTIF($M$13:$M941,N3)</f>
        <v>0</v>
      </c>
      <c r="O4" s="61">
        <f>COUNTIF($M$13:$M941,O3)</f>
        <v>0</v>
      </c>
      <c r="P4" s="62">
        <f>COUNTIF($M$13:$M941,P3)</f>
        <v>0</v>
      </c>
      <c r="Q4" s="61">
        <f>COUNTIF($M$13:$M941,Q3)</f>
        <v>0</v>
      </c>
      <c r="R4" s="61">
        <f>L4-SUM(M4:Q4)</f>
        <v>52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8">M4/$L$4</f>
        <v>0</v>
      </c>
      <c r="N5" s="64">
        <f t="shared" si="18"/>
        <v>0</v>
      </c>
      <c r="O5" s="64">
        <f t="shared" si="18"/>
        <v>0</v>
      </c>
      <c r="P5" s="65">
        <f t="shared" si="18"/>
        <v>0</v>
      </c>
      <c r="Q5" s="64">
        <f t="shared" si="18"/>
        <v>0</v>
      </c>
      <c r="R5" s="64">
        <f t="shared" si="18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COUNTA($G$13:$G$112)</f>
        <v>52</v>
      </c>
      <c r="M6" s="61">
        <f>COUNTIF($R$13:$R$115,M3)</f>
        <v>0</v>
      </c>
      <c r="N6" s="61">
        <f>COUNTIF($R$13:$R$115,N3)</f>
        <v>0</v>
      </c>
      <c r="O6" s="61">
        <f>COUNTIF($R$13:$R$115,O3)</f>
        <v>0</v>
      </c>
      <c r="P6" s="62">
        <f>COUNTIF($R$13:$R$115,P3)</f>
        <v>0</v>
      </c>
      <c r="Q6" s="61">
        <f>COUNTIF($R$13:$R$115,Q3)</f>
        <v>0</v>
      </c>
      <c r="R6" s="61">
        <f>L6-SUM(M6:Q6)</f>
        <v>52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67" t="s">
        <v>180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9">M6/$L$6</f>
        <v>0</v>
      </c>
      <c r="N7" s="64">
        <f t="shared" si="19"/>
        <v>0</v>
      </c>
      <c r="O7" s="64">
        <f t="shared" si="19"/>
        <v>0</v>
      </c>
      <c r="P7" s="65">
        <f t="shared" si="19"/>
        <v>0</v>
      </c>
      <c r="Q7" s="64">
        <f t="shared" si="19"/>
        <v>0</v>
      </c>
      <c r="R7" s="64">
        <f t="shared" si="19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62.100000000000001" customHeight="1">
      <c r="A13" s="73">
        <v>1</v>
      </c>
      <c r="B13" s="58" t="s">
        <v>79</v>
      </c>
      <c r="C13" s="58" t="s">
        <v>80</v>
      </c>
      <c r="D13" s="58" t="s">
        <v>201</v>
      </c>
      <c r="E13" s="58" t="s">
        <v>202</v>
      </c>
      <c r="F13" s="58" t="s">
        <v>203</v>
      </c>
      <c r="G13" s="58" t="s">
        <v>204</v>
      </c>
      <c r="H13" s="58" t="s">
        <v>205</v>
      </c>
      <c r="I13" s="58" t="s">
        <v>202</v>
      </c>
      <c r="J13" s="58" t="s">
        <v>206</v>
      </c>
      <c r="K13" s="74" t="s">
        <v>207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208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5"/>
      <c r="D14" s="75"/>
      <c r="E14" s="58" t="s">
        <v>209</v>
      </c>
      <c r="F14" s="58" t="s">
        <v>210</v>
      </c>
      <c r="G14" s="58" t="s">
        <v>211</v>
      </c>
      <c r="H14" s="58" t="s">
        <v>212</v>
      </c>
      <c r="I14" s="58" t="s">
        <v>213</v>
      </c>
      <c r="J14" s="58" t="s">
        <v>214</v>
      </c>
      <c r="K14" s="76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215</v>
      </c>
      <c r="X14" s="58" t="s">
        <v>208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78"/>
      <c r="D15" s="78"/>
      <c r="E15" s="58" t="s">
        <v>216</v>
      </c>
      <c r="F15" s="58" t="s">
        <v>203</v>
      </c>
      <c r="G15" s="58" t="s">
        <v>217</v>
      </c>
      <c r="H15" s="58" t="s">
        <v>218</v>
      </c>
      <c r="I15" s="58" t="s">
        <v>202</v>
      </c>
      <c r="J15" s="58" t="s">
        <v>219</v>
      </c>
      <c r="K15" s="74" t="s">
        <v>220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77" t="s">
        <v>221</v>
      </c>
      <c r="X15" s="58" t="s">
        <v>222</v>
      </c>
      <c r="Y15" s="52"/>
      <c r="Z15" s="52"/>
      <c r="AA15" s="52"/>
      <c r="AB15" s="52"/>
      <c r="AC15" s="52"/>
    </row>
    <row r="16" ht="62.100000000000001" customHeight="1">
      <c r="A16" s="73">
        <v>4</v>
      </c>
      <c r="B16" s="75"/>
      <c r="C16" s="58" t="s">
        <v>81</v>
      </c>
      <c r="D16" s="58" t="s">
        <v>223</v>
      </c>
      <c r="E16" s="58" t="s">
        <v>224</v>
      </c>
      <c r="F16" s="58" t="s">
        <v>225</v>
      </c>
      <c r="G16" s="58" t="s">
        <v>226</v>
      </c>
      <c r="H16" s="58" t="s">
        <v>227</v>
      </c>
      <c r="I16" s="58" t="s">
        <v>202</v>
      </c>
      <c r="J16" s="58" t="s">
        <v>228</v>
      </c>
      <c r="K16" s="74" t="s">
        <v>229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208</v>
      </c>
      <c r="Y16" s="52"/>
      <c r="Z16" s="52"/>
      <c r="AA16" s="52"/>
      <c r="AB16" s="52"/>
      <c r="AC16" s="52"/>
    </row>
    <row r="17" ht="48.600000000000001" customHeight="1">
      <c r="A17" s="73">
        <v>5</v>
      </c>
      <c r="B17" s="75"/>
      <c r="C17" s="75"/>
      <c r="D17" s="58" t="s">
        <v>230</v>
      </c>
      <c r="E17" s="58" t="s">
        <v>231</v>
      </c>
      <c r="F17" s="58" t="s">
        <v>225</v>
      </c>
      <c r="G17" s="58" t="s">
        <v>232</v>
      </c>
      <c r="H17" s="58" t="s">
        <v>233</v>
      </c>
      <c r="I17" s="58" t="s">
        <v>202</v>
      </c>
      <c r="J17" s="58" t="s">
        <v>234</v>
      </c>
      <c r="K17" s="74" t="s">
        <v>235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208</v>
      </c>
      <c r="Y17" s="52"/>
      <c r="Z17" s="52"/>
      <c r="AA17" s="52"/>
      <c r="AB17" s="52"/>
      <c r="AC17" s="52"/>
    </row>
    <row r="18" ht="35.100000000000001" customHeight="1">
      <c r="A18" s="73">
        <v>6</v>
      </c>
      <c r="B18" s="75"/>
      <c r="C18" s="75"/>
      <c r="D18" s="75"/>
      <c r="E18" s="58" t="s">
        <v>236</v>
      </c>
      <c r="F18" s="58" t="s">
        <v>225</v>
      </c>
      <c r="G18" s="58" t="s">
        <v>237</v>
      </c>
      <c r="H18" s="58" t="s">
        <v>238</v>
      </c>
      <c r="I18" s="58" t="s">
        <v>202</v>
      </c>
      <c r="J18" s="58" t="s">
        <v>239</v>
      </c>
      <c r="K18" s="76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240</v>
      </c>
      <c r="X18" s="58" t="s">
        <v>208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75"/>
      <c r="C19" s="78"/>
      <c r="D19" s="78"/>
      <c r="E19" s="58" t="s">
        <v>241</v>
      </c>
      <c r="F19" s="58" t="s">
        <v>225</v>
      </c>
      <c r="G19" s="58" t="s">
        <v>242</v>
      </c>
      <c r="H19" s="58" t="s">
        <v>243</v>
      </c>
      <c r="I19" s="58" t="s">
        <v>202</v>
      </c>
      <c r="J19" s="58" t="s">
        <v>244</v>
      </c>
      <c r="K19" s="76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245</v>
      </c>
      <c r="X19" s="58" t="s">
        <v>208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75"/>
      <c r="C20" s="58" t="s">
        <v>82</v>
      </c>
      <c r="D20" s="58" t="s">
        <v>246</v>
      </c>
      <c r="E20" s="58" t="s">
        <v>247</v>
      </c>
      <c r="F20" s="58" t="s">
        <v>210</v>
      </c>
      <c r="G20" s="58" t="s">
        <v>248</v>
      </c>
      <c r="H20" s="58" t="s">
        <v>249</v>
      </c>
      <c r="I20" s="58" t="s">
        <v>202</v>
      </c>
      <c r="J20" s="58" t="s">
        <v>250</v>
      </c>
      <c r="K20" s="74" t="s">
        <v>251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252</v>
      </c>
      <c r="X20" s="58" t="s">
        <v>208</v>
      </c>
      <c r="Y20" s="52"/>
      <c r="Z20" s="52"/>
      <c r="AA20" s="52"/>
      <c r="AB20" s="52"/>
      <c r="AC20" s="52"/>
    </row>
    <row r="21" ht="35.100000000000001" customHeight="1">
      <c r="A21" s="73">
        <v>9</v>
      </c>
      <c r="B21" s="75"/>
      <c r="C21" s="75"/>
      <c r="D21" s="75"/>
      <c r="E21" s="58" t="s">
        <v>253</v>
      </c>
      <c r="F21" s="58" t="s">
        <v>210</v>
      </c>
      <c r="G21" s="58" t="s">
        <v>254</v>
      </c>
      <c r="H21" s="58" t="s">
        <v>255</v>
      </c>
      <c r="I21" s="58" t="s">
        <v>202</v>
      </c>
      <c r="J21" s="58" t="s">
        <v>256</v>
      </c>
      <c r="K21" s="76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77" t="s">
        <v>257</v>
      </c>
      <c r="X21" s="58" t="s">
        <v>208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75"/>
      <c r="C22" s="75"/>
      <c r="D22" s="75"/>
      <c r="E22" s="58" t="s">
        <v>258</v>
      </c>
      <c r="F22" s="58" t="s">
        <v>210</v>
      </c>
      <c r="G22" s="58" t="s">
        <v>259</v>
      </c>
      <c r="H22" s="58" t="s">
        <v>260</v>
      </c>
      <c r="I22" s="58" t="s">
        <v>202</v>
      </c>
      <c r="J22" s="58" t="s">
        <v>261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262</v>
      </c>
      <c r="X22" s="58" t="s">
        <v>208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75"/>
      <c r="C23" s="78"/>
      <c r="D23" s="78"/>
      <c r="E23" s="58" t="s">
        <v>263</v>
      </c>
      <c r="F23" s="58" t="s">
        <v>225</v>
      </c>
      <c r="G23" s="58" t="s">
        <v>264</v>
      </c>
      <c r="H23" s="58" t="s">
        <v>265</v>
      </c>
      <c r="I23" s="58" t="s">
        <v>202</v>
      </c>
      <c r="J23" s="58" t="s">
        <v>266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267</v>
      </c>
      <c r="X23" s="58" t="s">
        <v>208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75"/>
      <c r="C24" s="58" t="s">
        <v>83</v>
      </c>
      <c r="D24" s="58" t="s">
        <v>268</v>
      </c>
      <c r="E24" s="58" t="s">
        <v>269</v>
      </c>
      <c r="F24" s="58" t="s">
        <v>203</v>
      </c>
      <c r="G24" s="58" t="s">
        <v>270</v>
      </c>
      <c r="H24" s="58" t="s">
        <v>271</v>
      </c>
      <c r="I24" s="58" t="s">
        <v>202</v>
      </c>
      <c r="J24" s="58" t="s">
        <v>272</v>
      </c>
      <c r="K24" s="74" t="s">
        <v>273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208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78"/>
      <c r="E25" s="58" t="s">
        <v>274</v>
      </c>
      <c r="F25" s="58" t="s">
        <v>225</v>
      </c>
      <c r="G25" s="58" t="s">
        <v>275</v>
      </c>
      <c r="H25" s="58" t="s">
        <v>276</v>
      </c>
      <c r="I25" s="58" t="s">
        <v>202</v>
      </c>
      <c r="J25" s="58" t="s">
        <v>277</v>
      </c>
      <c r="K25" s="74" t="s">
        <v>278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208</v>
      </c>
      <c r="Y25" s="52"/>
      <c r="Z25" s="52"/>
      <c r="AA25" s="52"/>
      <c r="AB25" s="52"/>
      <c r="AC25" s="52"/>
    </row>
    <row r="26" ht="35.100000000000001" customHeight="1">
      <c r="A26" s="73">
        <v>14</v>
      </c>
      <c r="B26" s="75"/>
      <c r="C26" s="75"/>
      <c r="D26" s="58" t="s">
        <v>279</v>
      </c>
      <c r="E26" s="58" t="s">
        <v>280</v>
      </c>
      <c r="F26" s="58" t="s">
        <v>203</v>
      </c>
      <c r="G26" s="58" t="s">
        <v>281</v>
      </c>
      <c r="H26" s="58" t="s">
        <v>282</v>
      </c>
      <c r="I26" s="58" t="s">
        <v>202</v>
      </c>
      <c r="J26" s="58" t="s">
        <v>283</v>
      </c>
      <c r="K26" s="74" t="s">
        <v>284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208</v>
      </c>
      <c r="Y26" s="52"/>
      <c r="Z26" s="52"/>
      <c r="AA26" s="52"/>
      <c r="AB26" s="52"/>
      <c r="AC26" s="52"/>
    </row>
    <row r="27" ht="35.100000000000001" customHeight="1">
      <c r="A27" s="73">
        <v>15</v>
      </c>
      <c r="B27" s="75"/>
      <c r="C27" s="75"/>
      <c r="D27" s="75"/>
      <c r="E27" s="58" t="s">
        <v>285</v>
      </c>
      <c r="F27" s="58" t="s">
        <v>210</v>
      </c>
      <c r="G27" s="58" t="s">
        <v>286</v>
      </c>
      <c r="H27" s="58" t="s">
        <v>287</v>
      </c>
      <c r="I27" s="58" t="s">
        <v>202</v>
      </c>
      <c r="J27" s="58" t="s">
        <v>288</v>
      </c>
      <c r="K27" s="76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289</v>
      </c>
      <c r="X27" s="58" t="s">
        <v>208</v>
      </c>
      <c r="Y27" s="52"/>
      <c r="Z27" s="52"/>
      <c r="AA27" s="52"/>
      <c r="AB27" s="52"/>
      <c r="AC27" s="52"/>
    </row>
    <row r="28" ht="48.600000000000001" customHeight="1">
      <c r="A28" s="73">
        <v>16</v>
      </c>
      <c r="B28" s="75"/>
      <c r="C28" s="75"/>
      <c r="D28" s="75"/>
      <c r="E28" s="58" t="s">
        <v>290</v>
      </c>
      <c r="F28" s="58" t="s">
        <v>203</v>
      </c>
      <c r="G28" s="58" t="s">
        <v>291</v>
      </c>
      <c r="H28" s="58" t="s">
        <v>292</v>
      </c>
      <c r="I28" s="58" t="s">
        <v>202</v>
      </c>
      <c r="J28" s="58" t="s">
        <v>293</v>
      </c>
      <c r="K28" s="74" t="s">
        <v>294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295</v>
      </c>
      <c r="X28" s="58" t="s">
        <v>222</v>
      </c>
      <c r="Y28" s="52"/>
      <c r="Z28" s="52"/>
      <c r="AA28" s="52"/>
      <c r="AB28" s="52"/>
      <c r="AC28" s="52"/>
    </row>
    <row r="29" ht="48.600000000000001" customHeight="1">
      <c r="A29" s="73">
        <v>17</v>
      </c>
      <c r="B29" s="75"/>
      <c r="C29" s="75"/>
      <c r="D29" s="75"/>
      <c r="E29" s="58" t="s">
        <v>296</v>
      </c>
      <c r="F29" s="58" t="s">
        <v>225</v>
      </c>
      <c r="G29" s="58" t="s">
        <v>297</v>
      </c>
      <c r="H29" s="58" t="s">
        <v>298</v>
      </c>
      <c r="I29" s="58" t="s">
        <v>202</v>
      </c>
      <c r="J29" s="58" t="s">
        <v>299</v>
      </c>
      <c r="K29" s="76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300</v>
      </c>
      <c r="X29" s="58" t="s">
        <v>208</v>
      </c>
      <c r="Y29" s="52"/>
      <c r="Z29" s="52"/>
      <c r="AA29" s="52"/>
      <c r="AB29" s="52"/>
      <c r="AC29" s="52"/>
    </row>
    <row r="30" ht="48.600000000000001" customHeight="1">
      <c r="A30" s="73">
        <v>18</v>
      </c>
      <c r="B30" s="75"/>
      <c r="C30" s="75"/>
      <c r="D30" s="78"/>
      <c r="E30" s="58" t="s">
        <v>301</v>
      </c>
      <c r="F30" s="58" t="s">
        <v>225</v>
      </c>
      <c r="G30" s="58" t="s">
        <v>302</v>
      </c>
      <c r="H30" s="58" t="s">
        <v>303</v>
      </c>
      <c r="I30" s="58" t="s">
        <v>202</v>
      </c>
      <c r="J30" s="58" t="s">
        <v>304</v>
      </c>
      <c r="K30" s="7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305</v>
      </c>
      <c r="X30" s="58" t="s">
        <v>208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58" t="s">
        <v>306</v>
      </c>
      <c r="E31" s="58" t="s">
        <v>307</v>
      </c>
      <c r="F31" s="58" t="s">
        <v>203</v>
      </c>
      <c r="G31" s="58" t="s">
        <v>308</v>
      </c>
      <c r="H31" s="58" t="s">
        <v>309</v>
      </c>
      <c r="I31" s="58" t="s">
        <v>202</v>
      </c>
      <c r="J31" s="58" t="s">
        <v>310</v>
      </c>
      <c r="K31" s="74" t="s">
        <v>311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312</v>
      </c>
      <c r="X31" s="58" t="s">
        <v>208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8"/>
      <c r="D32" s="78"/>
      <c r="E32" s="58" t="s">
        <v>313</v>
      </c>
      <c r="F32" s="58" t="s">
        <v>203</v>
      </c>
      <c r="G32" s="58" t="s">
        <v>314</v>
      </c>
      <c r="H32" s="58" t="s">
        <v>315</v>
      </c>
      <c r="I32" s="58" t="s">
        <v>202</v>
      </c>
      <c r="J32" s="58" t="s">
        <v>316</v>
      </c>
      <c r="K32" s="74" t="s">
        <v>311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317</v>
      </c>
      <c r="X32" s="58" t="s">
        <v>208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58" t="s">
        <v>84</v>
      </c>
      <c r="D33" s="58" t="s">
        <v>268</v>
      </c>
      <c r="E33" s="58" t="s">
        <v>269</v>
      </c>
      <c r="F33" s="58" t="s">
        <v>203</v>
      </c>
      <c r="G33" s="58" t="s">
        <v>318</v>
      </c>
      <c r="H33" s="58" t="s">
        <v>319</v>
      </c>
      <c r="I33" s="58" t="s">
        <v>202</v>
      </c>
      <c r="J33" s="58" t="s">
        <v>320</v>
      </c>
      <c r="K33" s="74" t="s">
        <v>321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208</v>
      </c>
      <c r="Y33" s="52"/>
      <c r="Z33" s="52"/>
      <c r="AA33" s="52"/>
      <c r="AB33" s="52"/>
      <c r="AC33" s="52"/>
    </row>
    <row r="34" ht="35.100000000000001" customHeight="1">
      <c r="A34" s="73">
        <v>22</v>
      </c>
      <c r="B34" s="75"/>
      <c r="C34" s="75"/>
      <c r="D34" s="75"/>
      <c r="E34" s="58" t="s">
        <v>322</v>
      </c>
      <c r="F34" s="58" t="s">
        <v>203</v>
      </c>
      <c r="G34" s="58" t="s">
        <v>323</v>
      </c>
      <c r="H34" s="58" t="s">
        <v>324</v>
      </c>
      <c r="I34" s="58" t="s">
        <v>202</v>
      </c>
      <c r="J34" s="58" t="s">
        <v>325</v>
      </c>
      <c r="K34" s="74" t="s">
        <v>326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208</v>
      </c>
      <c r="Y34" s="52"/>
      <c r="Z34" s="52"/>
      <c r="AA34" s="52"/>
      <c r="AB34" s="52"/>
      <c r="AC34" s="52"/>
    </row>
    <row r="35" ht="35.100000000000001" customHeight="1">
      <c r="A35" s="73">
        <v>23</v>
      </c>
      <c r="B35" s="75"/>
      <c r="C35" s="75"/>
      <c r="D35" s="78"/>
      <c r="E35" s="58" t="s">
        <v>327</v>
      </c>
      <c r="F35" s="58" t="s">
        <v>210</v>
      </c>
      <c r="G35" s="58" t="s">
        <v>328</v>
      </c>
      <c r="H35" s="58" t="s">
        <v>329</v>
      </c>
      <c r="I35" s="58" t="s">
        <v>202</v>
      </c>
      <c r="J35" s="58" t="s">
        <v>330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331</v>
      </c>
      <c r="X35" s="58" t="s">
        <v>208</v>
      </c>
      <c r="Y35" s="52"/>
      <c r="Z35" s="52"/>
      <c r="AA35" s="52"/>
      <c r="AB35" s="52"/>
      <c r="AC35" s="52"/>
    </row>
    <row r="36" ht="35.100000000000001" customHeight="1">
      <c r="A36" s="73">
        <v>24</v>
      </c>
      <c r="B36" s="75"/>
      <c r="C36" s="75"/>
      <c r="D36" s="58" t="s">
        <v>279</v>
      </c>
      <c r="E36" s="58" t="s">
        <v>285</v>
      </c>
      <c r="F36" s="58" t="s">
        <v>210</v>
      </c>
      <c r="G36" s="58" t="s">
        <v>332</v>
      </c>
      <c r="H36" s="58" t="s">
        <v>287</v>
      </c>
      <c r="I36" s="58" t="s">
        <v>202</v>
      </c>
      <c r="J36" s="58" t="s">
        <v>288</v>
      </c>
      <c r="K36" s="7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333</v>
      </c>
      <c r="X36" s="58" t="s">
        <v>208</v>
      </c>
      <c r="Y36" s="52"/>
      <c r="Z36" s="52"/>
      <c r="AA36" s="52"/>
      <c r="AB36" s="52"/>
      <c r="AC36" s="52"/>
    </row>
    <row r="37" ht="35.100000000000001" customHeight="1">
      <c r="A37" s="73">
        <v>25</v>
      </c>
      <c r="B37" s="75"/>
      <c r="C37" s="75"/>
      <c r="D37" s="78"/>
      <c r="E37" s="58" t="s">
        <v>334</v>
      </c>
      <c r="F37" s="58" t="s">
        <v>225</v>
      </c>
      <c r="G37" s="58" t="s">
        <v>335</v>
      </c>
      <c r="H37" s="58" t="s">
        <v>336</v>
      </c>
      <c r="I37" s="58" t="s">
        <v>202</v>
      </c>
      <c r="J37" s="58" t="s">
        <v>337</v>
      </c>
      <c r="K37" s="74" t="s">
        <v>338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208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58" t="s">
        <v>306</v>
      </c>
      <c r="E38" s="58" t="s">
        <v>307</v>
      </c>
      <c r="F38" s="58" t="s">
        <v>203</v>
      </c>
      <c r="G38" s="58" t="s">
        <v>339</v>
      </c>
      <c r="H38" s="58" t="s">
        <v>340</v>
      </c>
      <c r="I38" s="58" t="s">
        <v>202</v>
      </c>
      <c r="J38" s="58" t="s">
        <v>341</v>
      </c>
      <c r="K38" s="74" t="s">
        <v>342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312</v>
      </c>
      <c r="X38" s="58" t="s">
        <v>208</v>
      </c>
      <c r="Y38" s="52"/>
      <c r="Z38" s="52"/>
      <c r="AA38" s="52"/>
      <c r="AB38" s="52"/>
      <c r="AC38" s="52"/>
    </row>
    <row r="39" ht="48.600000000000001" customHeight="1">
      <c r="A39" s="73">
        <v>27</v>
      </c>
      <c r="B39" s="75"/>
      <c r="C39" s="78"/>
      <c r="D39" s="78"/>
      <c r="E39" s="58" t="s">
        <v>343</v>
      </c>
      <c r="F39" s="58" t="s">
        <v>203</v>
      </c>
      <c r="G39" s="58" t="s">
        <v>344</v>
      </c>
      <c r="H39" s="58" t="s">
        <v>345</v>
      </c>
      <c r="I39" s="58" t="s">
        <v>202</v>
      </c>
      <c r="J39" s="58" t="s">
        <v>346</v>
      </c>
      <c r="K39" s="74" t="s">
        <v>347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312</v>
      </c>
      <c r="X39" s="58" t="s">
        <v>208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85</v>
      </c>
      <c r="D40" s="58" t="s">
        <v>348</v>
      </c>
      <c r="E40" s="58" t="s">
        <v>269</v>
      </c>
      <c r="F40" s="58" t="s">
        <v>210</v>
      </c>
      <c r="G40" s="58" t="s">
        <v>349</v>
      </c>
      <c r="H40" s="58" t="s">
        <v>350</v>
      </c>
      <c r="I40" s="58" t="s">
        <v>202</v>
      </c>
      <c r="J40" s="58" t="s">
        <v>351</v>
      </c>
      <c r="K40" s="74" t="s">
        <v>352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208</v>
      </c>
      <c r="Y40" s="52"/>
      <c r="Z40" s="52"/>
      <c r="AA40" s="52"/>
      <c r="AB40" s="52"/>
      <c r="AC40" s="52"/>
    </row>
    <row r="41" ht="48.600000000000001" customHeight="1">
      <c r="A41" s="73">
        <v>29</v>
      </c>
      <c r="B41" s="75"/>
      <c r="C41" s="75"/>
      <c r="D41" s="78"/>
      <c r="E41" s="58" t="s">
        <v>353</v>
      </c>
      <c r="F41" s="58" t="s">
        <v>225</v>
      </c>
      <c r="G41" s="58" t="s">
        <v>354</v>
      </c>
      <c r="H41" s="58" t="s">
        <v>355</v>
      </c>
      <c r="I41" s="58" t="s">
        <v>202</v>
      </c>
      <c r="J41" s="58" t="s">
        <v>356</v>
      </c>
      <c r="K41" s="74" t="s">
        <v>357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208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58" t="s">
        <v>358</v>
      </c>
      <c r="E42" s="58" t="s">
        <v>359</v>
      </c>
      <c r="F42" s="58" t="s">
        <v>210</v>
      </c>
      <c r="G42" s="58" t="s">
        <v>360</v>
      </c>
      <c r="H42" s="58" t="s">
        <v>361</v>
      </c>
      <c r="I42" s="58" t="s">
        <v>202</v>
      </c>
      <c r="J42" s="58" t="s">
        <v>362</v>
      </c>
      <c r="K42" s="76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363</v>
      </c>
      <c r="X42" s="58" t="s">
        <v>208</v>
      </c>
      <c r="Y42" s="52"/>
      <c r="Z42" s="52"/>
      <c r="AA42" s="52"/>
      <c r="AB42" s="52"/>
      <c r="AC42" s="52"/>
    </row>
    <row r="43" ht="62.100000000000001" customHeight="1">
      <c r="A43" s="73">
        <v>31</v>
      </c>
      <c r="B43" s="75"/>
      <c r="C43" s="78"/>
      <c r="D43" s="78"/>
      <c r="E43" s="58" t="s">
        <v>364</v>
      </c>
      <c r="F43" s="58" t="s">
        <v>210</v>
      </c>
      <c r="G43" s="58" t="s">
        <v>365</v>
      </c>
      <c r="H43" s="58" t="s">
        <v>366</v>
      </c>
      <c r="I43" s="58" t="s">
        <v>202</v>
      </c>
      <c r="J43" s="58" t="s">
        <v>367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368</v>
      </c>
      <c r="X43" s="58" t="s">
        <v>208</v>
      </c>
      <c r="Y43" s="52"/>
      <c r="Z43" s="52"/>
      <c r="AA43" s="52"/>
      <c r="AB43" s="52"/>
      <c r="AC43" s="52"/>
    </row>
    <row r="44" ht="62.100000000000001" customHeight="1">
      <c r="A44" s="73">
        <v>32</v>
      </c>
      <c r="B44" s="75"/>
      <c r="C44" s="58" t="s">
        <v>86</v>
      </c>
      <c r="D44" s="58" t="s">
        <v>369</v>
      </c>
      <c r="E44" s="58" t="s">
        <v>370</v>
      </c>
      <c r="F44" s="58" t="s">
        <v>203</v>
      </c>
      <c r="G44" s="58" t="s">
        <v>371</v>
      </c>
      <c r="H44" s="58" t="s">
        <v>372</v>
      </c>
      <c r="I44" s="58" t="s">
        <v>373</v>
      </c>
      <c r="J44" s="58" t="s">
        <v>374</v>
      </c>
      <c r="K44" s="74" t="s">
        <v>375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208</v>
      </c>
      <c r="Y44" s="52"/>
      <c r="Z44" s="52"/>
      <c r="AA44" s="52"/>
      <c r="AB44" s="52"/>
      <c r="AC44" s="52"/>
    </row>
    <row r="45" ht="62.100000000000001" customHeight="1">
      <c r="A45" s="73">
        <v>33</v>
      </c>
      <c r="B45" s="75"/>
      <c r="C45" s="75"/>
      <c r="D45" s="75"/>
      <c r="E45" s="58" t="s">
        <v>376</v>
      </c>
      <c r="F45" s="58" t="s">
        <v>203</v>
      </c>
      <c r="G45" s="58" t="s">
        <v>377</v>
      </c>
      <c r="H45" s="58" t="s">
        <v>378</v>
      </c>
      <c r="I45" s="58" t="s">
        <v>373</v>
      </c>
      <c r="J45" s="58" t="s">
        <v>379</v>
      </c>
      <c r="K45" s="74" t="s">
        <v>380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381</v>
      </c>
      <c r="X45" s="58" t="s">
        <v>208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5"/>
      <c r="D46" s="75"/>
      <c r="E46" s="58" t="s">
        <v>382</v>
      </c>
      <c r="F46" s="58" t="s">
        <v>225</v>
      </c>
      <c r="G46" s="58" t="s">
        <v>383</v>
      </c>
      <c r="H46" s="58" t="s">
        <v>384</v>
      </c>
      <c r="I46" s="58" t="s">
        <v>373</v>
      </c>
      <c r="J46" s="58" t="s">
        <v>385</v>
      </c>
      <c r="K46" s="74" t="s">
        <v>386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208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75"/>
      <c r="D47" s="78"/>
      <c r="E47" s="58" t="s">
        <v>387</v>
      </c>
      <c r="F47" s="58" t="s">
        <v>210</v>
      </c>
      <c r="G47" s="58" t="s">
        <v>388</v>
      </c>
      <c r="H47" s="58" t="s">
        <v>389</v>
      </c>
      <c r="I47" s="58" t="s">
        <v>390</v>
      </c>
      <c r="J47" s="58" t="s">
        <v>391</v>
      </c>
      <c r="K47" s="74" t="s">
        <v>392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222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393</v>
      </c>
      <c r="E48" s="58" t="s">
        <v>394</v>
      </c>
      <c r="F48" s="58" t="s">
        <v>203</v>
      </c>
      <c r="G48" s="58" t="s">
        <v>395</v>
      </c>
      <c r="H48" s="58" t="s">
        <v>396</v>
      </c>
      <c r="I48" s="58" t="s">
        <v>373</v>
      </c>
      <c r="J48" s="58" t="s">
        <v>397</v>
      </c>
      <c r="K48" s="74" t="s">
        <v>398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399</v>
      </c>
      <c r="X48" s="58" t="s">
        <v>208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5"/>
      <c r="C49" s="75"/>
      <c r="D49" s="75"/>
      <c r="E49" s="58" t="s">
        <v>400</v>
      </c>
      <c r="F49" s="58" t="s">
        <v>203</v>
      </c>
      <c r="G49" s="58" t="s">
        <v>401</v>
      </c>
      <c r="H49" s="58" t="s">
        <v>402</v>
      </c>
      <c r="I49" s="58" t="s">
        <v>202</v>
      </c>
      <c r="J49" s="58" t="s">
        <v>403</v>
      </c>
      <c r="K49" s="74" t="s">
        <v>404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405</v>
      </c>
      <c r="X49" s="58" t="s">
        <v>208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75"/>
      <c r="C50" s="75"/>
      <c r="D50" s="75"/>
      <c r="E50" s="58" t="s">
        <v>406</v>
      </c>
      <c r="F50" s="58" t="s">
        <v>203</v>
      </c>
      <c r="G50" s="58" t="s">
        <v>407</v>
      </c>
      <c r="H50" s="58" t="s">
        <v>408</v>
      </c>
      <c r="I50" s="58" t="s">
        <v>409</v>
      </c>
      <c r="J50" s="58" t="s">
        <v>410</v>
      </c>
      <c r="K50" s="74" t="s">
        <v>411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412</v>
      </c>
      <c r="X50" s="58" t="s">
        <v>413</v>
      </c>
      <c r="Y50" s="52"/>
      <c r="Z50" s="52"/>
      <c r="AA50" s="52"/>
      <c r="AB50" s="52"/>
      <c r="AC50" s="52"/>
    </row>
    <row r="51" ht="62.100000000000001" customHeight="1">
      <c r="A51" s="73">
        <v>39</v>
      </c>
      <c r="B51" s="75"/>
      <c r="C51" s="75"/>
      <c r="D51" s="75"/>
      <c r="E51" s="58" t="s">
        <v>414</v>
      </c>
      <c r="F51" s="58" t="s">
        <v>203</v>
      </c>
      <c r="G51" s="58" t="s">
        <v>415</v>
      </c>
      <c r="H51" s="58" t="s">
        <v>416</v>
      </c>
      <c r="I51" s="58" t="s">
        <v>417</v>
      </c>
      <c r="J51" s="58" t="s">
        <v>418</v>
      </c>
      <c r="K51" s="74" t="s">
        <v>411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419</v>
      </c>
      <c r="X51" s="58" t="s">
        <v>208</v>
      </c>
      <c r="Y51" s="52"/>
      <c r="Z51" s="52"/>
      <c r="AA51" s="52"/>
      <c r="AB51" s="52"/>
      <c r="AC51" s="52"/>
    </row>
    <row r="52" ht="48.600000000000001" customHeight="1">
      <c r="A52" s="73">
        <v>40</v>
      </c>
      <c r="B52" s="75"/>
      <c r="C52" s="75"/>
      <c r="D52" s="75"/>
      <c r="E52" s="58" t="s">
        <v>420</v>
      </c>
      <c r="F52" s="58" t="s">
        <v>203</v>
      </c>
      <c r="G52" s="58" t="s">
        <v>421</v>
      </c>
      <c r="H52" s="58" t="s">
        <v>422</v>
      </c>
      <c r="I52" s="58" t="s">
        <v>373</v>
      </c>
      <c r="J52" s="58" t="s">
        <v>423</v>
      </c>
      <c r="K52" s="76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424</v>
      </c>
      <c r="X52" s="58" t="s">
        <v>208</v>
      </c>
      <c r="Y52" s="52"/>
      <c r="Z52" s="52"/>
      <c r="AA52" s="52"/>
      <c r="AB52" s="52"/>
      <c r="AC52" s="52"/>
    </row>
    <row r="53" ht="62.100000000000001" customHeight="1">
      <c r="A53" s="73">
        <v>41</v>
      </c>
      <c r="B53" s="75"/>
      <c r="C53" s="78"/>
      <c r="D53" s="78"/>
      <c r="E53" s="58" t="s">
        <v>425</v>
      </c>
      <c r="F53" s="58" t="s">
        <v>210</v>
      </c>
      <c r="G53" s="58" t="s">
        <v>426</v>
      </c>
      <c r="H53" s="58" t="s">
        <v>427</v>
      </c>
      <c r="I53" s="58" t="s">
        <v>428</v>
      </c>
      <c r="J53" s="58" t="s">
        <v>429</v>
      </c>
      <c r="K53" s="74" t="s">
        <v>430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431</v>
      </c>
      <c r="X53" s="58" t="s">
        <v>432</v>
      </c>
      <c r="Y53" s="52"/>
      <c r="Z53" s="52"/>
      <c r="AA53" s="52"/>
      <c r="AB53" s="52"/>
      <c r="AC53" s="52"/>
    </row>
    <row r="54" ht="48.600000000000001" customHeight="1">
      <c r="A54" s="73">
        <v>42</v>
      </c>
      <c r="B54" s="75"/>
      <c r="C54" s="58" t="s">
        <v>87</v>
      </c>
      <c r="D54" s="58" t="s">
        <v>433</v>
      </c>
      <c r="E54" s="58" t="s">
        <v>269</v>
      </c>
      <c r="F54" s="58" t="s">
        <v>210</v>
      </c>
      <c r="G54" s="58" t="s">
        <v>434</v>
      </c>
      <c r="H54" s="58" t="s">
        <v>435</v>
      </c>
      <c r="I54" s="58" t="s">
        <v>202</v>
      </c>
      <c r="J54" s="58" t="s">
        <v>436</v>
      </c>
      <c r="K54" s="76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437</v>
      </c>
      <c r="X54" s="58" t="s">
        <v>208</v>
      </c>
      <c r="Y54" s="52"/>
      <c r="Z54" s="52"/>
      <c r="AA54" s="52"/>
      <c r="AB54" s="52"/>
      <c r="AC54" s="52"/>
    </row>
    <row r="55" ht="62.100000000000001" customHeight="1">
      <c r="A55" s="73">
        <v>43</v>
      </c>
      <c r="B55" s="75"/>
      <c r="C55" s="75"/>
      <c r="D55" s="75"/>
      <c r="E55" s="58" t="s">
        <v>438</v>
      </c>
      <c r="F55" s="58" t="s">
        <v>210</v>
      </c>
      <c r="G55" s="58" t="s">
        <v>439</v>
      </c>
      <c r="H55" s="58" t="s">
        <v>440</v>
      </c>
      <c r="I55" s="58" t="s">
        <v>373</v>
      </c>
      <c r="J55" s="58" t="s">
        <v>441</v>
      </c>
      <c r="K55" s="76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442</v>
      </c>
      <c r="X55" s="58" t="s">
        <v>208</v>
      </c>
      <c r="Y55" s="52"/>
      <c r="Z55" s="52"/>
      <c r="AA55" s="52"/>
      <c r="AB55" s="52"/>
      <c r="AC55" s="52"/>
    </row>
    <row r="56" ht="48.600000000000001" customHeight="1">
      <c r="A56" s="73">
        <v>44</v>
      </c>
      <c r="B56" s="75"/>
      <c r="C56" s="78"/>
      <c r="D56" s="78"/>
      <c r="E56" s="58" t="s">
        <v>443</v>
      </c>
      <c r="F56" s="58" t="s">
        <v>210</v>
      </c>
      <c r="G56" s="58" t="s">
        <v>444</v>
      </c>
      <c r="H56" s="58" t="s">
        <v>445</v>
      </c>
      <c r="I56" s="58" t="s">
        <v>373</v>
      </c>
      <c r="J56" s="58" t="s">
        <v>446</v>
      </c>
      <c r="K56" s="74" t="s">
        <v>447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208</v>
      </c>
      <c r="Y56" s="52"/>
      <c r="Z56" s="52"/>
      <c r="AA56" s="52"/>
      <c r="AB56" s="52"/>
      <c r="AC56" s="52"/>
    </row>
    <row r="57" ht="48.600000000000001" customHeight="1">
      <c r="A57" s="73">
        <v>45</v>
      </c>
      <c r="B57" s="75"/>
      <c r="C57" s="58" t="s">
        <v>88</v>
      </c>
      <c r="D57" s="58" t="s">
        <v>448</v>
      </c>
      <c r="E57" s="58" t="s">
        <v>449</v>
      </c>
      <c r="F57" s="58" t="s">
        <v>210</v>
      </c>
      <c r="G57" s="58" t="s">
        <v>450</v>
      </c>
      <c r="H57" s="58" t="s">
        <v>451</v>
      </c>
      <c r="I57" s="58" t="s">
        <v>202</v>
      </c>
      <c r="J57" s="58" t="s">
        <v>452</v>
      </c>
      <c r="K57" s="74" t="s">
        <v>453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208</v>
      </c>
      <c r="Y57" s="52"/>
      <c r="Z57" s="52"/>
      <c r="AA57" s="52"/>
      <c r="AB57" s="52"/>
      <c r="AC57" s="52"/>
    </row>
    <row r="58" ht="35.100000000000001" customHeight="1">
      <c r="A58" s="73">
        <v>46</v>
      </c>
      <c r="B58" s="75"/>
      <c r="C58" s="75"/>
      <c r="D58" s="78"/>
      <c r="E58" s="58" t="s">
        <v>454</v>
      </c>
      <c r="F58" s="58" t="s">
        <v>210</v>
      </c>
      <c r="G58" s="58" t="s">
        <v>455</v>
      </c>
      <c r="H58" s="58" t="s">
        <v>456</v>
      </c>
      <c r="I58" s="58" t="s">
        <v>202</v>
      </c>
      <c r="J58" s="58" t="s">
        <v>457</v>
      </c>
      <c r="K58" s="76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458</v>
      </c>
      <c r="X58" s="58" t="s">
        <v>208</v>
      </c>
      <c r="Y58" s="52"/>
      <c r="Z58" s="52"/>
      <c r="AA58" s="52"/>
      <c r="AB58" s="52"/>
      <c r="AC58" s="52"/>
    </row>
    <row r="59" ht="48.600000000000001" customHeight="1">
      <c r="A59" s="73">
        <v>47</v>
      </c>
      <c r="B59" s="75"/>
      <c r="C59" s="78"/>
      <c r="D59" s="58" t="s">
        <v>459</v>
      </c>
      <c r="E59" s="58" t="s">
        <v>460</v>
      </c>
      <c r="F59" s="58" t="s">
        <v>203</v>
      </c>
      <c r="G59" s="58" t="s">
        <v>461</v>
      </c>
      <c r="H59" s="58" t="s">
        <v>462</v>
      </c>
      <c r="I59" s="58" t="s">
        <v>202</v>
      </c>
      <c r="J59" s="58" t="s">
        <v>463</v>
      </c>
      <c r="K59" s="76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464</v>
      </c>
      <c r="X59" s="58" t="s">
        <v>465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89</v>
      </c>
      <c r="D60" s="58" t="s">
        <v>466</v>
      </c>
      <c r="E60" s="58" t="s">
        <v>467</v>
      </c>
      <c r="F60" s="58" t="s">
        <v>203</v>
      </c>
      <c r="G60" s="58" t="s">
        <v>468</v>
      </c>
      <c r="H60" s="58" t="s">
        <v>469</v>
      </c>
      <c r="I60" s="58" t="s">
        <v>202</v>
      </c>
      <c r="J60" s="58" t="s">
        <v>470</v>
      </c>
      <c r="K60" s="74" t="s">
        <v>471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222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8"/>
      <c r="E61" s="58" t="s">
        <v>472</v>
      </c>
      <c r="F61" s="58" t="s">
        <v>203</v>
      </c>
      <c r="G61" s="58" t="s">
        <v>473</v>
      </c>
      <c r="H61" s="58" t="s">
        <v>474</v>
      </c>
      <c r="I61" s="58" t="s">
        <v>202</v>
      </c>
      <c r="J61" s="58" t="s">
        <v>475</v>
      </c>
      <c r="K61" s="74" t="s">
        <v>476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222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58" t="s">
        <v>477</v>
      </c>
      <c r="E62" s="58" t="s">
        <v>478</v>
      </c>
      <c r="F62" s="58" t="s">
        <v>203</v>
      </c>
      <c r="G62" s="58" t="s">
        <v>479</v>
      </c>
      <c r="H62" s="58" t="s">
        <v>480</v>
      </c>
      <c r="I62" s="58" t="s">
        <v>481</v>
      </c>
      <c r="J62" s="58" t="s">
        <v>482</v>
      </c>
      <c r="K62" s="74" t="s">
        <v>483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222</v>
      </c>
      <c r="Y62" s="52"/>
      <c r="Z62" s="52"/>
      <c r="AA62" s="52"/>
      <c r="AB62" s="52"/>
      <c r="AC62" s="52"/>
    </row>
    <row r="63" ht="33.950000000000003" customHeight="1">
      <c r="A63" s="73">
        <v>51</v>
      </c>
      <c r="B63" s="75"/>
      <c r="C63" s="75"/>
      <c r="D63" s="78"/>
      <c r="E63" s="58" t="s">
        <v>484</v>
      </c>
      <c r="F63" s="58" t="s">
        <v>203</v>
      </c>
      <c r="G63" s="58" t="s">
        <v>485</v>
      </c>
      <c r="H63" s="58" t="s">
        <v>486</v>
      </c>
      <c r="I63" s="58" t="s">
        <v>202</v>
      </c>
      <c r="J63" s="58" t="s">
        <v>487</v>
      </c>
      <c r="K63" s="74" t="s">
        <v>488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222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8"/>
      <c r="C64" s="78"/>
      <c r="D64" s="58" t="s">
        <v>489</v>
      </c>
      <c r="E64" s="58" t="s">
        <v>490</v>
      </c>
      <c r="F64" s="58" t="s">
        <v>210</v>
      </c>
      <c r="G64" s="58" t="s">
        <v>491</v>
      </c>
      <c r="H64" s="58" t="s">
        <v>492</v>
      </c>
      <c r="I64" s="58" t="s">
        <v>373</v>
      </c>
      <c r="J64" s="58" t="s">
        <v>493</v>
      </c>
      <c r="K64" s="74" t="s">
        <v>494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495</v>
      </c>
      <c r="X64" s="58" t="s">
        <v>496</v>
      </c>
      <c r="Y64" s="52"/>
      <c r="Z64" s="52"/>
      <c r="AA64" s="52"/>
      <c r="AB64" s="52"/>
      <c r="AC64" s="52"/>
    </row>
    <row r="65" ht="61.5" customHeight="1">
      <c r="A65" s="7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7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7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7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7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7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7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7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7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7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7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7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7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7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7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7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7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7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7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7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7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7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7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7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7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7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7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7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7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7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7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7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7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7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7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7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7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7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7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7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7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7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7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7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7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7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7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7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7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7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7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7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7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376CD66-5060-4CEC-8F4C-804798974579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939FD9F3-B4E9-4F29-8B8D-290DE1929A0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59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497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498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COUNTA($G$13:$G$148)</f>
        <v>136</v>
      </c>
      <c r="M4" s="61">
        <f>COUNTIF($M$13:$M$148,M3)</f>
        <v>0</v>
      </c>
      <c r="N4" s="61">
        <f>COUNTIF($M$13:$M$148,N3)</f>
        <v>0</v>
      </c>
      <c r="O4" s="61">
        <f>COUNTIF($M$13:$M$148,O3)</f>
        <v>0</v>
      </c>
      <c r="P4" s="62">
        <f>COUNTIF($M$13:$M$148,P3)</f>
        <v>0</v>
      </c>
      <c r="Q4" s="61">
        <f>COUNTIF($M$13:$M$148,Q3)</f>
        <v>0</v>
      </c>
      <c r="R4" s="61">
        <f>L4-SUM(M4:Q4)</f>
        <v>136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0">M4/$L$4</f>
        <v>0</v>
      </c>
      <c r="N5" s="64">
        <f t="shared" si="20"/>
        <v>0</v>
      </c>
      <c r="O5" s="64">
        <f t="shared" si="20"/>
        <v>0</v>
      </c>
      <c r="P5" s="65">
        <f t="shared" si="20"/>
        <v>0</v>
      </c>
      <c r="Q5" s="64">
        <f t="shared" si="20"/>
        <v>0</v>
      </c>
      <c r="R5" s="64">
        <f t="shared" si="20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COUNTA($G$13:$G$148)</f>
        <v>136</v>
      </c>
      <c r="M6" s="61">
        <f>COUNTIF($R$13:$R$148,M3)</f>
        <v>0</v>
      </c>
      <c r="N6" s="61">
        <f>COUNTIF($R$13:$R$148,N3)</f>
        <v>0</v>
      </c>
      <c r="O6" s="61">
        <f>COUNTIF($R$13:$R$148,O3)</f>
        <v>0</v>
      </c>
      <c r="P6" s="62">
        <f>COUNTIF($R$13:$R$148,P3)</f>
        <v>0</v>
      </c>
      <c r="Q6" s="61">
        <f>COUNTIF($R$13:$R$148,Q3)</f>
        <v>0</v>
      </c>
      <c r="R6" s="61">
        <f>L6-SUM(M6:Q6)</f>
        <v>136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499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1">M6/$L$6</f>
        <v>0</v>
      </c>
      <c r="N7" s="64">
        <f t="shared" si="21"/>
        <v>0</v>
      </c>
      <c r="O7" s="64">
        <f t="shared" si="21"/>
        <v>0</v>
      </c>
      <c r="P7" s="65">
        <f t="shared" si="21"/>
        <v>0</v>
      </c>
      <c r="Q7" s="64">
        <f t="shared" si="21"/>
        <v>0</v>
      </c>
      <c r="R7" s="64">
        <f t="shared" si="21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90</v>
      </c>
      <c r="D13" s="58" t="s">
        <v>500</v>
      </c>
      <c r="E13" s="58" t="s">
        <v>501</v>
      </c>
      <c r="F13" s="58" t="s">
        <v>203</v>
      </c>
      <c r="G13" s="58" t="s">
        <v>502</v>
      </c>
      <c r="H13" s="58" t="s">
        <v>503</v>
      </c>
      <c r="I13" s="58" t="s">
        <v>504</v>
      </c>
      <c r="J13" s="58" t="s">
        <v>505</v>
      </c>
      <c r="K13" s="74" t="s">
        <v>506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507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8"/>
      <c r="D14" s="58" t="s">
        <v>508</v>
      </c>
      <c r="E14" s="58" t="s">
        <v>209</v>
      </c>
      <c r="F14" s="58" t="s">
        <v>210</v>
      </c>
      <c r="G14" s="58" t="s">
        <v>509</v>
      </c>
      <c r="H14" s="58" t="s">
        <v>510</v>
      </c>
      <c r="I14" s="58" t="s">
        <v>504</v>
      </c>
      <c r="J14" s="58" t="s">
        <v>511</v>
      </c>
      <c r="K14" s="74" t="s">
        <v>512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507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58" t="s">
        <v>91</v>
      </c>
      <c r="D15" s="58" t="s">
        <v>513</v>
      </c>
      <c r="E15" s="58" t="s">
        <v>514</v>
      </c>
      <c r="F15" s="58" t="s">
        <v>203</v>
      </c>
      <c r="G15" s="58" t="s">
        <v>515</v>
      </c>
      <c r="H15" s="58" t="s">
        <v>516</v>
      </c>
      <c r="I15" s="58" t="s">
        <v>504</v>
      </c>
      <c r="J15" s="58" t="s">
        <v>517</v>
      </c>
      <c r="K15" s="74" t="s">
        <v>518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519</v>
      </c>
      <c r="Y15" s="52"/>
      <c r="Z15" s="52"/>
      <c r="AA15" s="52"/>
      <c r="AB15" s="52"/>
      <c r="AC15" s="52"/>
    </row>
    <row r="16" ht="35.100000000000001" customHeight="1">
      <c r="A16" s="73">
        <v>4</v>
      </c>
      <c r="B16" s="75"/>
      <c r="C16" s="75"/>
      <c r="D16" s="58" t="s">
        <v>508</v>
      </c>
      <c r="E16" s="58" t="s">
        <v>520</v>
      </c>
      <c r="F16" s="58" t="s">
        <v>210</v>
      </c>
      <c r="G16" s="58" t="s">
        <v>521</v>
      </c>
      <c r="H16" s="58" t="s">
        <v>522</v>
      </c>
      <c r="I16" s="58" t="s">
        <v>504</v>
      </c>
      <c r="J16" s="58" t="s">
        <v>523</v>
      </c>
      <c r="K16" s="74" t="s">
        <v>524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519</v>
      </c>
      <c r="Y16" s="52"/>
      <c r="Z16" s="52"/>
      <c r="AA16" s="52"/>
      <c r="AB16" s="52"/>
      <c r="AC16" s="52"/>
    </row>
    <row r="17" ht="62.100000000000001" customHeight="1">
      <c r="A17" s="73">
        <v>5</v>
      </c>
      <c r="B17" s="78"/>
      <c r="C17" s="78"/>
      <c r="D17" s="78"/>
      <c r="E17" s="58" t="s">
        <v>525</v>
      </c>
      <c r="F17" s="58" t="s">
        <v>210</v>
      </c>
      <c r="G17" s="58" t="s">
        <v>526</v>
      </c>
      <c r="H17" s="58" t="s">
        <v>527</v>
      </c>
      <c r="I17" s="58" t="s">
        <v>504</v>
      </c>
      <c r="J17" s="58" t="s">
        <v>528</v>
      </c>
      <c r="K17" s="74" t="s">
        <v>529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530</v>
      </c>
      <c r="X17" s="58" t="s">
        <v>519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58" t="s">
        <v>92</v>
      </c>
      <c r="C18" s="58" t="s">
        <v>93</v>
      </c>
      <c r="D18" s="58" t="s">
        <v>268</v>
      </c>
      <c r="E18" s="58" t="s">
        <v>531</v>
      </c>
      <c r="F18" s="58" t="s">
        <v>210</v>
      </c>
      <c r="G18" s="58" t="s">
        <v>532</v>
      </c>
      <c r="H18" s="58" t="s">
        <v>533</v>
      </c>
      <c r="I18" s="58" t="s">
        <v>504</v>
      </c>
      <c r="J18" s="58" t="s">
        <v>534</v>
      </c>
      <c r="K18" s="74" t="s">
        <v>535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536</v>
      </c>
      <c r="X18" s="58" t="s">
        <v>507</v>
      </c>
      <c r="Y18" s="52"/>
      <c r="Z18" s="52"/>
      <c r="AA18" s="52"/>
      <c r="AB18" s="52"/>
      <c r="AC18" s="52"/>
    </row>
    <row r="19" ht="116.09999999999999" customHeight="1">
      <c r="A19" s="73">
        <v>7</v>
      </c>
      <c r="B19" s="75"/>
      <c r="C19" s="58" t="s">
        <v>94</v>
      </c>
      <c r="D19" s="58" t="s">
        <v>537</v>
      </c>
      <c r="E19" s="58" t="s">
        <v>538</v>
      </c>
      <c r="F19" s="58" t="s">
        <v>210</v>
      </c>
      <c r="G19" s="58" t="s">
        <v>539</v>
      </c>
      <c r="H19" s="58" t="s">
        <v>540</v>
      </c>
      <c r="I19" s="58" t="s">
        <v>541</v>
      </c>
      <c r="J19" s="58" t="s">
        <v>542</v>
      </c>
      <c r="K19" s="74" t="s">
        <v>543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544</v>
      </c>
      <c r="X19" s="58" t="s">
        <v>507</v>
      </c>
      <c r="Y19" s="52"/>
      <c r="Z19" s="52"/>
      <c r="AA19" s="52"/>
      <c r="AB19" s="52"/>
      <c r="AC19" s="52"/>
    </row>
    <row r="20" ht="35.100000000000001" customHeight="1">
      <c r="A20" s="73">
        <v>8</v>
      </c>
      <c r="B20" s="75"/>
      <c r="C20" s="58" t="s">
        <v>95</v>
      </c>
      <c r="D20" s="58" t="s">
        <v>268</v>
      </c>
      <c r="E20" s="58" t="s">
        <v>545</v>
      </c>
      <c r="F20" s="58" t="s">
        <v>203</v>
      </c>
      <c r="G20" s="58" t="s">
        <v>546</v>
      </c>
      <c r="H20" s="58" t="s">
        <v>547</v>
      </c>
      <c r="I20" s="58" t="s">
        <v>504</v>
      </c>
      <c r="J20" s="58" t="s">
        <v>548</v>
      </c>
      <c r="K20" s="74" t="s">
        <v>549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550</v>
      </c>
      <c r="X20" s="58" t="s">
        <v>551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75"/>
      <c r="C21" s="75"/>
      <c r="D21" s="58" t="s">
        <v>552</v>
      </c>
      <c r="E21" s="58" t="s">
        <v>553</v>
      </c>
      <c r="F21" s="58" t="s">
        <v>203</v>
      </c>
      <c r="G21" s="58" t="s">
        <v>554</v>
      </c>
      <c r="H21" s="58" t="s">
        <v>555</v>
      </c>
      <c r="I21" s="58" t="s">
        <v>504</v>
      </c>
      <c r="J21" s="58" t="s">
        <v>556</v>
      </c>
      <c r="K21" s="74" t="s">
        <v>557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551</v>
      </c>
      <c r="Y21" s="52"/>
      <c r="Z21" s="52"/>
      <c r="AA21" s="52"/>
      <c r="AB21" s="52"/>
      <c r="AC21" s="52"/>
    </row>
    <row r="22" ht="197.09999999999999" customHeight="1">
      <c r="A22" s="73">
        <v>10</v>
      </c>
      <c r="B22" s="75"/>
      <c r="C22" s="75"/>
      <c r="D22" s="78"/>
      <c r="E22" s="58" t="s">
        <v>558</v>
      </c>
      <c r="F22" s="58" t="s">
        <v>203</v>
      </c>
      <c r="G22" s="58" t="s">
        <v>559</v>
      </c>
      <c r="H22" s="58" t="s">
        <v>560</v>
      </c>
      <c r="I22" s="58" t="s">
        <v>504</v>
      </c>
      <c r="J22" s="58" t="s">
        <v>561</v>
      </c>
      <c r="K22" s="74" t="s">
        <v>562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551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75"/>
      <c r="D23" s="58" t="s">
        <v>563</v>
      </c>
      <c r="E23" s="58" t="s">
        <v>564</v>
      </c>
      <c r="F23" s="58" t="s">
        <v>203</v>
      </c>
      <c r="G23" s="58" t="s">
        <v>565</v>
      </c>
      <c r="H23" s="58" t="s">
        <v>566</v>
      </c>
      <c r="I23" s="58" t="s">
        <v>504</v>
      </c>
      <c r="J23" s="58" t="s">
        <v>567</v>
      </c>
      <c r="K23" s="74" t="s">
        <v>568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569</v>
      </c>
      <c r="X23" s="58" t="s">
        <v>551</v>
      </c>
      <c r="Y23" s="52"/>
      <c r="Z23" s="52"/>
      <c r="AA23" s="52"/>
      <c r="AB23" s="52"/>
      <c r="AC23" s="52"/>
    </row>
    <row r="24" ht="75.599999999999994" customHeight="1">
      <c r="A24" s="73">
        <v>12</v>
      </c>
      <c r="B24" s="75"/>
      <c r="C24" s="75"/>
      <c r="D24" s="78"/>
      <c r="E24" s="58" t="s">
        <v>570</v>
      </c>
      <c r="F24" s="58" t="s">
        <v>210</v>
      </c>
      <c r="G24" s="58" t="s">
        <v>571</v>
      </c>
      <c r="H24" s="58" t="s">
        <v>572</v>
      </c>
      <c r="I24" s="58" t="s">
        <v>504</v>
      </c>
      <c r="J24" s="58" t="s">
        <v>573</v>
      </c>
      <c r="K24" s="74" t="s">
        <v>574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575</v>
      </c>
      <c r="X24" s="58" t="s">
        <v>551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58" t="s">
        <v>576</v>
      </c>
      <c r="E25" s="58" t="s">
        <v>577</v>
      </c>
      <c r="F25" s="58" t="s">
        <v>210</v>
      </c>
      <c r="G25" s="58" t="s">
        <v>578</v>
      </c>
      <c r="H25" s="58" t="s">
        <v>579</v>
      </c>
      <c r="I25" s="58" t="s">
        <v>504</v>
      </c>
      <c r="J25" s="58" t="s">
        <v>580</v>
      </c>
      <c r="K25" s="74" t="s">
        <v>581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551</v>
      </c>
      <c r="Y25" s="52"/>
      <c r="Z25" s="52"/>
      <c r="AA25" s="52"/>
      <c r="AB25" s="52"/>
      <c r="AC25" s="52"/>
    </row>
    <row r="26" ht="75.599999999999994" customHeight="1">
      <c r="A26" s="73">
        <v>14</v>
      </c>
      <c r="B26" s="75"/>
      <c r="C26" s="75"/>
      <c r="D26" s="78"/>
      <c r="E26" s="58" t="s">
        <v>582</v>
      </c>
      <c r="F26" s="58" t="s">
        <v>210</v>
      </c>
      <c r="G26" s="58" t="s">
        <v>583</v>
      </c>
      <c r="H26" s="58" t="s">
        <v>584</v>
      </c>
      <c r="I26" s="58" t="s">
        <v>504</v>
      </c>
      <c r="J26" s="58" t="s">
        <v>585</v>
      </c>
      <c r="K26" s="74" t="s">
        <v>586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551</v>
      </c>
      <c r="Y26" s="52"/>
      <c r="Z26" s="52"/>
      <c r="AA26" s="52"/>
      <c r="AB26" s="52"/>
      <c r="AC26" s="52"/>
    </row>
    <row r="27" ht="62.100000000000001" customHeight="1">
      <c r="A27" s="73">
        <v>15</v>
      </c>
      <c r="B27" s="75"/>
      <c r="C27" s="75"/>
      <c r="D27" s="58" t="s">
        <v>393</v>
      </c>
      <c r="E27" s="58" t="s">
        <v>587</v>
      </c>
      <c r="F27" s="58" t="s">
        <v>203</v>
      </c>
      <c r="G27" s="58" t="s">
        <v>588</v>
      </c>
      <c r="H27" s="58" t="s">
        <v>589</v>
      </c>
      <c r="I27" s="58" t="s">
        <v>504</v>
      </c>
      <c r="J27" s="58" t="s">
        <v>590</v>
      </c>
      <c r="K27" s="74" t="s">
        <v>591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592</v>
      </c>
      <c r="X27" s="58" t="s">
        <v>551</v>
      </c>
      <c r="Y27" s="52"/>
      <c r="Z27" s="52"/>
      <c r="AA27" s="52"/>
      <c r="AB27" s="52"/>
      <c r="AC27" s="52"/>
    </row>
    <row r="28" ht="75.599999999999994" customHeight="1">
      <c r="A28" s="73">
        <v>16</v>
      </c>
      <c r="B28" s="75"/>
      <c r="C28" s="75"/>
      <c r="D28" s="75"/>
      <c r="E28" s="58" t="s">
        <v>593</v>
      </c>
      <c r="F28" s="58" t="s">
        <v>203</v>
      </c>
      <c r="G28" s="58" t="s">
        <v>594</v>
      </c>
      <c r="H28" s="58" t="s">
        <v>595</v>
      </c>
      <c r="I28" s="58" t="s">
        <v>504</v>
      </c>
      <c r="J28" s="58" t="s">
        <v>596</v>
      </c>
      <c r="K28" s="74" t="s">
        <v>597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592</v>
      </c>
      <c r="X28" s="58" t="s">
        <v>551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5"/>
      <c r="E29" s="58" t="s">
        <v>598</v>
      </c>
      <c r="F29" s="58" t="s">
        <v>210</v>
      </c>
      <c r="G29" s="58" t="s">
        <v>599</v>
      </c>
      <c r="H29" s="58" t="s">
        <v>600</v>
      </c>
      <c r="I29" s="58" t="s">
        <v>504</v>
      </c>
      <c r="J29" s="58" t="s">
        <v>601</v>
      </c>
      <c r="K29" s="74" t="s">
        <v>597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602</v>
      </c>
      <c r="X29" s="58" t="s">
        <v>551</v>
      </c>
      <c r="Y29" s="52"/>
      <c r="Z29" s="52"/>
      <c r="AA29" s="52"/>
      <c r="AB29" s="52"/>
      <c r="AC29" s="52"/>
    </row>
    <row r="30" ht="75.599999999999994" customHeight="1">
      <c r="A30" s="73">
        <v>18</v>
      </c>
      <c r="B30" s="75"/>
      <c r="C30" s="75"/>
      <c r="D30" s="75"/>
      <c r="E30" s="58" t="s">
        <v>603</v>
      </c>
      <c r="F30" s="58" t="s">
        <v>203</v>
      </c>
      <c r="G30" s="58" t="s">
        <v>604</v>
      </c>
      <c r="H30" s="58" t="s">
        <v>605</v>
      </c>
      <c r="I30" s="58" t="s">
        <v>504</v>
      </c>
      <c r="J30" s="58" t="s">
        <v>606</v>
      </c>
      <c r="K30" s="74" t="s">
        <v>607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592</v>
      </c>
      <c r="X30" s="58" t="s">
        <v>551</v>
      </c>
      <c r="Y30" s="52"/>
      <c r="Z30" s="52"/>
      <c r="AA30" s="52"/>
      <c r="AB30" s="52"/>
      <c r="AC30" s="52"/>
    </row>
    <row r="31" ht="75.599999999999994" customHeight="1">
      <c r="A31" s="73">
        <v>19</v>
      </c>
      <c r="B31" s="75"/>
      <c r="C31" s="75"/>
      <c r="D31" s="75"/>
      <c r="E31" s="58" t="s">
        <v>608</v>
      </c>
      <c r="F31" s="58" t="s">
        <v>210</v>
      </c>
      <c r="G31" s="58" t="s">
        <v>609</v>
      </c>
      <c r="H31" s="58" t="s">
        <v>610</v>
      </c>
      <c r="I31" s="58" t="s">
        <v>504</v>
      </c>
      <c r="J31" s="58" t="s">
        <v>611</v>
      </c>
      <c r="K31" s="74" t="s">
        <v>607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602</v>
      </c>
      <c r="X31" s="58" t="s">
        <v>551</v>
      </c>
      <c r="Y31" s="52"/>
      <c r="Z31" s="52"/>
      <c r="AA31" s="52"/>
      <c r="AB31" s="52"/>
      <c r="AC31" s="52"/>
    </row>
    <row r="32" ht="75.599999999999994" customHeight="1">
      <c r="A32" s="73">
        <v>20</v>
      </c>
      <c r="B32" s="75"/>
      <c r="C32" s="75"/>
      <c r="D32" s="75"/>
      <c r="E32" s="58" t="s">
        <v>612</v>
      </c>
      <c r="F32" s="58" t="s">
        <v>203</v>
      </c>
      <c r="G32" s="58" t="s">
        <v>613</v>
      </c>
      <c r="H32" s="58" t="s">
        <v>614</v>
      </c>
      <c r="I32" s="58" t="s">
        <v>504</v>
      </c>
      <c r="J32" s="58" t="s">
        <v>615</v>
      </c>
      <c r="K32" s="74" t="s">
        <v>616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617</v>
      </c>
      <c r="X32" s="58" t="s">
        <v>551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75"/>
      <c r="D33" s="75"/>
      <c r="E33" s="58" t="s">
        <v>618</v>
      </c>
      <c r="F33" s="58" t="s">
        <v>210</v>
      </c>
      <c r="G33" s="58" t="s">
        <v>619</v>
      </c>
      <c r="H33" s="58" t="s">
        <v>287</v>
      </c>
      <c r="I33" s="58" t="s">
        <v>504</v>
      </c>
      <c r="J33" s="58" t="s">
        <v>620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621</v>
      </c>
      <c r="X33" s="58" t="s">
        <v>551</v>
      </c>
      <c r="Y33" s="52"/>
      <c r="Z33" s="52"/>
      <c r="AA33" s="52"/>
      <c r="AB33" s="52"/>
      <c r="AC33" s="52"/>
    </row>
    <row r="34" ht="48.600000000000001" customHeight="1">
      <c r="A34" s="73">
        <v>22</v>
      </c>
      <c r="B34" s="75"/>
      <c r="C34" s="75"/>
      <c r="D34" s="75"/>
      <c r="E34" s="58" t="s">
        <v>622</v>
      </c>
      <c r="F34" s="58" t="s">
        <v>210</v>
      </c>
      <c r="G34" s="58" t="s">
        <v>623</v>
      </c>
      <c r="H34" s="58" t="s">
        <v>624</v>
      </c>
      <c r="I34" s="58" t="s">
        <v>504</v>
      </c>
      <c r="J34" s="58" t="s">
        <v>625</v>
      </c>
      <c r="K34" s="74" t="s">
        <v>626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627</v>
      </c>
      <c r="X34" s="58" t="s">
        <v>551</v>
      </c>
      <c r="Y34" s="52"/>
      <c r="Z34" s="52"/>
      <c r="AA34" s="52"/>
      <c r="AB34" s="52"/>
      <c r="AC34" s="52"/>
    </row>
    <row r="35" ht="48.600000000000001" customHeight="1">
      <c r="A35" s="73">
        <v>23</v>
      </c>
      <c r="B35" s="75"/>
      <c r="C35" s="75"/>
      <c r="D35" s="75"/>
      <c r="E35" s="58" t="s">
        <v>628</v>
      </c>
      <c r="F35" s="58" t="s">
        <v>225</v>
      </c>
      <c r="G35" s="58" t="s">
        <v>629</v>
      </c>
      <c r="H35" s="58" t="s">
        <v>630</v>
      </c>
      <c r="I35" s="58" t="s">
        <v>504</v>
      </c>
      <c r="J35" s="58" t="s">
        <v>631</v>
      </c>
      <c r="K35" s="74" t="s">
        <v>632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551</v>
      </c>
      <c r="Y35" s="52"/>
      <c r="Z35" s="52"/>
      <c r="AA35" s="52"/>
      <c r="AB35" s="52"/>
      <c r="AC35" s="52"/>
    </row>
    <row r="36" ht="48.600000000000001" customHeight="1">
      <c r="A36" s="73">
        <v>24</v>
      </c>
      <c r="B36" s="75"/>
      <c r="C36" s="75"/>
      <c r="D36" s="78"/>
      <c r="E36" s="58" t="s">
        <v>633</v>
      </c>
      <c r="F36" s="58" t="s">
        <v>225</v>
      </c>
      <c r="G36" s="58" t="s">
        <v>634</v>
      </c>
      <c r="H36" s="58" t="s">
        <v>635</v>
      </c>
      <c r="I36" s="58" t="s">
        <v>504</v>
      </c>
      <c r="J36" s="58" t="s">
        <v>636</v>
      </c>
      <c r="K36" s="74" t="s">
        <v>632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637</v>
      </c>
      <c r="X36" s="58" t="s">
        <v>551</v>
      </c>
      <c r="Y36" s="52"/>
      <c r="Z36" s="52"/>
      <c r="AA36" s="52"/>
      <c r="AB36" s="52"/>
      <c r="AC36" s="52"/>
    </row>
    <row r="37" ht="129.59999999999999" customHeight="1">
      <c r="A37" s="73">
        <v>25</v>
      </c>
      <c r="B37" s="75"/>
      <c r="C37" s="75"/>
      <c r="D37" s="58" t="s">
        <v>369</v>
      </c>
      <c r="E37" s="58" t="s">
        <v>638</v>
      </c>
      <c r="F37" s="58" t="s">
        <v>203</v>
      </c>
      <c r="G37" s="58" t="s">
        <v>639</v>
      </c>
      <c r="H37" s="58" t="s">
        <v>640</v>
      </c>
      <c r="I37" s="58" t="s">
        <v>504</v>
      </c>
      <c r="J37" s="58" t="s">
        <v>641</v>
      </c>
      <c r="K37" s="74" t="s">
        <v>642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643</v>
      </c>
      <c r="X37" s="58" t="s">
        <v>551</v>
      </c>
      <c r="Y37" s="52"/>
      <c r="Z37" s="52"/>
      <c r="AA37" s="52"/>
      <c r="AB37" s="52"/>
      <c r="AC37" s="52"/>
    </row>
    <row r="38" ht="129.59999999999999" customHeight="1">
      <c r="A38" s="73">
        <v>26</v>
      </c>
      <c r="B38" s="75"/>
      <c r="C38" s="75"/>
      <c r="D38" s="75"/>
      <c r="E38" s="58" t="s">
        <v>644</v>
      </c>
      <c r="F38" s="58" t="s">
        <v>203</v>
      </c>
      <c r="G38" s="58" t="s">
        <v>645</v>
      </c>
      <c r="H38" s="58" t="s">
        <v>640</v>
      </c>
      <c r="I38" s="58" t="s">
        <v>504</v>
      </c>
      <c r="J38" s="58" t="s">
        <v>646</v>
      </c>
      <c r="K38" s="74" t="s">
        <v>647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643</v>
      </c>
      <c r="X38" s="58" t="s">
        <v>551</v>
      </c>
      <c r="Y38" s="52"/>
      <c r="Z38" s="52"/>
      <c r="AA38" s="52"/>
      <c r="AB38" s="52"/>
      <c r="AC38" s="52"/>
    </row>
    <row r="39" ht="170.09999999999999" customHeight="1">
      <c r="A39" s="73">
        <v>27</v>
      </c>
      <c r="B39" s="75"/>
      <c r="C39" s="78"/>
      <c r="D39" s="78"/>
      <c r="E39" s="58" t="s">
        <v>648</v>
      </c>
      <c r="F39" s="58" t="s">
        <v>203</v>
      </c>
      <c r="G39" s="58" t="s">
        <v>649</v>
      </c>
      <c r="H39" s="58" t="s">
        <v>650</v>
      </c>
      <c r="I39" s="58" t="s">
        <v>504</v>
      </c>
      <c r="J39" s="58" t="s">
        <v>651</v>
      </c>
      <c r="K39" s="58" t="s">
        <v>652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643</v>
      </c>
      <c r="X39" s="58" t="s">
        <v>551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96</v>
      </c>
      <c r="D40" s="58" t="s">
        <v>653</v>
      </c>
      <c r="E40" s="58" t="s">
        <v>654</v>
      </c>
      <c r="F40" s="58" t="s">
        <v>210</v>
      </c>
      <c r="G40" s="58" t="s">
        <v>655</v>
      </c>
      <c r="H40" s="58" t="s">
        <v>656</v>
      </c>
      <c r="I40" s="58" t="s">
        <v>504</v>
      </c>
      <c r="J40" s="58" t="s">
        <v>657</v>
      </c>
      <c r="K40" s="74" t="s">
        <v>658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507</v>
      </c>
      <c r="Y40" s="52"/>
      <c r="Z40" s="52"/>
      <c r="AA40" s="52"/>
      <c r="AB40" s="52"/>
      <c r="AC40" s="52"/>
    </row>
    <row r="41" ht="35.100000000000001" customHeight="1">
      <c r="A41" s="73">
        <v>29</v>
      </c>
      <c r="B41" s="75"/>
      <c r="C41" s="75"/>
      <c r="D41" s="58" t="s">
        <v>659</v>
      </c>
      <c r="E41" s="58" t="s">
        <v>660</v>
      </c>
      <c r="F41" s="58" t="s">
        <v>225</v>
      </c>
      <c r="G41" s="58" t="s">
        <v>661</v>
      </c>
      <c r="H41" s="58" t="s">
        <v>662</v>
      </c>
      <c r="I41" s="58" t="s">
        <v>504</v>
      </c>
      <c r="J41" s="58" t="s">
        <v>663</v>
      </c>
      <c r="K41" s="74" t="s">
        <v>664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507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75"/>
      <c r="E42" s="58" t="s">
        <v>665</v>
      </c>
      <c r="F42" s="58" t="s">
        <v>203</v>
      </c>
      <c r="G42" s="58" t="s">
        <v>666</v>
      </c>
      <c r="H42" s="58" t="s">
        <v>667</v>
      </c>
      <c r="I42" s="58" t="s">
        <v>504</v>
      </c>
      <c r="J42" s="58" t="s">
        <v>668</v>
      </c>
      <c r="K42" s="74" t="s">
        <v>669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670</v>
      </c>
      <c r="X42" s="58" t="s">
        <v>507</v>
      </c>
      <c r="Y42" s="52"/>
      <c r="Z42" s="52"/>
      <c r="AA42" s="52"/>
      <c r="AB42" s="52"/>
      <c r="AC42" s="52"/>
    </row>
    <row r="43" ht="35.100000000000001" customHeight="1">
      <c r="A43" s="73">
        <v>31</v>
      </c>
      <c r="B43" s="75"/>
      <c r="C43" s="75"/>
      <c r="D43" s="75"/>
      <c r="E43" s="58" t="s">
        <v>671</v>
      </c>
      <c r="F43" s="58" t="s">
        <v>210</v>
      </c>
      <c r="G43" s="58" t="s">
        <v>672</v>
      </c>
      <c r="H43" s="58" t="s">
        <v>673</v>
      </c>
      <c r="I43" s="58" t="s">
        <v>504</v>
      </c>
      <c r="J43" s="58" t="s">
        <v>674</v>
      </c>
      <c r="K43" s="74" t="s">
        <v>675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676</v>
      </c>
      <c r="X43" s="58" t="s">
        <v>507</v>
      </c>
      <c r="Y43" s="52"/>
      <c r="Z43" s="52"/>
      <c r="AA43" s="52"/>
      <c r="AB43" s="52"/>
      <c r="AC43" s="52"/>
    </row>
    <row r="44" ht="75.599999999999994" customHeight="1">
      <c r="A44" s="73">
        <v>32</v>
      </c>
      <c r="B44" s="75"/>
      <c r="C44" s="75"/>
      <c r="D44" s="75"/>
      <c r="E44" s="58" t="s">
        <v>677</v>
      </c>
      <c r="F44" s="58" t="s">
        <v>203</v>
      </c>
      <c r="G44" s="58" t="s">
        <v>678</v>
      </c>
      <c r="H44" s="58" t="s">
        <v>679</v>
      </c>
      <c r="I44" s="58" t="s">
        <v>504</v>
      </c>
      <c r="J44" s="58" t="s">
        <v>680</v>
      </c>
      <c r="K44" s="74" t="s">
        <v>681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682</v>
      </c>
      <c r="X44" s="58" t="s">
        <v>507</v>
      </c>
      <c r="Y44" s="52"/>
      <c r="Z44" s="52"/>
      <c r="AA44" s="52"/>
      <c r="AB44" s="52"/>
      <c r="AC44" s="52"/>
    </row>
    <row r="45" ht="48.600000000000001" customHeight="1">
      <c r="A45" s="73">
        <v>33</v>
      </c>
      <c r="B45" s="75"/>
      <c r="C45" s="75"/>
      <c r="D45" s="75"/>
      <c r="E45" s="58" t="s">
        <v>683</v>
      </c>
      <c r="F45" s="58" t="s">
        <v>210</v>
      </c>
      <c r="G45" s="58" t="s">
        <v>684</v>
      </c>
      <c r="H45" s="58" t="s">
        <v>685</v>
      </c>
      <c r="I45" s="58" t="s">
        <v>504</v>
      </c>
      <c r="J45" s="58" t="s">
        <v>686</v>
      </c>
      <c r="K45" s="74" t="s">
        <v>687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507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8"/>
      <c r="D46" s="78"/>
      <c r="E46" s="58" t="s">
        <v>688</v>
      </c>
      <c r="F46" s="58" t="s">
        <v>210</v>
      </c>
      <c r="G46" s="58" t="s">
        <v>689</v>
      </c>
      <c r="H46" s="58" t="s">
        <v>690</v>
      </c>
      <c r="I46" s="58" t="s">
        <v>504</v>
      </c>
      <c r="J46" s="58" t="s">
        <v>691</v>
      </c>
      <c r="K46" s="74" t="s">
        <v>692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507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58" t="s">
        <v>97</v>
      </c>
      <c r="D47" s="58" t="s">
        <v>268</v>
      </c>
      <c r="E47" s="58" t="s">
        <v>693</v>
      </c>
      <c r="F47" s="58" t="s">
        <v>203</v>
      </c>
      <c r="G47" s="58" t="s">
        <v>694</v>
      </c>
      <c r="H47" s="58" t="s">
        <v>695</v>
      </c>
      <c r="I47" s="58" t="s">
        <v>504</v>
      </c>
      <c r="J47" s="58" t="s">
        <v>696</v>
      </c>
      <c r="K47" s="74" t="s">
        <v>697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698</v>
      </c>
      <c r="X47" s="58" t="s">
        <v>507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75"/>
      <c r="E48" s="58" t="s">
        <v>699</v>
      </c>
      <c r="F48" s="58" t="s">
        <v>203</v>
      </c>
      <c r="G48" s="58" t="s">
        <v>700</v>
      </c>
      <c r="H48" s="58" t="s">
        <v>701</v>
      </c>
      <c r="I48" s="58" t="s">
        <v>504</v>
      </c>
      <c r="J48" s="58" t="s">
        <v>702</v>
      </c>
      <c r="K48" s="74" t="s">
        <v>703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507</v>
      </c>
      <c r="Y48" s="52"/>
      <c r="Z48" s="52"/>
      <c r="AA48" s="52"/>
      <c r="AB48" s="52"/>
      <c r="AC48" s="52"/>
    </row>
    <row r="49" ht="35.100000000000001" customHeight="1">
      <c r="A49" s="73">
        <v>37</v>
      </c>
      <c r="B49" s="75"/>
      <c r="C49" s="75"/>
      <c r="D49" s="75"/>
      <c r="E49" s="58" t="s">
        <v>704</v>
      </c>
      <c r="F49" s="58" t="s">
        <v>203</v>
      </c>
      <c r="G49" s="58" t="s">
        <v>705</v>
      </c>
      <c r="H49" s="58" t="s">
        <v>706</v>
      </c>
      <c r="I49" s="58" t="s">
        <v>504</v>
      </c>
      <c r="J49" s="58" t="s">
        <v>707</v>
      </c>
      <c r="K49" s="74" t="s">
        <v>708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507</v>
      </c>
      <c r="Y49" s="52"/>
      <c r="Z49" s="52"/>
      <c r="AA49" s="52"/>
      <c r="AB49" s="52"/>
      <c r="AC49" s="52"/>
    </row>
    <row r="50" ht="35.100000000000001" customHeight="1">
      <c r="A50" s="73">
        <v>38</v>
      </c>
      <c r="B50" s="75"/>
      <c r="C50" s="75"/>
      <c r="D50" s="75"/>
      <c r="E50" s="75"/>
      <c r="F50" s="58" t="s">
        <v>203</v>
      </c>
      <c r="G50" s="58" t="s">
        <v>709</v>
      </c>
      <c r="H50" s="58" t="s">
        <v>710</v>
      </c>
      <c r="I50" s="58" t="s">
        <v>504</v>
      </c>
      <c r="J50" s="58" t="s">
        <v>711</v>
      </c>
      <c r="K50" s="74" t="s">
        <v>708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507</v>
      </c>
      <c r="Y50" s="52"/>
      <c r="Z50" s="52"/>
      <c r="AA50" s="52"/>
      <c r="AB50" s="52"/>
      <c r="AC50" s="52"/>
    </row>
    <row r="51" ht="75.599999999999994" customHeight="1">
      <c r="A51" s="73">
        <v>39</v>
      </c>
      <c r="B51" s="75"/>
      <c r="C51" s="75"/>
      <c r="D51" s="75"/>
      <c r="E51" s="75"/>
      <c r="F51" s="58" t="s">
        <v>203</v>
      </c>
      <c r="G51" s="58" t="s">
        <v>712</v>
      </c>
      <c r="H51" s="58" t="s">
        <v>713</v>
      </c>
      <c r="I51" s="58" t="s">
        <v>504</v>
      </c>
      <c r="J51" s="58" t="s">
        <v>714</v>
      </c>
      <c r="K51" s="74" t="s">
        <v>715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507</v>
      </c>
      <c r="Y51" s="52"/>
      <c r="Z51" s="52"/>
      <c r="AA51" s="52"/>
      <c r="AB51" s="52"/>
      <c r="AC51" s="52"/>
    </row>
    <row r="52" ht="75.599999999999994" customHeight="1">
      <c r="A52" s="73">
        <v>40</v>
      </c>
      <c r="B52" s="75"/>
      <c r="C52" s="75"/>
      <c r="D52" s="75"/>
      <c r="E52" s="78"/>
      <c r="F52" s="58" t="s">
        <v>203</v>
      </c>
      <c r="G52" s="58" t="s">
        <v>716</v>
      </c>
      <c r="H52" s="58" t="s">
        <v>717</v>
      </c>
      <c r="I52" s="58" t="s">
        <v>504</v>
      </c>
      <c r="J52" s="58" t="s">
        <v>718</v>
      </c>
      <c r="K52" s="74" t="s">
        <v>708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507</v>
      </c>
      <c r="Y52" s="52"/>
      <c r="Z52" s="52"/>
      <c r="AA52" s="52"/>
      <c r="AB52" s="52"/>
      <c r="AC52" s="52"/>
    </row>
    <row r="53" ht="75.599999999999994" customHeight="1">
      <c r="A53" s="73">
        <v>41</v>
      </c>
      <c r="B53" s="75"/>
      <c r="C53" s="75"/>
      <c r="D53" s="75"/>
      <c r="E53" s="58" t="s">
        <v>719</v>
      </c>
      <c r="F53" s="58" t="s">
        <v>203</v>
      </c>
      <c r="G53" s="58" t="s">
        <v>720</v>
      </c>
      <c r="H53" s="58" t="s">
        <v>721</v>
      </c>
      <c r="I53" s="58" t="s">
        <v>504</v>
      </c>
      <c r="J53" s="58" t="s">
        <v>722</v>
      </c>
      <c r="K53" s="74" t="s">
        <v>723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507</v>
      </c>
      <c r="Y53" s="52"/>
      <c r="Z53" s="52"/>
      <c r="AA53" s="52"/>
      <c r="AB53" s="52"/>
      <c r="AC53" s="52"/>
    </row>
    <row r="54" ht="62.100000000000001" customHeight="1">
      <c r="A54" s="73">
        <v>42</v>
      </c>
      <c r="B54" s="75"/>
      <c r="C54" s="75"/>
      <c r="D54" s="75"/>
      <c r="E54" s="58" t="s">
        <v>724</v>
      </c>
      <c r="F54" s="58" t="s">
        <v>210</v>
      </c>
      <c r="G54" s="58" t="s">
        <v>725</v>
      </c>
      <c r="H54" s="58" t="s">
        <v>726</v>
      </c>
      <c r="I54" s="58" t="s">
        <v>727</v>
      </c>
      <c r="J54" s="58" t="s">
        <v>728</v>
      </c>
      <c r="K54" s="74" t="s">
        <v>729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730</v>
      </c>
      <c r="X54" s="58" t="s">
        <v>507</v>
      </c>
      <c r="Y54" s="52"/>
      <c r="Z54" s="52"/>
      <c r="AA54" s="52"/>
      <c r="AB54" s="52"/>
      <c r="AC54" s="52"/>
    </row>
    <row r="55" ht="48.600000000000001" customHeight="1">
      <c r="A55" s="73">
        <v>43</v>
      </c>
      <c r="B55" s="75"/>
      <c r="C55" s="75"/>
      <c r="D55" s="75"/>
      <c r="E55" s="58" t="s">
        <v>731</v>
      </c>
      <c r="F55" s="58" t="s">
        <v>210</v>
      </c>
      <c r="G55" s="58" t="s">
        <v>732</v>
      </c>
      <c r="H55" s="58" t="s">
        <v>733</v>
      </c>
      <c r="I55" s="58" t="s">
        <v>504</v>
      </c>
      <c r="J55" s="58" t="s">
        <v>734</v>
      </c>
      <c r="K55" s="74" t="s">
        <v>735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736</v>
      </c>
      <c r="X55" s="58" t="s">
        <v>507</v>
      </c>
      <c r="Y55" s="52"/>
      <c r="Z55" s="52"/>
      <c r="AA55" s="52"/>
      <c r="AB55" s="52"/>
      <c r="AC55" s="52"/>
    </row>
    <row r="56" ht="75.599999999999994" customHeight="1">
      <c r="A56" s="73">
        <v>44</v>
      </c>
      <c r="B56" s="75"/>
      <c r="C56" s="75"/>
      <c r="D56" s="75"/>
      <c r="E56" s="58" t="s">
        <v>737</v>
      </c>
      <c r="F56" s="58" t="s">
        <v>203</v>
      </c>
      <c r="G56" s="58" t="s">
        <v>738</v>
      </c>
      <c r="H56" s="58" t="s">
        <v>739</v>
      </c>
      <c r="I56" s="80" t="s">
        <v>504</v>
      </c>
      <c r="J56" s="80" t="s">
        <v>740</v>
      </c>
      <c r="K56" s="81" t="s">
        <v>741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742</v>
      </c>
      <c r="Y56" s="52"/>
      <c r="Z56" s="52"/>
      <c r="AA56" s="52"/>
      <c r="AB56" s="52"/>
      <c r="AC56" s="52"/>
    </row>
    <row r="57" ht="62.100000000000001" customHeight="1">
      <c r="A57" s="73">
        <v>45</v>
      </c>
      <c r="B57" s="75"/>
      <c r="C57" s="75"/>
      <c r="D57" s="75"/>
      <c r="E57" s="75"/>
      <c r="F57" s="58" t="s">
        <v>203</v>
      </c>
      <c r="G57" s="58" t="s">
        <v>743</v>
      </c>
      <c r="H57" s="58" t="s">
        <v>744</v>
      </c>
      <c r="I57" s="80" t="s">
        <v>504</v>
      </c>
      <c r="J57" s="80" t="s">
        <v>745</v>
      </c>
      <c r="K57" s="81" t="s">
        <v>746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742</v>
      </c>
      <c r="Y57" s="52"/>
      <c r="Z57" s="52"/>
      <c r="AA57" s="52"/>
      <c r="AB57" s="52"/>
      <c r="AC57" s="52"/>
    </row>
    <row r="58" ht="62.100000000000001" customHeight="1">
      <c r="A58" s="73">
        <v>46</v>
      </c>
      <c r="B58" s="75"/>
      <c r="C58" s="75"/>
      <c r="D58" s="75"/>
      <c r="E58" s="75"/>
      <c r="F58" s="58" t="s">
        <v>203</v>
      </c>
      <c r="G58" s="58" t="s">
        <v>747</v>
      </c>
      <c r="H58" s="58" t="s">
        <v>748</v>
      </c>
      <c r="I58" s="80" t="s">
        <v>504</v>
      </c>
      <c r="J58" s="80" t="s">
        <v>749</v>
      </c>
      <c r="K58" s="81" t="s">
        <v>750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742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5"/>
      <c r="D59" s="75"/>
      <c r="E59" s="75"/>
      <c r="F59" s="58" t="s">
        <v>203</v>
      </c>
      <c r="G59" s="58" t="s">
        <v>751</v>
      </c>
      <c r="H59" s="58" t="s">
        <v>752</v>
      </c>
      <c r="I59" s="80" t="s">
        <v>504</v>
      </c>
      <c r="J59" s="80" t="s">
        <v>753</v>
      </c>
      <c r="K59" s="81" t="s">
        <v>754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742</v>
      </c>
      <c r="Y59" s="52"/>
      <c r="Z59" s="52"/>
      <c r="AA59" s="52"/>
      <c r="AB59" s="52"/>
      <c r="AC59" s="52"/>
    </row>
    <row r="60" ht="48.600000000000001" customHeight="1">
      <c r="A60" s="73">
        <v>48</v>
      </c>
      <c r="B60" s="75"/>
      <c r="C60" s="75"/>
      <c r="D60" s="75"/>
      <c r="E60" s="75"/>
      <c r="F60" s="58" t="s">
        <v>203</v>
      </c>
      <c r="G60" s="58" t="s">
        <v>755</v>
      </c>
      <c r="H60" s="58" t="s">
        <v>756</v>
      </c>
      <c r="I60" s="80" t="s">
        <v>504</v>
      </c>
      <c r="J60" s="80" t="s">
        <v>757</v>
      </c>
      <c r="K60" s="81" t="s">
        <v>758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742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5"/>
      <c r="E61" s="75"/>
      <c r="F61" s="58" t="s">
        <v>203</v>
      </c>
      <c r="G61" s="58" t="s">
        <v>759</v>
      </c>
      <c r="H61" s="58" t="s">
        <v>760</v>
      </c>
      <c r="I61" s="80" t="s">
        <v>504</v>
      </c>
      <c r="J61" s="80" t="s">
        <v>761</v>
      </c>
      <c r="K61" s="81" t="s">
        <v>762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763</v>
      </c>
      <c r="X61" s="58" t="s">
        <v>742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75"/>
      <c r="E62" s="75"/>
      <c r="F62" s="58" t="s">
        <v>210</v>
      </c>
      <c r="G62" s="58" t="s">
        <v>764</v>
      </c>
      <c r="H62" s="80" t="s">
        <v>765</v>
      </c>
      <c r="I62" s="80" t="s">
        <v>504</v>
      </c>
      <c r="J62" s="80" t="s">
        <v>766</v>
      </c>
      <c r="K62" s="58" t="s">
        <v>767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768</v>
      </c>
      <c r="X62" s="58" t="s">
        <v>742</v>
      </c>
      <c r="Y62" s="52"/>
      <c r="Z62" s="52"/>
      <c r="AA62" s="52"/>
      <c r="AB62" s="52"/>
      <c r="AC62" s="52"/>
    </row>
    <row r="63" ht="48.600000000000001" customHeight="1">
      <c r="A63" s="73">
        <v>51</v>
      </c>
      <c r="B63" s="75"/>
      <c r="C63" s="75"/>
      <c r="D63" s="75"/>
      <c r="E63" s="75"/>
      <c r="F63" s="58" t="s">
        <v>210</v>
      </c>
      <c r="G63" s="58" t="s">
        <v>769</v>
      </c>
      <c r="H63" s="58" t="s">
        <v>770</v>
      </c>
      <c r="I63" s="58" t="s">
        <v>504</v>
      </c>
      <c r="J63" s="58" t="s">
        <v>771</v>
      </c>
      <c r="K63" s="58" t="s">
        <v>772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773</v>
      </c>
      <c r="X63" s="58" t="s">
        <v>742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5"/>
      <c r="C64" s="75"/>
      <c r="D64" s="75"/>
      <c r="E64" s="75"/>
      <c r="F64" s="58" t="s">
        <v>210</v>
      </c>
      <c r="G64" s="58" t="s">
        <v>774</v>
      </c>
      <c r="H64" s="58" t="s">
        <v>775</v>
      </c>
      <c r="I64" s="58" t="s">
        <v>504</v>
      </c>
      <c r="J64" s="58" t="s">
        <v>776</v>
      </c>
      <c r="K64" s="58" t="s">
        <v>777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778</v>
      </c>
      <c r="X64" s="58" t="s">
        <v>742</v>
      </c>
      <c r="Y64" s="52"/>
      <c r="Z64" s="52"/>
      <c r="AA64" s="52"/>
      <c r="AB64" s="52"/>
      <c r="AC64" s="52"/>
    </row>
    <row r="65" ht="62.100000000000001" customHeight="1">
      <c r="A65" s="73">
        <v>53</v>
      </c>
      <c r="B65" s="75"/>
      <c r="C65" s="75"/>
      <c r="D65" s="78"/>
      <c r="E65" s="78"/>
      <c r="F65" s="58" t="s">
        <v>210</v>
      </c>
      <c r="G65" s="58" t="s">
        <v>779</v>
      </c>
      <c r="H65" s="58" t="s">
        <v>780</v>
      </c>
      <c r="I65" s="58" t="s">
        <v>504</v>
      </c>
      <c r="J65" s="58" t="s">
        <v>781</v>
      </c>
      <c r="K65" s="58" t="s">
        <v>782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783</v>
      </c>
      <c r="X65" s="58" t="s">
        <v>742</v>
      </c>
      <c r="Y65" s="52"/>
      <c r="Z65" s="52"/>
      <c r="AA65" s="52"/>
      <c r="AB65" s="52"/>
      <c r="AC65" s="52"/>
    </row>
    <row r="66" ht="35.100000000000001" customHeight="1">
      <c r="A66" s="73">
        <v>54</v>
      </c>
      <c r="B66" s="75"/>
      <c r="C66" s="75"/>
      <c r="D66" s="58" t="s">
        <v>784</v>
      </c>
      <c r="E66" s="58" t="s">
        <v>785</v>
      </c>
      <c r="F66" s="58" t="s">
        <v>210</v>
      </c>
      <c r="G66" s="58" t="s">
        <v>786</v>
      </c>
      <c r="H66" s="58" t="s">
        <v>787</v>
      </c>
      <c r="I66" s="58" t="s">
        <v>504</v>
      </c>
      <c r="J66" s="58" t="s">
        <v>788</v>
      </c>
      <c r="K66" s="58" t="s">
        <v>789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790</v>
      </c>
      <c r="X66" s="58" t="s">
        <v>507</v>
      </c>
      <c r="Y66" s="52"/>
      <c r="Z66" s="52"/>
      <c r="AA66" s="52"/>
      <c r="AB66" s="52"/>
      <c r="AC66" s="52"/>
    </row>
    <row r="67" ht="35.100000000000001" customHeight="1">
      <c r="A67" s="73">
        <v>55</v>
      </c>
      <c r="B67" s="75"/>
      <c r="C67" s="75"/>
      <c r="D67" s="75"/>
      <c r="E67" s="58" t="s">
        <v>791</v>
      </c>
      <c r="F67" s="58" t="s">
        <v>210</v>
      </c>
      <c r="G67" s="58" t="s">
        <v>792</v>
      </c>
      <c r="H67" s="58" t="s">
        <v>793</v>
      </c>
      <c r="I67" s="58" t="s">
        <v>504</v>
      </c>
      <c r="J67" s="58" t="s">
        <v>794</v>
      </c>
      <c r="K67" s="58" t="s">
        <v>795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796</v>
      </c>
      <c r="X67" s="58" t="s">
        <v>507</v>
      </c>
      <c r="Y67" s="52"/>
      <c r="Z67" s="52"/>
      <c r="AA67" s="52"/>
      <c r="AB67" s="52"/>
      <c r="AC67" s="52"/>
    </row>
    <row r="68" ht="35.100000000000001" customHeight="1">
      <c r="A68" s="73">
        <v>56</v>
      </c>
      <c r="B68" s="75"/>
      <c r="C68" s="78"/>
      <c r="D68" s="78"/>
      <c r="E68" s="58" t="s">
        <v>797</v>
      </c>
      <c r="F68" s="58" t="s">
        <v>210</v>
      </c>
      <c r="G68" s="58" t="s">
        <v>798</v>
      </c>
      <c r="H68" s="58" t="s">
        <v>799</v>
      </c>
      <c r="I68" s="58" t="s">
        <v>504</v>
      </c>
      <c r="J68" s="58" t="s">
        <v>800</v>
      </c>
      <c r="K68" s="74" t="s">
        <v>801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796</v>
      </c>
      <c r="X68" s="58" t="s">
        <v>507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75"/>
      <c r="C69" s="58" t="s">
        <v>98</v>
      </c>
      <c r="D69" s="58" t="s">
        <v>268</v>
      </c>
      <c r="E69" s="58" t="s">
        <v>269</v>
      </c>
      <c r="F69" s="58" t="s">
        <v>210</v>
      </c>
      <c r="G69" s="58" t="s">
        <v>802</v>
      </c>
      <c r="H69" s="58" t="s">
        <v>803</v>
      </c>
      <c r="I69" s="58" t="s">
        <v>504</v>
      </c>
      <c r="J69" s="58" t="s">
        <v>804</v>
      </c>
      <c r="K69" s="74" t="s">
        <v>805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806</v>
      </c>
      <c r="X69" s="58" t="s">
        <v>507</v>
      </c>
      <c r="Y69" s="52"/>
      <c r="Z69" s="52"/>
      <c r="AA69" s="52"/>
      <c r="AB69" s="52"/>
      <c r="AC69" s="52"/>
    </row>
    <row r="70" ht="75.599999999999994" customHeight="1">
      <c r="A70" s="73">
        <v>58</v>
      </c>
      <c r="B70" s="75"/>
      <c r="C70" s="75"/>
      <c r="D70" s="78"/>
      <c r="E70" s="58" t="s">
        <v>807</v>
      </c>
      <c r="F70" s="58" t="s">
        <v>210</v>
      </c>
      <c r="G70" s="58" t="s">
        <v>808</v>
      </c>
      <c r="H70" s="58" t="s">
        <v>809</v>
      </c>
      <c r="I70" s="58" t="s">
        <v>504</v>
      </c>
      <c r="J70" s="58" t="s">
        <v>810</v>
      </c>
      <c r="K70" s="74" t="s">
        <v>811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507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5"/>
      <c r="D71" s="58" t="s">
        <v>812</v>
      </c>
      <c r="E71" s="58" t="s">
        <v>813</v>
      </c>
      <c r="F71" s="58" t="s">
        <v>210</v>
      </c>
      <c r="G71" s="58" t="s">
        <v>814</v>
      </c>
      <c r="H71" s="58" t="s">
        <v>815</v>
      </c>
      <c r="I71" s="58" t="s">
        <v>816</v>
      </c>
      <c r="J71" s="58" t="s">
        <v>817</v>
      </c>
      <c r="K71" s="74" t="s">
        <v>818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819</v>
      </c>
      <c r="X71" s="58" t="s">
        <v>507</v>
      </c>
      <c r="Y71" s="52"/>
      <c r="Z71" s="52"/>
      <c r="AA71" s="52"/>
      <c r="AB71" s="52"/>
      <c r="AC71" s="52"/>
    </row>
    <row r="72" ht="35.100000000000001" customHeight="1">
      <c r="A72" s="73">
        <v>60</v>
      </c>
      <c r="B72" s="75"/>
      <c r="C72" s="75"/>
      <c r="D72" s="58" t="s">
        <v>820</v>
      </c>
      <c r="E72" s="58" t="s">
        <v>821</v>
      </c>
      <c r="F72" s="58" t="s">
        <v>225</v>
      </c>
      <c r="G72" s="58" t="s">
        <v>822</v>
      </c>
      <c r="H72" s="58" t="s">
        <v>823</v>
      </c>
      <c r="I72" s="58" t="s">
        <v>504</v>
      </c>
      <c r="J72" s="58" t="s">
        <v>824</v>
      </c>
      <c r="K72" s="74" t="s">
        <v>825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507</v>
      </c>
      <c r="Y72" s="52"/>
      <c r="Z72" s="52"/>
      <c r="AA72" s="52"/>
      <c r="AB72" s="52"/>
      <c r="AC72" s="52"/>
    </row>
    <row r="73" ht="48.600000000000001" customHeight="1">
      <c r="A73" s="73">
        <v>61</v>
      </c>
      <c r="B73" s="78"/>
      <c r="C73" s="78"/>
      <c r="D73" s="78"/>
      <c r="E73" s="58" t="s">
        <v>826</v>
      </c>
      <c r="F73" s="58" t="s">
        <v>210</v>
      </c>
      <c r="G73" s="58" t="s">
        <v>827</v>
      </c>
      <c r="H73" s="58" t="s">
        <v>828</v>
      </c>
      <c r="I73" s="58" t="s">
        <v>816</v>
      </c>
      <c r="J73" s="58" t="s">
        <v>829</v>
      </c>
      <c r="K73" s="74" t="s">
        <v>830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831</v>
      </c>
      <c r="X73" s="58" t="s">
        <v>507</v>
      </c>
      <c r="Y73" s="52"/>
      <c r="Z73" s="52"/>
      <c r="AA73" s="52"/>
      <c r="AB73" s="52"/>
      <c r="AC73" s="52"/>
    </row>
    <row r="74" ht="89.099999999999994" customHeight="1">
      <c r="A74" s="73">
        <v>62</v>
      </c>
      <c r="B74" s="58" t="s">
        <v>99</v>
      </c>
      <c r="C74" s="58" t="s">
        <v>100</v>
      </c>
      <c r="D74" s="58" t="s">
        <v>268</v>
      </c>
      <c r="E74" s="58" t="s">
        <v>832</v>
      </c>
      <c r="F74" s="58" t="s">
        <v>203</v>
      </c>
      <c r="G74" s="58" t="s">
        <v>833</v>
      </c>
      <c r="H74" s="58" t="s">
        <v>834</v>
      </c>
      <c r="I74" s="58" t="s">
        <v>504</v>
      </c>
      <c r="J74" s="58" t="s">
        <v>835</v>
      </c>
      <c r="K74" s="74" t="s">
        <v>836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837</v>
      </c>
      <c r="X74" s="58" t="s">
        <v>519</v>
      </c>
      <c r="Y74" s="52"/>
      <c r="Z74" s="52"/>
      <c r="AA74" s="52"/>
      <c r="AB74" s="52"/>
      <c r="AC74" s="52"/>
    </row>
    <row r="75" ht="35.100000000000001" customHeight="1">
      <c r="A75" s="73">
        <v>63</v>
      </c>
      <c r="B75" s="75"/>
      <c r="C75" s="75"/>
      <c r="D75" s="75"/>
      <c r="E75" s="58" t="s">
        <v>838</v>
      </c>
      <c r="F75" s="58" t="s">
        <v>210</v>
      </c>
      <c r="G75" s="58" t="s">
        <v>839</v>
      </c>
      <c r="H75" s="58" t="s">
        <v>840</v>
      </c>
      <c r="I75" s="58" t="s">
        <v>504</v>
      </c>
      <c r="J75" s="58" t="s">
        <v>841</v>
      </c>
      <c r="K75" s="74" t="s">
        <v>842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 t="s">
        <v>519</v>
      </c>
      <c r="Y75" s="52"/>
      <c r="Z75" s="52"/>
      <c r="AA75" s="52"/>
      <c r="AB75" s="52"/>
      <c r="AC75" s="52"/>
    </row>
    <row r="76" ht="35.100000000000001" customHeight="1">
      <c r="A76" s="73">
        <v>64</v>
      </c>
      <c r="B76" s="75"/>
      <c r="C76" s="75"/>
      <c r="D76" s="75"/>
      <c r="E76" s="75"/>
      <c r="F76" s="58" t="s">
        <v>210</v>
      </c>
      <c r="G76" s="58" t="s">
        <v>843</v>
      </c>
      <c r="H76" s="58" t="s">
        <v>844</v>
      </c>
      <c r="I76" s="58" t="s">
        <v>504</v>
      </c>
      <c r="J76" s="58" t="s">
        <v>845</v>
      </c>
      <c r="K76" s="74" t="s">
        <v>846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 t="s">
        <v>519</v>
      </c>
      <c r="Y76" s="52"/>
      <c r="Z76" s="52"/>
      <c r="AA76" s="52"/>
      <c r="AB76" s="52"/>
      <c r="AC76" s="52"/>
    </row>
    <row r="77" ht="35.100000000000001" customHeight="1">
      <c r="A77" s="73">
        <v>65</v>
      </c>
      <c r="B77" s="75"/>
      <c r="C77" s="75"/>
      <c r="D77" s="78"/>
      <c r="E77" s="78"/>
      <c r="F77" s="58" t="s">
        <v>210</v>
      </c>
      <c r="G77" s="58" t="s">
        <v>847</v>
      </c>
      <c r="H77" s="58" t="s">
        <v>848</v>
      </c>
      <c r="I77" s="58" t="s">
        <v>504</v>
      </c>
      <c r="J77" s="58" t="s">
        <v>849</v>
      </c>
      <c r="K77" s="74" t="s">
        <v>850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519</v>
      </c>
      <c r="Y77" s="52"/>
      <c r="Z77" s="52"/>
      <c r="AA77" s="52"/>
      <c r="AB77" s="52"/>
      <c r="AC77" s="52"/>
    </row>
    <row r="78" ht="35.100000000000001" customHeight="1">
      <c r="A78" s="73">
        <v>66</v>
      </c>
      <c r="B78" s="75"/>
      <c r="C78" s="75"/>
      <c r="D78" s="58" t="s">
        <v>851</v>
      </c>
      <c r="E78" s="58" t="s">
        <v>852</v>
      </c>
      <c r="F78" s="58" t="s">
        <v>210</v>
      </c>
      <c r="G78" s="58" t="s">
        <v>853</v>
      </c>
      <c r="H78" s="58" t="s">
        <v>854</v>
      </c>
      <c r="I78" s="58" t="s">
        <v>504</v>
      </c>
      <c r="J78" s="58" t="s">
        <v>855</v>
      </c>
      <c r="K78" s="74" t="s">
        <v>856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519</v>
      </c>
      <c r="Y78" s="52"/>
      <c r="Z78" s="52"/>
      <c r="AA78" s="52"/>
      <c r="AB78" s="52"/>
      <c r="AC78" s="52"/>
    </row>
    <row r="79" ht="48.600000000000001" customHeight="1">
      <c r="A79" s="73">
        <v>67</v>
      </c>
      <c r="B79" s="75"/>
      <c r="C79" s="75"/>
      <c r="D79" s="58" t="s">
        <v>857</v>
      </c>
      <c r="E79" s="58" t="s">
        <v>858</v>
      </c>
      <c r="F79" s="58" t="s">
        <v>210</v>
      </c>
      <c r="G79" s="58" t="s">
        <v>859</v>
      </c>
      <c r="H79" s="58" t="s">
        <v>860</v>
      </c>
      <c r="I79" s="58" t="s">
        <v>504</v>
      </c>
      <c r="J79" s="58" t="s">
        <v>861</v>
      </c>
      <c r="K79" s="74" t="s">
        <v>862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863</v>
      </c>
      <c r="X79" s="58" t="s">
        <v>864</v>
      </c>
      <c r="Y79" s="52"/>
      <c r="Z79" s="52"/>
      <c r="AA79" s="52"/>
      <c r="AB79" s="52"/>
      <c r="AC79" s="52"/>
    </row>
    <row r="80" ht="48.600000000000001" customHeight="1">
      <c r="A80" s="73">
        <v>68</v>
      </c>
      <c r="B80" s="75"/>
      <c r="C80" s="78"/>
      <c r="D80" s="78"/>
      <c r="E80" s="58" t="s">
        <v>865</v>
      </c>
      <c r="F80" s="58" t="s">
        <v>210</v>
      </c>
      <c r="G80" s="58" t="s">
        <v>866</v>
      </c>
      <c r="H80" s="58" t="s">
        <v>867</v>
      </c>
      <c r="I80" s="58" t="s">
        <v>504</v>
      </c>
      <c r="J80" s="58" t="s">
        <v>868</v>
      </c>
      <c r="K80" s="74" t="s">
        <v>869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870</v>
      </c>
      <c r="X80" s="58" t="s">
        <v>864</v>
      </c>
      <c r="Y80" s="52"/>
      <c r="Z80" s="52"/>
      <c r="AA80" s="52"/>
      <c r="AB80" s="52"/>
      <c r="AC80" s="52"/>
    </row>
    <row r="81" ht="75.599999999999994" customHeight="1">
      <c r="A81" s="73">
        <v>69</v>
      </c>
      <c r="B81" s="75"/>
      <c r="C81" s="58" t="s">
        <v>101</v>
      </c>
      <c r="D81" s="58" t="s">
        <v>268</v>
      </c>
      <c r="E81" s="58" t="s">
        <v>871</v>
      </c>
      <c r="F81" s="58" t="s">
        <v>225</v>
      </c>
      <c r="G81" s="58" t="s">
        <v>872</v>
      </c>
      <c r="H81" s="58" t="s">
        <v>873</v>
      </c>
      <c r="I81" s="58" t="s">
        <v>504</v>
      </c>
      <c r="J81" s="58" t="s">
        <v>874</v>
      </c>
      <c r="K81" s="74" t="s">
        <v>875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519</v>
      </c>
      <c r="Y81" s="52"/>
      <c r="Z81" s="52"/>
      <c r="AA81" s="52"/>
      <c r="AB81" s="52"/>
      <c r="AC81" s="52"/>
    </row>
    <row r="82" ht="62.100000000000001" customHeight="1">
      <c r="A82" s="73">
        <v>70</v>
      </c>
      <c r="B82" s="75"/>
      <c r="C82" s="78"/>
      <c r="D82" s="58" t="s">
        <v>876</v>
      </c>
      <c r="E82" s="58" t="s">
        <v>877</v>
      </c>
      <c r="F82" s="58" t="s">
        <v>225</v>
      </c>
      <c r="G82" s="58" t="s">
        <v>878</v>
      </c>
      <c r="H82" s="58" t="s">
        <v>879</v>
      </c>
      <c r="I82" s="58" t="s">
        <v>504</v>
      </c>
      <c r="J82" s="58" t="s">
        <v>880</v>
      </c>
      <c r="K82" s="74" t="s">
        <v>881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519</v>
      </c>
      <c r="Y82" s="52"/>
      <c r="Z82" s="52"/>
      <c r="AA82" s="52"/>
      <c r="AB82" s="52"/>
      <c r="AC82" s="52"/>
    </row>
    <row r="83" ht="75.599999999999994" customHeight="1">
      <c r="A83" s="73">
        <v>71</v>
      </c>
      <c r="B83" s="75"/>
      <c r="C83" s="58" t="s">
        <v>102</v>
      </c>
      <c r="D83" s="58" t="s">
        <v>268</v>
      </c>
      <c r="E83" s="58" t="s">
        <v>882</v>
      </c>
      <c r="F83" s="58" t="s">
        <v>203</v>
      </c>
      <c r="G83" s="58" t="s">
        <v>883</v>
      </c>
      <c r="H83" s="58" t="s">
        <v>884</v>
      </c>
      <c r="I83" s="58" t="s">
        <v>885</v>
      </c>
      <c r="J83" s="58" t="s">
        <v>886</v>
      </c>
      <c r="K83" s="74" t="s">
        <v>887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519</v>
      </c>
      <c r="Y83" s="52"/>
      <c r="Z83" s="52"/>
      <c r="AA83" s="52"/>
      <c r="AB83" s="52"/>
      <c r="AC83" s="52"/>
    </row>
    <row r="84" ht="62.100000000000001" customHeight="1">
      <c r="A84" s="73">
        <v>72</v>
      </c>
      <c r="B84" s="75"/>
      <c r="C84" s="75"/>
      <c r="D84" s="75"/>
      <c r="E84" s="58" t="s">
        <v>888</v>
      </c>
      <c r="F84" s="58" t="s">
        <v>210</v>
      </c>
      <c r="G84" s="58" t="s">
        <v>889</v>
      </c>
      <c r="H84" s="58" t="s">
        <v>890</v>
      </c>
      <c r="I84" s="58" t="s">
        <v>891</v>
      </c>
      <c r="J84" s="58" t="s">
        <v>892</v>
      </c>
      <c r="K84" s="74" t="s">
        <v>893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519</v>
      </c>
      <c r="Y84" s="52"/>
      <c r="Z84" s="52"/>
      <c r="AA84" s="52"/>
      <c r="AB84" s="52"/>
      <c r="AC84" s="52"/>
    </row>
    <row r="85" ht="89.099999999999994" customHeight="1">
      <c r="A85" s="73">
        <v>73</v>
      </c>
      <c r="B85" s="75"/>
      <c r="C85" s="75"/>
      <c r="D85" s="75"/>
      <c r="E85" s="58" t="s">
        <v>894</v>
      </c>
      <c r="F85" s="58" t="s">
        <v>203</v>
      </c>
      <c r="G85" s="58" t="s">
        <v>895</v>
      </c>
      <c r="H85" s="58" t="s">
        <v>896</v>
      </c>
      <c r="I85" s="58" t="s">
        <v>897</v>
      </c>
      <c r="J85" s="58" t="s">
        <v>898</v>
      </c>
      <c r="K85" s="74" t="s">
        <v>899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 t="s">
        <v>519</v>
      </c>
      <c r="Y85" s="52"/>
      <c r="Z85" s="52"/>
      <c r="AA85" s="52"/>
      <c r="AB85" s="52"/>
      <c r="AC85" s="52"/>
    </row>
    <row r="86" ht="75.599999999999994" customHeight="1">
      <c r="A86" s="73">
        <v>74</v>
      </c>
      <c r="B86" s="75"/>
      <c r="C86" s="78"/>
      <c r="D86" s="78"/>
      <c r="E86" s="58" t="s">
        <v>900</v>
      </c>
      <c r="F86" s="58" t="s">
        <v>225</v>
      </c>
      <c r="G86" s="58" t="s">
        <v>901</v>
      </c>
      <c r="H86" s="58" t="s">
        <v>902</v>
      </c>
      <c r="I86" s="58" t="s">
        <v>903</v>
      </c>
      <c r="J86" s="58" t="s">
        <v>892</v>
      </c>
      <c r="K86" s="74" t="s">
        <v>904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 t="s">
        <v>519</v>
      </c>
      <c r="Y86" s="52"/>
      <c r="Z86" s="52"/>
      <c r="AA86" s="52"/>
      <c r="AB86" s="52"/>
      <c r="AC86" s="52"/>
    </row>
    <row r="87" ht="129.59999999999999" customHeight="1">
      <c r="A87" s="73">
        <v>75</v>
      </c>
      <c r="B87" s="75"/>
      <c r="C87" s="58" t="s">
        <v>103</v>
      </c>
      <c r="D87" s="58" t="s">
        <v>552</v>
      </c>
      <c r="E87" s="58" t="s">
        <v>905</v>
      </c>
      <c r="F87" s="58" t="s">
        <v>203</v>
      </c>
      <c r="G87" s="58" t="s">
        <v>906</v>
      </c>
      <c r="H87" s="58" t="s">
        <v>907</v>
      </c>
      <c r="I87" s="58" t="s">
        <v>504</v>
      </c>
      <c r="J87" s="58" t="s">
        <v>908</v>
      </c>
      <c r="K87" s="74" t="s">
        <v>909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910</v>
      </c>
      <c r="X87" s="58" t="s">
        <v>864</v>
      </c>
      <c r="Y87" s="52"/>
      <c r="Z87" s="52"/>
      <c r="AA87" s="52"/>
      <c r="AB87" s="52"/>
      <c r="AC87" s="52"/>
    </row>
    <row r="88" ht="62.100000000000001" customHeight="1">
      <c r="A88" s="73">
        <v>76</v>
      </c>
      <c r="B88" s="75"/>
      <c r="C88" s="75"/>
      <c r="D88" s="58" t="s">
        <v>393</v>
      </c>
      <c r="E88" s="58" t="s">
        <v>911</v>
      </c>
      <c r="F88" s="58" t="s">
        <v>203</v>
      </c>
      <c r="G88" s="58" t="s">
        <v>912</v>
      </c>
      <c r="H88" s="58" t="s">
        <v>913</v>
      </c>
      <c r="I88" s="58" t="s">
        <v>504</v>
      </c>
      <c r="J88" s="58" t="s">
        <v>914</v>
      </c>
      <c r="K88" s="74" t="s">
        <v>915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592</v>
      </c>
      <c r="X88" s="58" t="s">
        <v>864</v>
      </c>
      <c r="Y88" s="52"/>
      <c r="Z88" s="52"/>
      <c r="AA88" s="52"/>
      <c r="AB88" s="52"/>
      <c r="AC88" s="52"/>
    </row>
    <row r="89" ht="62.100000000000001" customHeight="1">
      <c r="A89" s="73">
        <v>77</v>
      </c>
      <c r="B89" s="75"/>
      <c r="C89" s="75"/>
      <c r="D89" s="75"/>
      <c r="E89" s="58" t="s">
        <v>916</v>
      </c>
      <c r="F89" s="58" t="s">
        <v>203</v>
      </c>
      <c r="G89" s="58" t="s">
        <v>917</v>
      </c>
      <c r="H89" s="58" t="s">
        <v>918</v>
      </c>
      <c r="I89" s="58" t="s">
        <v>504</v>
      </c>
      <c r="J89" s="58" t="s">
        <v>919</v>
      </c>
      <c r="K89" s="74" t="s">
        <v>920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592</v>
      </c>
      <c r="X89" s="58" t="s">
        <v>864</v>
      </c>
      <c r="Y89" s="52"/>
      <c r="Z89" s="52"/>
      <c r="AA89" s="52"/>
      <c r="AB89" s="52"/>
      <c r="AC89" s="52"/>
    </row>
    <row r="90" ht="62.100000000000001" customHeight="1">
      <c r="A90" s="73">
        <v>78</v>
      </c>
      <c r="B90" s="75"/>
      <c r="C90" s="75"/>
      <c r="D90" s="75"/>
      <c r="E90" s="58" t="s">
        <v>921</v>
      </c>
      <c r="F90" s="58" t="s">
        <v>210</v>
      </c>
      <c r="G90" s="58" t="s">
        <v>922</v>
      </c>
      <c r="H90" s="58" t="s">
        <v>923</v>
      </c>
      <c r="I90" s="58" t="s">
        <v>504</v>
      </c>
      <c r="J90" s="58" t="s">
        <v>924</v>
      </c>
      <c r="K90" s="74" t="s">
        <v>925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926</v>
      </c>
      <c r="X90" s="58" t="s">
        <v>864</v>
      </c>
      <c r="Y90" s="52"/>
      <c r="Z90" s="52"/>
      <c r="AA90" s="52"/>
      <c r="AB90" s="52"/>
      <c r="AC90" s="52"/>
    </row>
    <row r="91" ht="48.600000000000001" customHeight="1">
      <c r="A91" s="73">
        <v>79</v>
      </c>
      <c r="B91" s="75"/>
      <c r="C91" s="75"/>
      <c r="D91" s="75"/>
      <c r="E91" s="58" t="s">
        <v>622</v>
      </c>
      <c r="F91" s="58" t="s">
        <v>210</v>
      </c>
      <c r="G91" s="58" t="s">
        <v>927</v>
      </c>
      <c r="H91" s="58" t="s">
        <v>928</v>
      </c>
      <c r="I91" s="58" t="s">
        <v>504</v>
      </c>
      <c r="J91" s="58" t="s">
        <v>929</v>
      </c>
      <c r="K91" s="74" t="s">
        <v>930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 t="s">
        <v>864</v>
      </c>
      <c r="Y91" s="52"/>
      <c r="Z91" s="52"/>
      <c r="AA91" s="52"/>
      <c r="AB91" s="52"/>
      <c r="AC91" s="52"/>
    </row>
    <row r="92" ht="62.100000000000001" customHeight="1">
      <c r="A92" s="73">
        <v>80</v>
      </c>
      <c r="B92" s="75"/>
      <c r="C92" s="75"/>
      <c r="D92" s="78"/>
      <c r="E92" s="58" t="s">
        <v>931</v>
      </c>
      <c r="F92" s="58" t="s">
        <v>203</v>
      </c>
      <c r="G92" s="58" t="s">
        <v>932</v>
      </c>
      <c r="H92" s="58" t="s">
        <v>933</v>
      </c>
      <c r="I92" s="58" t="s">
        <v>934</v>
      </c>
      <c r="J92" s="58" t="s">
        <v>935</v>
      </c>
      <c r="K92" s="74" t="s">
        <v>936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937</v>
      </c>
      <c r="X92" s="58" t="s">
        <v>864</v>
      </c>
      <c r="Y92" s="52"/>
      <c r="Z92" s="52"/>
      <c r="AA92" s="52"/>
      <c r="AB92" s="52"/>
      <c r="AC92" s="52"/>
    </row>
    <row r="93" ht="62.100000000000001" customHeight="1">
      <c r="A93" s="73">
        <v>81</v>
      </c>
      <c r="B93" s="75"/>
      <c r="C93" s="75"/>
      <c r="D93" s="58" t="s">
        <v>369</v>
      </c>
      <c r="E93" s="58" t="s">
        <v>938</v>
      </c>
      <c r="F93" s="58" t="s">
        <v>203</v>
      </c>
      <c r="G93" s="58" t="s">
        <v>939</v>
      </c>
      <c r="H93" s="58" t="s">
        <v>940</v>
      </c>
      <c r="I93" s="58" t="s">
        <v>504</v>
      </c>
      <c r="J93" s="58" t="s">
        <v>941</v>
      </c>
      <c r="K93" s="74" t="s">
        <v>942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 t="s">
        <v>864</v>
      </c>
      <c r="Y93" s="52"/>
      <c r="Z93" s="52"/>
      <c r="AA93" s="52"/>
      <c r="AB93" s="52"/>
      <c r="AC93" s="52"/>
    </row>
    <row r="94" ht="89.099999999999994" customHeight="1">
      <c r="A94" s="73">
        <v>82</v>
      </c>
      <c r="B94" s="75"/>
      <c r="C94" s="75"/>
      <c r="D94" s="75"/>
      <c r="E94" s="58" t="s">
        <v>943</v>
      </c>
      <c r="F94" s="58" t="s">
        <v>203</v>
      </c>
      <c r="G94" s="58" t="s">
        <v>944</v>
      </c>
      <c r="H94" s="58" t="s">
        <v>945</v>
      </c>
      <c r="I94" s="58" t="s">
        <v>504</v>
      </c>
      <c r="J94" s="58" t="s">
        <v>946</v>
      </c>
      <c r="K94" s="74" t="s">
        <v>947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 t="s">
        <v>864</v>
      </c>
      <c r="Y94" s="52"/>
      <c r="Z94" s="52"/>
      <c r="AA94" s="52"/>
      <c r="AB94" s="52"/>
      <c r="AC94" s="52"/>
    </row>
    <row r="95" ht="89.099999999999994" customHeight="1">
      <c r="A95" s="73">
        <v>83</v>
      </c>
      <c r="B95" s="75"/>
      <c r="C95" s="78"/>
      <c r="D95" s="78"/>
      <c r="E95" s="58" t="s">
        <v>948</v>
      </c>
      <c r="F95" s="58" t="s">
        <v>210</v>
      </c>
      <c r="G95" s="58" t="s">
        <v>949</v>
      </c>
      <c r="H95" s="58" t="s">
        <v>950</v>
      </c>
      <c r="I95" s="58" t="s">
        <v>504</v>
      </c>
      <c r="J95" s="58" t="s">
        <v>951</v>
      </c>
      <c r="K95" s="74" t="s">
        <v>952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 t="s">
        <v>864</v>
      </c>
      <c r="Y95" s="52"/>
      <c r="Z95" s="52"/>
      <c r="AA95" s="52"/>
      <c r="AB95" s="52"/>
      <c r="AC95" s="52"/>
    </row>
    <row r="96" ht="48">
      <c r="A96" s="73">
        <v>84</v>
      </c>
      <c r="B96" s="75"/>
      <c r="C96" s="58" t="s">
        <v>104</v>
      </c>
      <c r="D96" s="58" t="s">
        <v>953</v>
      </c>
      <c r="E96" s="58" t="s">
        <v>954</v>
      </c>
      <c r="F96" s="58" t="s">
        <v>210</v>
      </c>
      <c r="G96" s="58" t="s">
        <v>955</v>
      </c>
      <c r="H96" s="58" t="s">
        <v>956</v>
      </c>
      <c r="I96" s="58" t="s">
        <v>504</v>
      </c>
      <c r="J96" s="58" t="s">
        <v>957</v>
      </c>
      <c r="K96" s="82" t="s">
        <v>958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959</v>
      </c>
      <c r="X96" s="58" t="s">
        <v>519</v>
      </c>
      <c r="Y96" s="52"/>
      <c r="Z96" s="52"/>
      <c r="AA96" s="52"/>
      <c r="AB96" s="52"/>
      <c r="AC96" s="52"/>
    </row>
    <row r="97" ht="129.59999999999999" customHeight="1">
      <c r="A97" s="73">
        <v>85</v>
      </c>
      <c r="B97" s="75"/>
      <c r="C97" s="75"/>
      <c r="D97" s="58" t="s">
        <v>268</v>
      </c>
      <c r="E97" s="58" t="s">
        <v>960</v>
      </c>
      <c r="F97" s="58" t="s">
        <v>203</v>
      </c>
      <c r="G97" s="58" t="s">
        <v>961</v>
      </c>
      <c r="H97" s="58" t="s">
        <v>962</v>
      </c>
      <c r="I97" s="58" t="s">
        <v>504</v>
      </c>
      <c r="J97" s="58" t="s">
        <v>963</v>
      </c>
      <c r="K97" s="74" t="s">
        <v>964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965</v>
      </c>
      <c r="X97" s="58" t="s">
        <v>519</v>
      </c>
      <c r="Y97" s="52"/>
      <c r="Z97" s="52"/>
      <c r="AA97" s="52"/>
      <c r="AB97" s="52"/>
      <c r="AC97" s="52"/>
    </row>
    <row r="98" ht="48.600000000000001" customHeight="1">
      <c r="A98" s="73">
        <v>86</v>
      </c>
      <c r="B98" s="75"/>
      <c r="C98" s="75"/>
      <c r="D98" s="75"/>
      <c r="E98" s="58" t="s">
        <v>966</v>
      </c>
      <c r="F98" s="58" t="s">
        <v>210</v>
      </c>
      <c r="G98" s="58" t="s">
        <v>967</v>
      </c>
      <c r="H98" s="58" t="s">
        <v>968</v>
      </c>
      <c r="I98" s="58" t="s">
        <v>504</v>
      </c>
      <c r="J98" s="58" t="s">
        <v>969</v>
      </c>
      <c r="K98" s="74" t="s">
        <v>970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519</v>
      </c>
      <c r="Y98" s="52"/>
      <c r="Z98" s="52"/>
      <c r="AA98" s="52"/>
      <c r="AB98" s="52"/>
      <c r="AC98" s="52"/>
    </row>
    <row r="99" ht="62.100000000000001" customHeight="1">
      <c r="A99" s="73">
        <v>87</v>
      </c>
      <c r="B99" s="75"/>
      <c r="C99" s="75"/>
      <c r="D99" s="75"/>
      <c r="E99" s="58" t="s">
        <v>971</v>
      </c>
      <c r="F99" s="58" t="s">
        <v>203</v>
      </c>
      <c r="G99" s="58" t="s">
        <v>972</v>
      </c>
      <c r="H99" s="58" t="s">
        <v>973</v>
      </c>
      <c r="I99" s="58" t="s">
        <v>504</v>
      </c>
      <c r="J99" s="58" t="s">
        <v>974</v>
      </c>
      <c r="K99" s="74" t="s">
        <v>975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976</v>
      </c>
      <c r="X99" s="58" t="s">
        <v>519</v>
      </c>
      <c r="Y99" s="52"/>
      <c r="Z99" s="52"/>
      <c r="AA99" s="52"/>
      <c r="AB99" s="52"/>
      <c r="AC99" s="52"/>
    </row>
    <row r="100" ht="48.600000000000001" customHeight="1">
      <c r="A100" s="73">
        <v>88</v>
      </c>
      <c r="B100" s="75"/>
      <c r="C100" s="75"/>
      <c r="D100" s="75"/>
      <c r="E100" s="78"/>
      <c r="F100" s="58" t="s">
        <v>210</v>
      </c>
      <c r="G100" s="58" t="s">
        <v>977</v>
      </c>
      <c r="H100" s="58" t="s">
        <v>978</v>
      </c>
      <c r="I100" s="58" t="s">
        <v>504</v>
      </c>
      <c r="J100" s="58" t="s">
        <v>979</v>
      </c>
      <c r="K100" s="74" t="s">
        <v>980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519</v>
      </c>
      <c r="Y100" s="52"/>
      <c r="Z100" s="52"/>
      <c r="AA100" s="52"/>
      <c r="AB100" s="52"/>
      <c r="AC100" s="52"/>
    </row>
    <row r="101" ht="62.100000000000001" customHeight="1">
      <c r="A101" s="73">
        <v>89</v>
      </c>
      <c r="B101" s="75"/>
      <c r="C101" s="75"/>
      <c r="D101" s="75"/>
      <c r="E101" s="58" t="s">
        <v>981</v>
      </c>
      <c r="F101" s="58" t="s">
        <v>203</v>
      </c>
      <c r="G101" s="58" t="s">
        <v>982</v>
      </c>
      <c r="H101" s="58" t="s">
        <v>983</v>
      </c>
      <c r="I101" s="58" t="s">
        <v>504</v>
      </c>
      <c r="J101" s="58" t="s">
        <v>984</v>
      </c>
      <c r="K101" s="74" t="s">
        <v>985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986</v>
      </c>
      <c r="X101" s="58" t="s">
        <v>742</v>
      </c>
      <c r="Y101" s="52"/>
      <c r="Z101" s="52"/>
      <c r="AA101" s="52"/>
      <c r="AB101" s="52"/>
      <c r="AC101" s="52"/>
    </row>
    <row r="102" ht="62.100000000000001" customHeight="1">
      <c r="A102" s="73">
        <v>90</v>
      </c>
      <c r="B102" s="75"/>
      <c r="C102" s="75"/>
      <c r="D102" s="75"/>
      <c r="E102" s="75"/>
      <c r="F102" s="58" t="s">
        <v>210</v>
      </c>
      <c r="G102" s="58" t="s">
        <v>987</v>
      </c>
      <c r="H102" s="58" t="s">
        <v>988</v>
      </c>
      <c r="I102" s="58" t="s">
        <v>504</v>
      </c>
      <c r="J102" s="58" t="s">
        <v>989</v>
      </c>
      <c r="K102" s="74" t="s">
        <v>990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986</v>
      </c>
      <c r="X102" s="58" t="s">
        <v>742</v>
      </c>
      <c r="Y102" s="52"/>
      <c r="Z102" s="52"/>
      <c r="AA102" s="52"/>
      <c r="AB102" s="52"/>
      <c r="AC102" s="52"/>
    </row>
    <row r="103" ht="62.100000000000001" customHeight="1">
      <c r="A103" s="73">
        <v>91</v>
      </c>
      <c r="B103" s="75"/>
      <c r="C103" s="75"/>
      <c r="D103" s="75"/>
      <c r="E103" s="75"/>
      <c r="F103" s="58" t="s">
        <v>210</v>
      </c>
      <c r="G103" s="58" t="s">
        <v>991</v>
      </c>
      <c r="H103" s="58" t="s">
        <v>992</v>
      </c>
      <c r="I103" s="58" t="s">
        <v>504</v>
      </c>
      <c r="J103" s="58" t="s">
        <v>993</v>
      </c>
      <c r="K103" s="74" t="s">
        <v>994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986</v>
      </c>
      <c r="X103" s="58" t="s">
        <v>742</v>
      </c>
      <c r="Y103" s="52"/>
      <c r="Z103" s="52"/>
      <c r="AA103" s="52"/>
      <c r="AB103" s="52"/>
      <c r="AC103" s="52"/>
    </row>
    <row r="104" ht="62.100000000000001" customHeight="1">
      <c r="A104" s="73">
        <v>92</v>
      </c>
      <c r="B104" s="75"/>
      <c r="C104" s="75"/>
      <c r="D104" s="75"/>
      <c r="E104" s="78"/>
      <c r="F104" s="58" t="s">
        <v>210</v>
      </c>
      <c r="G104" s="58" t="s">
        <v>995</v>
      </c>
      <c r="H104" s="58" t="s">
        <v>996</v>
      </c>
      <c r="I104" s="58" t="s">
        <v>504</v>
      </c>
      <c r="J104" s="58" t="s">
        <v>997</v>
      </c>
      <c r="K104" s="74" t="s">
        <v>998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986</v>
      </c>
      <c r="X104" s="58" t="s">
        <v>742</v>
      </c>
      <c r="Y104" s="52"/>
      <c r="Z104" s="52"/>
      <c r="AA104" s="52"/>
      <c r="AB104" s="52"/>
      <c r="AC104" s="52"/>
    </row>
    <row r="105" ht="48.600000000000001" customHeight="1">
      <c r="A105" s="73">
        <v>93</v>
      </c>
      <c r="B105" s="75"/>
      <c r="C105" s="75"/>
      <c r="D105" s="75"/>
      <c r="E105" s="58" t="s">
        <v>999</v>
      </c>
      <c r="F105" s="58" t="s">
        <v>210</v>
      </c>
      <c r="G105" s="58" t="s">
        <v>1000</v>
      </c>
      <c r="H105" s="58" t="s">
        <v>1001</v>
      </c>
      <c r="I105" s="58" t="s">
        <v>504</v>
      </c>
      <c r="J105" s="58" t="s">
        <v>1002</v>
      </c>
      <c r="K105" s="74" t="s">
        <v>1003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1004</v>
      </c>
      <c r="X105" s="58" t="s">
        <v>519</v>
      </c>
      <c r="Y105" s="52"/>
      <c r="Z105" s="52"/>
      <c r="AA105" s="52"/>
      <c r="AB105" s="52"/>
      <c r="AC105" s="52"/>
    </row>
    <row r="106" ht="62.100000000000001" customHeight="1">
      <c r="A106" s="73">
        <v>94</v>
      </c>
      <c r="B106" s="75"/>
      <c r="C106" s="75"/>
      <c r="D106" s="78"/>
      <c r="E106" s="58" t="s">
        <v>1005</v>
      </c>
      <c r="F106" s="58" t="s">
        <v>210</v>
      </c>
      <c r="G106" s="58" t="s">
        <v>1006</v>
      </c>
      <c r="H106" s="58" t="s">
        <v>1007</v>
      </c>
      <c r="I106" s="58" t="s">
        <v>504</v>
      </c>
      <c r="J106" s="58" t="s">
        <v>1008</v>
      </c>
      <c r="K106" s="74" t="s">
        <v>1009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 t="s">
        <v>519</v>
      </c>
      <c r="Y106" s="52"/>
      <c r="Z106" s="52"/>
      <c r="AA106" s="52"/>
      <c r="AB106" s="52"/>
      <c r="AC106" s="52"/>
    </row>
    <row r="107" ht="48.600000000000001" customHeight="1">
      <c r="A107" s="73">
        <v>95</v>
      </c>
      <c r="B107" s="75"/>
      <c r="C107" s="78"/>
      <c r="D107" s="58" t="s">
        <v>448</v>
      </c>
      <c r="E107" s="58" t="s">
        <v>1010</v>
      </c>
      <c r="F107" s="58" t="s">
        <v>203</v>
      </c>
      <c r="G107" s="58" t="s">
        <v>1011</v>
      </c>
      <c r="H107" s="58" t="s">
        <v>1012</v>
      </c>
      <c r="I107" s="58" t="s">
        <v>504</v>
      </c>
      <c r="J107" s="58" t="s">
        <v>1013</v>
      </c>
      <c r="K107" s="74" t="s">
        <v>1014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 t="s">
        <v>519</v>
      </c>
      <c r="Y107" s="52"/>
      <c r="Z107" s="52"/>
      <c r="AA107" s="52"/>
      <c r="AB107" s="52"/>
      <c r="AC107" s="52"/>
    </row>
    <row r="108" ht="156.59999999999999" customHeight="1">
      <c r="A108" s="73">
        <v>96</v>
      </c>
      <c r="B108" s="75"/>
      <c r="C108" s="58" t="s">
        <v>105</v>
      </c>
      <c r="D108" s="58" t="s">
        <v>552</v>
      </c>
      <c r="E108" s="58" t="s">
        <v>1015</v>
      </c>
      <c r="F108" s="58" t="s">
        <v>203</v>
      </c>
      <c r="G108" s="58" t="s">
        <v>1016</v>
      </c>
      <c r="H108" s="58" t="s">
        <v>1017</v>
      </c>
      <c r="I108" s="58" t="s">
        <v>504</v>
      </c>
      <c r="J108" s="58" t="s">
        <v>1018</v>
      </c>
      <c r="K108" s="74" t="s">
        <v>1019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 t="s">
        <v>1020</v>
      </c>
      <c r="Y108" s="52"/>
      <c r="Z108" s="52"/>
      <c r="AA108" s="52"/>
      <c r="AB108" s="52"/>
      <c r="AC108" s="52"/>
    </row>
    <row r="109" ht="62.100000000000001" customHeight="1">
      <c r="A109" s="73">
        <v>97</v>
      </c>
      <c r="B109" s="75"/>
      <c r="C109" s="75"/>
      <c r="D109" s="58" t="s">
        <v>1021</v>
      </c>
      <c r="E109" s="58" t="s">
        <v>1022</v>
      </c>
      <c r="F109" s="58" t="s">
        <v>203</v>
      </c>
      <c r="G109" s="58" t="s">
        <v>1023</v>
      </c>
      <c r="H109" s="58" t="s">
        <v>1024</v>
      </c>
      <c r="I109" s="58" t="s">
        <v>504</v>
      </c>
      <c r="J109" s="58" t="s">
        <v>1025</v>
      </c>
      <c r="K109" s="74" t="s">
        <v>1026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 t="s">
        <v>1020</v>
      </c>
      <c r="Y109" s="52"/>
      <c r="Z109" s="52"/>
      <c r="AA109" s="52"/>
      <c r="AB109" s="52"/>
      <c r="AC109" s="52"/>
    </row>
    <row r="110" ht="62.100000000000001" customHeight="1">
      <c r="A110" s="73">
        <v>98</v>
      </c>
      <c r="B110" s="75"/>
      <c r="C110" s="75"/>
      <c r="D110" s="78"/>
      <c r="E110" s="58" t="s">
        <v>1027</v>
      </c>
      <c r="F110" s="58" t="s">
        <v>203</v>
      </c>
      <c r="G110" s="58" t="s">
        <v>1028</v>
      </c>
      <c r="H110" s="58" t="s">
        <v>1029</v>
      </c>
      <c r="I110" s="58" t="s">
        <v>504</v>
      </c>
      <c r="J110" s="58" t="s">
        <v>1030</v>
      </c>
      <c r="K110" s="74" t="s">
        <v>1031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1032</v>
      </c>
      <c r="X110" s="58" t="s">
        <v>1020</v>
      </c>
      <c r="Y110" s="52"/>
      <c r="Z110" s="52"/>
      <c r="AA110" s="52"/>
      <c r="AB110" s="52"/>
      <c r="AC110" s="52"/>
    </row>
    <row r="111" ht="102.59999999999999" customHeight="1">
      <c r="A111" s="73">
        <v>99</v>
      </c>
      <c r="B111" s="75"/>
      <c r="C111" s="75"/>
      <c r="D111" s="58" t="s">
        <v>1033</v>
      </c>
      <c r="E111" s="58" t="s">
        <v>1034</v>
      </c>
      <c r="F111" s="58" t="s">
        <v>203</v>
      </c>
      <c r="G111" s="58" t="s">
        <v>1035</v>
      </c>
      <c r="H111" s="58" t="s">
        <v>1036</v>
      </c>
      <c r="I111" s="58" t="s">
        <v>504</v>
      </c>
      <c r="J111" s="58" t="s">
        <v>1037</v>
      </c>
      <c r="K111" s="74" t="s">
        <v>1038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1039</v>
      </c>
      <c r="X111" s="58" t="s">
        <v>1020</v>
      </c>
      <c r="Y111" s="52"/>
      <c r="Z111" s="52"/>
      <c r="AA111" s="52"/>
      <c r="AB111" s="52"/>
      <c r="AC111" s="52"/>
    </row>
    <row r="112" ht="48.600000000000001" customHeight="1">
      <c r="A112" s="73">
        <v>100</v>
      </c>
      <c r="B112" s="75"/>
      <c r="C112" s="75"/>
      <c r="D112" s="78"/>
      <c r="E112" s="58" t="s">
        <v>1040</v>
      </c>
      <c r="F112" s="58" t="s">
        <v>210</v>
      </c>
      <c r="G112" s="58" t="s">
        <v>1041</v>
      </c>
      <c r="H112" s="58" t="s">
        <v>1042</v>
      </c>
      <c r="I112" s="58" t="s">
        <v>504</v>
      </c>
      <c r="J112" s="58" t="s">
        <v>1043</v>
      </c>
      <c r="K112" s="74" t="s">
        <v>1044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1045</v>
      </c>
      <c r="X112" s="58" t="s">
        <v>1020</v>
      </c>
      <c r="Y112" s="52"/>
      <c r="Z112" s="52"/>
      <c r="AA112" s="52"/>
      <c r="AB112" s="52"/>
      <c r="AC112" s="52"/>
    </row>
    <row r="113" ht="48.600000000000001" customHeight="1">
      <c r="A113" s="73">
        <v>101</v>
      </c>
      <c r="B113" s="75"/>
      <c r="C113" s="75"/>
      <c r="D113" s="58" t="s">
        <v>393</v>
      </c>
      <c r="E113" s="58" t="s">
        <v>1046</v>
      </c>
      <c r="F113" s="58" t="s">
        <v>203</v>
      </c>
      <c r="G113" s="58" t="s">
        <v>1047</v>
      </c>
      <c r="H113" s="58" t="s">
        <v>1048</v>
      </c>
      <c r="I113" s="58" t="s">
        <v>504</v>
      </c>
      <c r="J113" s="58" t="s">
        <v>1049</v>
      </c>
      <c r="K113" s="74" t="s">
        <v>1050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1051</v>
      </c>
      <c r="X113" s="58" t="s">
        <v>1020</v>
      </c>
      <c r="Y113" s="52"/>
      <c r="Z113" s="52"/>
      <c r="AA113" s="52"/>
      <c r="AB113" s="52"/>
      <c r="AC113" s="52"/>
    </row>
    <row r="114" ht="75.599999999999994" customHeight="1">
      <c r="A114" s="73">
        <v>102</v>
      </c>
      <c r="B114" s="75"/>
      <c r="C114" s="75"/>
      <c r="D114" s="75"/>
      <c r="E114" s="58" t="s">
        <v>1052</v>
      </c>
      <c r="F114" s="58" t="s">
        <v>203</v>
      </c>
      <c r="G114" s="58" t="s">
        <v>1053</v>
      </c>
      <c r="H114" s="58" t="s">
        <v>1054</v>
      </c>
      <c r="I114" s="58" t="s">
        <v>504</v>
      </c>
      <c r="J114" s="58" t="s">
        <v>1055</v>
      </c>
      <c r="K114" s="74" t="s">
        <v>1050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1056</v>
      </c>
      <c r="X114" s="58" t="s">
        <v>1020</v>
      </c>
      <c r="Y114" s="52"/>
      <c r="Z114" s="52"/>
      <c r="AA114" s="52"/>
      <c r="AB114" s="52"/>
      <c r="AC114" s="52"/>
    </row>
    <row r="115" ht="62.100000000000001" customHeight="1">
      <c r="A115" s="73">
        <v>103</v>
      </c>
      <c r="B115" s="75"/>
      <c r="C115" s="75"/>
      <c r="D115" s="75"/>
      <c r="E115" s="58" t="s">
        <v>622</v>
      </c>
      <c r="F115" s="58" t="s">
        <v>210</v>
      </c>
      <c r="G115" s="58" t="s">
        <v>1057</v>
      </c>
      <c r="H115" s="58" t="s">
        <v>1058</v>
      </c>
      <c r="I115" s="58" t="s">
        <v>504</v>
      </c>
      <c r="J115" s="58" t="s">
        <v>1059</v>
      </c>
      <c r="K115" s="74" t="s">
        <v>1060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 t="s">
        <v>1020</v>
      </c>
      <c r="Y115" s="52"/>
      <c r="Z115" s="52"/>
      <c r="AA115" s="52"/>
      <c r="AB115" s="52"/>
      <c r="AC115" s="52"/>
    </row>
    <row r="116" ht="89.099999999999994" customHeight="1">
      <c r="A116" s="73">
        <v>104</v>
      </c>
      <c r="B116" s="75"/>
      <c r="C116" s="75"/>
      <c r="D116" s="58" t="s">
        <v>369</v>
      </c>
      <c r="E116" s="58" t="s">
        <v>1034</v>
      </c>
      <c r="F116" s="58" t="s">
        <v>203</v>
      </c>
      <c r="G116" s="58" t="s">
        <v>1061</v>
      </c>
      <c r="H116" s="58" t="s">
        <v>1062</v>
      </c>
      <c r="I116" s="58" t="s">
        <v>504</v>
      </c>
      <c r="J116" s="58" t="s">
        <v>1063</v>
      </c>
      <c r="K116" s="74" t="s">
        <v>1064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1065</v>
      </c>
      <c r="X116" s="58" t="s">
        <v>1020</v>
      </c>
      <c r="Y116" s="52"/>
      <c r="Z116" s="52"/>
      <c r="AA116" s="52"/>
      <c r="AB116" s="52"/>
      <c r="AC116" s="52"/>
    </row>
    <row r="117" ht="89.099999999999994" customHeight="1">
      <c r="A117" s="73">
        <v>105</v>
      </c>
      <c r="B117" s="75"/>
      <c r="C117" s="75"/>
      <c r="D117" s="83"/>
      <c r="E117" s="58" t="s">
        <v>931</v>
      </c>
      <c r="F117" s="58" t="s">
        <v>210</v>
      </c>
      <c r="G117" s="58" t="s">
        <v>1066</v>
      </c>
      <c r="H117" s="58" t="s">
        <v>1067</v>
      </c>
      <c r="I117" s="58" t="s">
        <v>934</v>
      </c>
      <c r="J117" s="58" t="s">
        <v>1068</v>
      </c>
      <c r="K117" s="82" t="s">
        <v>1069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/>
      <c r="X117" s="58"/>
      <c r="Y117" s="52"/>
      <c r="Z117" s="52"/>
      <c r="AA117" s="52"/>
      <c r="AB117" s="52"/>
      <c r="AC117" s="52"/>
    </row>
    <row r="118" ht="62.100000000000001" customHeight="1">
      <c r="A118" s="73">
        <v>106</v>
      </c>
      <c r="B118" s="75"/>
      <c r="C118" s="75"/>
      <c r="D118" s="75"/>
      <c r="E118" s="58" t="s">
        <v>1070</v>
      </c>
      <c r="F118" s="58" t="s">
        <v>210</v>
      </c>
      <c r="G118" s="58" t="s">
        <v>1071</v>
      </c>
      <c r="H118" s="58" t="s">
        <v>1072</v>
      </c>
      <c r="I118" s="58" t="s">
        <v>504</v>
      </c>
      <c r="J118" s="58" t="s">
        <v>1073</v>
      </c>
      <c r="K118" s="74" t="s">
        <v>1074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1075</v>
      </c>
      <c r="X118" s="58" t="s">
        <v>1020</v>
      </c>
      <c r="Y118" s="52"/>
      <c r="Z118" s="52"/>
      <c r="AA118" s="52"/>
      <c r="AB118" s="52"/>
      <c r="AC118" s="52"/>
    </row>
    <row r="119" ht="62.100000000000001" customHeight="1">
      <c r="A119" s="73">
        <v>107</v>
      </c>
      <c r="B119" s="75"/>
      <c r="C119" s="78"/>
      <c r="D119" s="78"/>
      <c r="E119" s="58" t="s">
        <v>1076</v>
      </c>
      <c r="F119" s="58" t="s">
        <v>203</v>
      </c>
      <c r="G119" s="58" t="s">
        <v>1077</v>
      </c>
      <c r="H119" s="58" t="s">
        <v>1078</v>
      </c>
      <c r="I119" s="58" t="s">
        <v>1079</v>
      </c>
      <c r="J119" s="58" t="s">
        <v>1080</v>
      </c>
      <c r="K119" s="74" t="s">
        <v>1081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1082</v>
      </c>
      <c r="X119" s="58" t="s">
        <v>1083</v>
      </c>
      <c r="Y119" s="52"/>
      <c r="Z119" s="52"/>
      <c r="AA119" s="52"/>
      <c r="AB119" s="52"/>
      <c r="AC119" s="52"/>
    </row>
    <row r="120" ht="89.099999999999994" customHeight="1">
      <c r="A120" s="73">
        <v>108</v>
      </c>
      <c r="B120" s="75"/>
      <c r="C120" s="58" t="s">
        <v>106</v>
      </c>
      <c r="D120" s="58" t="s">
        <v>552</v>
      </c>
      <c r="E120" s="58" t="s">
        <v>1084</v>
      </c>
      <c r="F120" s="58" t="s">
        <v>203</v>
      </c>
      <c r="G120" s="58" t="s">
        <v>1085</v>
      </c>
      <c r="H120" s="58" t="s">
        <v>1086</v>
      </c>
      <c r="I120" s="58" t="s">
        <v>504</v>
      </c>
      <c r="J120" s="58" t="s">
        <v>1087</v>
      </c>
      <c r="K120" s="74" t="s">
        <v>1088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1089</v>
      </c>
      <c r="X120" s="58" t="s">
        <v>1090</v>
      </c>
      <c r="Y120" s="52"/>
      <c r="Z120" s="52"/>
      <c r="AA120" s="52"/>
      <c r="AB120" s="52"/>
      <c r="AC120" s="52"/>
    </row>
    <row r="121" ht="183.59999999999999" customHeight="1">
      <c r="A121" s="73">
        <v>109</v>
      </c>
      <c r="B121" s="75"/>
      <c r="C121" s="75"/>
      <c r="D121" s="78"/>
      <c r="E121" s="58" t="s">
        <v>1091</v>
      </c>
      <c r="F121" s="58" t="s">
        <v>203</v>
      </c>
      <c r="G121" s="58" t="s">
        <v>1092</v>
      </c>
      <c r="H121" s="58" t="s">
        <v>1093</v>
      </c>
      <c r="I121" s="58" t="s">
        <v>1094</v>
      </c>
      <c r="J121" s="58" t="s">
        <v>1095</v>
      </c>
      <c r="K121" s="74" t="s">
        <v>1096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1097</v>
      </c>
      <c r="X121" s="58" t="s">
        <v>1090</v>
      </c>
      <c r="Y121" s="52"/>
      <c r="Z121" s="52"/>
      <c r="AA121" s="52"/>
      <c r="AB121" s="52"/>
      <c r="AC121" s="52"/>
    </row>
    <row r="122" ht="75.599999999999994" customHeight="1">
      <c r="A122" s="73">
        <v>110</v>
      </c>
      <c r="B122" s="75"/>
      <c r="C122" s="75"/>
      <c r="D122" s="58" t="s">
        <v>393</v>
      </c>
      <c r="E122" s="58" t="s">
        <v>622</v>
      </c>
      <c r="F122" s="58" t="s">
        <v>210</v>
      </c>
      <c r="G122" s="58" t="s">
        <v>1098</v>
      </c>
      <c r="H122" s="58" t="s">
        <v>1099</v>
      </c>
      <c r="I122" s="58" t="s">
        <v>504</v>
      </c>
      <c r="J122" s="58" t="s">
        <v>1100</v>
      </c>
      <c r="K122" s="74" t="s">
        <v>1101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1102</v>
      </c>
      <c r="X122" s="58" t="s">
        <v>1090</v>
      </c>
      <c r="Y122" s="52"/>
      <c r="Z122" s="52"/>
      <c r="AA122" s="52"/>
      <c r="AB122" s="52"/>
      <c r="AC122" s="52"/>
    </row>
    <row r="123" ht="62.100000000000001" customHeight="1">
      <c r="A123" s="73">
        <v>111</v>
      </c>
      <c r="B123" s="75"/>
      <c r="C123" s="75"/>
      <c r="D123" s="78"/>
      <c r="E123" s="58" t="s">
        <v>1103</v>
      </c>
      <c r="F123" s="58" t="s">
        <v>225</v>
      </c>
      <c r="G123" s="58" t="s">
        <v>1104</v>
      </c>
      <c r="H123" s="58" t="s">
        <v>1105</v>
      </c>
      <c r="I123" s="58" t="s">
        <v>1094</v>
      </c>
      <c r="J123" s="58" t="s">
        <v>1106</v>
      </c>
      <c r="K123" s="74" t="s">
        <v>1101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1102</v>
      </c>
      <c r="X123" s="58" t="s">
        <v>1090</v>
      </c>
      <c r="Y123" s="52"/>
      <c r="Z123" s="52"/>
      <c r="AA123" s="52"/>
      <c r="AB123" s="52"/>
      <c r="AC123" s="52"/>
    </row>
    <row r="124" ht="89.099999999999994" customHeight="1">
      <c r="A124" s="73">
        <v>112</v>
      </c>
      <c r="B124" s="75"/>
      <c r="C124" s="75"/>
      <c r="D124" s="58" t="s">
        <v>369</v>
      </c>
      <c r="E124" s="58" t="s">
        <v>1107</v>
      </c>
      <c r="F124" s="58" t="s">
        <v>203</v>
      </c>
      <c r="G124" s="58" t="s">
        <v>1108</v>
      </c>
      <c r="H124" s="58" t="s">
        <v>1109</v>
      </c>
      <c r="I124" s="58" t="s">
        <v>504</v>
      </c>
      <c r="J124" s="58" t="s">
        <v>1110</v>
      </c>
      <c r="K124" s="74" t="s">
        <v>1111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1112</v>
      </c>
      <c r="X124" s="58" t="s">
        <v>1090</v>
      </c>
      <c r="Y124" s="52"/>
      <c r="Z124" s="52"/>
      <c r="AA124" s="52"/>
      <c r="AB124" s="52"/>
      <c r="AC124" s="52"/>
    </row>
    <row r="125" ht="75.599999999999994" customHeight="1">
      <c r="A125" s="73">
        <v>113</v>
      </c>
      <c r="B125" s="75"/>
      <c r="C125" s="78"/>
      <c r="D125" s="78"/>
      <c r="E125" s="58" t="s">
        <v>1113</v>
      </c>
      <c r="F125" s="58" t="s">
        <v>210</v>
      </c>
      <c r="G125" s="58" t="s">
        <v>1114</v>
      </c>
      <c r="H125" s="58" t="s">
        <v>1115</v>
      </c>
      <c r="I125" s="58" t="s">
        <v>504</v>
      </c>
      <c r="J125" s="58" t="s">
        <v>1116</v>
      </c>
      <c r="K125" s="84" t="s">
        <v>1117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1118</v>
      </c>
      <c r="X125" s="58" t="s">
        <v>1090</v>
      </c>
      <c r="Y125" s="52"/>
      <c r="Z125" s="52"/>
      <c r="AA125" s="52"/>
      <c r="AB125" s="52"/>
      <c r="AC125" s="52"/>
    </row>
    <row r="126" ht="116.09999999999999" customHeight="1">
      <c r="A126" s="73">
        <v>114</v>
      </c>
      <c r="B126" s="75"/>
      <c r="C126" s="58" t="s">
        <v>107</v>
      </c>
      <c r="D126" s="58" t="s">
        <v>268</v>
      </c>
      <c r="E126" s="58" t="s">
        <v>960</v>
      </c>
      <c r="F126" s="58" t="s">
        <v>203</v>
      </c>
      <c r="G126" s="58" t="s">
        <v>1119</v>
      </c>
      <c r="H126" s="58" t="s">
        <v>1120</v>
      </c>
      <c r="I126" s="58" t="s">
        <v>504</v>
      </c>
      <c r="J126" s="58" t="s">
        <v>1121</v>
      </c>
      <c r="K126" s="74" t="s">
        <v>1122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 t="s">
        <v>1123</v>
      </c>
      <c r="Y126" s="52"/>
      <c r="Z126" s="52"/>
      <c r="AA126" s="52"/>
      <c r="AB126" s="52"/>
      <c r="AC126" s="52"/>
    </row>
    <row r="127" ht="48.600000000000001" customHeight="1">
      <c r="A127" s="73">
        <v>115</v>
      </c>
      <c r="B127" s="75"/>
      <c r="C127" s="75"/>
      <c r="D127" s="75"/>
      <c r="E127" s="58" t="s">
        <v>1124</v>
      </c>
      <c r="F127" s="58" t="s">
        <v>210</v>
      </c>
      <c r="G127" s="58" t="s">
        <v>1125</v>
      </c>
      <c r="H127" s="58" t="s">
        <v>1126</v>
      </c>
      <c r="I127" s="58" t="s">
        <v>504</v>
      </c>
      <c r="J127" s="58" t="s">
        <v>1127</v>
      </c>
      <c r="K127" s="74" t="s">
        <v>1128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 t="s">
        <v>1123</v>
      </c>
      <c r="Y127" s="52"/>
      <c r="Z127" s="52"/>
      <c r="AA127" s="52"/>
      <c r="AB127" s="52"/>
      <c r="AC127" s="52"/>
    </row>
    <row r="128" ht="48.600000000000001" customHeight="1">
      <c r="A128" s="73">
        <v>116</v>
      </c>
      <c r="B128" s="75"/>
      <c r="C128" s="78"/>
      <c r="D128" s="78"/>
      <c r="E128" s="58" t="s">
        <v>1129</v>
      </c>
      <c r="F128" s="58" t="s">
        <v>210</v>
      </c>
      <c r="G128" s="58" t="s">
        <v>1130</v>
      </c>
      <c r="H128" s="58" t="s">
        <v>1131</v>
      </c>
      <c r="I128" s="58" t="s">
        <v>504</v>
      </c>
      <c r="J128" s="58" t="s">
        <v>1132</v>
      </c>
      <c r="K128" s="74" t="s">
        <v>1133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 t="s">
        <v>1123</v>
      </c>
      <c r="Y128" s="52"/>
      <c r="Z128" s="52"/>
      <c r="AA128" s="52"/>
      <c r="AB128" s="52"/>
      <c r="AC128" s="52"/>
    </row>
    <row r="129" ht="224.09999999999999" customHeight="1">
      <c r="A129" s="73">
        <v>117</v>
      </c>
      <c r="B129" s="75"/>
      <c r="C129" s="58" t="s">
        <v>108</v>
      </c>
      <c r="D129" s="58" t="s">
        <v>552</v>
      </c>
      <c r="E129" s="58" t="s">
        <v>1134</v>
      </c>
      <c r="F129" s="58" t="s">
        <v>203</v>
      </c>
      <c r="G129" s="58" t="s">
        <v>1135</v>
      </c>
      <c r="H129" s="58" t="s">
        <v>1136</v>
      </c>
      <c r="I129" s="58" t="s">
        <v>504</v>
      </c>
      <c r="J129" s="58" t="s">
        <v>1137</v>
      </c>
      <c r="K129" s="74" t="s">
        <v>1138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 t="s">
        <v>1123</v>
      </c>
      <c r="Y129" s="52"/>
      <c r="Z129" s="52"/>
      <c r="AA129" s="52"/>
      <c r="AB129" s="52"/>
      <c r="AC129" s="52"/>
    </row>
    <row r="130" ht="36">
      <c r="A130" s="73">
        <v>118</v>
      </c>
      <c r="B130" s="75"/>
      <c r="C130" s="75"/>
      <c r="D130" s="78"/>
      <c r="E130" s="85" t="s">
        <v>1139</v>
      </c>
      <c r="F130" s="86" t="s">
        <v>203</v>
      </c>
      <c r="G130" s="58" t="s">
        <v>1140</v>
      </c>
      <c r="H130" s="86" t="s">
        <v>1141</v>
      </c>
      <c r="I130" s="86" t="s">
        <v>504</v>
      </c>
      <c r="J130" s="86" t="s">
        <v>1142</v>
      </c>
      <c r="K130" s="87" t="s">
        <v>1143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1144</v>
      </c>
      <c r="X130" s="58" t="s">
        <v>1123</v>
      </c>
      <c r="Y130" s="52"/>
      <c r="Z130" s="52"/>
      <c r="AA130" s="52"/>
      <c r="AB130" s="52"/>
      <c r="AC130" s="52"/>
    </row>
    <row r="131" ht="48.600000000000001" customHeight="1">
      <c r="A131" s="73">
        <v>119</v>
      </c>
      <c r="B131" s="75"/>
      <c r="C131" s="75"/>
      <c r="D131" s="58" t="s">
        <v>393</v>
      </c>
      <c r="E131" s="58" t="s">
        <v>622</v>
      </c>
      <c r="F131" s="58" t="s">
        <v>210</v>
      </c>
      <c r="G131" s="58" t="s">
        <v>1145</v>
      </c>
      <c r="H131" s="58" t="s">
        <v>1146</v>
      </c>
      <c r="I131" s="58" t="s">
        <v>504</v>
      </c>
      <c r="J131" s="58" t="s">
        <v>1147</v>
      </c>
      <c r="K131" s="74" t="s">
        <v>1148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 t="s">
        <v>1123</v>
      </c>
      <c r="Y131" s="52"/>
      <c r="Z131" s="52"/>
      <c r="AA131" s="52"/>
      <c r="AB131" s="52"/>
      <c r="AC131" s="52"/>
    </row>
    <row r="132" ht="75.599999999999994" customHeight="1">
      <c r="A132" s="73">
        <v>120</v>
      </c>
      <c r="B132" s="75"/>
      <c r="C132" s="75"/>
      <c r="D132" s="58" t="s">
        <v>369</v>
      </c>
      <c r="E132" s="58" t="s">
        <v>1149</v>
      </c>
      <c r="F132" s="58" t="s">
        <v>203</v>
      </c>
      <c r="G132" s="58" t="s">
        <v>1150</v>
      </c>
      <c r="H132" s="58" t="s">
        <v>1151</v>
      </c>
      <c r="I132" s="58" t="s">
        <v>504</v>
      </c>
      <c r="J132" s="58" t="s">
        <v>1152</v>
      </c>
      <c r="K132" s="74" t="s">
        <v>1153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 t="s">
        <v>1123</v>
      </c>
      <c r="Y132" s="52"/>
      <c r="Z132" s="52"/>
      <c r="AA132" s="52"/>
      <c r="AB132" s="52"/>
      <c r="AC132" s="52"/>
    </row>
    <row r="133" ht="62.100000000000001" customHeight="1">
      <c r="A133" s="73">
        <v>121</v>
      </c>
      <c r="B133" s="75"/>
      <c r="C133" s="75"/>
      <c r="D133" s="75"/>
      <c r="E133" s="58" t="s">
        <v>1154</v>
      </c>
      <c r="F133" s="58" t="s">
        <v>203</v>
      </c>
      <c r="G133" s="58" t="s">
        <v>1155</v>
      </c>
      <c r="H133" s="58" t="s">
        <v>1156</v>
      </c>
      <c r="I133" s="58" t="s">
        <v>504</v>
      </c>
      <c r="J133" s="58" t="s">
        <v>1157</v>
      </c>
      <c r="K133" s="74" t="s">
        <v>1158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 t="s">
        <v>1123</v>
      </c>
      <c r="Y133" s="52"/>
      <c r="Z133" s="52"/>
      <c r="AA133" s="52"/>
      <c r="AB133" s="52"/>
      <c r="AC133" s="52"/>
    </row>
    <row r="134" ht="62.100000000000001" customHeight="1">
      <c r="A134" s="73">
        <v>122</v>
      </c>
      <c r="B134" s="75"/>
      <c r="C134" s="75"/>
      <c r="D134" s="75"/>
      <c r="E134" s="58" t="s">
        <v>1159</v>
      </c>
      <c r="F134" s="58" t="s">
        <v>210</v>
      </c>
      <c r="G134" s="58" t="s">
        <v>1160</v>
      </c>
      <c r="H134" s="58" t="s">
        <v>1161</v>
      </c>
      <c r="I134" s="58" t="s">
        <v>504</v>
      </c>
      <c r="J134" s="58" t="s">
        <v>1162</v>
      </c>
      <c r="K134" s="74" t="s">
        <v>1163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 t="s">
        <v>1164</v>
      </c>
      <c r="Y134" s="52"/>
      <c r="Z134" s="52"/>
      <c r="AA134" s="52"/>
      <c r="AB134" s="52"/>
      <c r="AC134" s="52"/>
    </row>
    <row r="135" ht="62.100000000000001" customHeight="1">
      <c r="A135" s="73">
        <v>123</v>
      </c>
      <c r="B135" s="75"/>
      <c r="C135" s="75"/>
      <c r="D135" s="75"/>
      <c r="E135" s="58" t="s">
        <v>1165</v>
      </c>
      <c r="F135" s="58" t="s">
        <v>203</v>
      </c>
      <c r="G135" s="58" t="s">
        <v>1166</v>
      </c>
      <c r="H135" s="58" t="s">
        <v>1167</v>
      </c>
      <c r="I135" s="58" t="s">
        <v>504</v>
      </c>
      <c r="J135" s="58" t="s">
        <v>1168</v>
      </c>
      <c r="K135" s="74" t="s">
        <v>1169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1170</v>
      </c>
      <c r="X135" s="58" t="s">
        <v>1123</v>
      </c>
      <c r="Y135" s="52"/>
      <c r="Z135" s="52"/>
      <c r="AA135" s="52"/>
      <c r="AB135" s="52"/>
      <c r="AC135" s="52"/>
    </row>
    <row r="136" ht="75.599999999999994" customHeight="1">
      <c r="A136" s="73">
        <v>124</v>
      </c>
      <c r="B136" s="75"/>
      <c r="C136" s="78"/>
      <c r="D136" s="78"/>
      <c r="E136" s="58" t="s">
        <v>1171</v>
      </c>
      <c r="F136" s="58" t="s">
        <v>203</v>
      </c>
      <c r="G136" s="58" t="s">
        <v>1172</v>
      </c>
      <c r="H136" s="58" t="s">
        <v>1173</v>
      </c>
      <c r="I136" s="58" t="s">
        <v>504</v>
      </c>
      <c r="J136" s="58" t="s">
        <v>1174</v>
      </c>
      <c r="K136" s="74" t="s">
        <v>1175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1176</v>
      </c>
      <c r="X136" s="58" t="s">
        <v>1123</v>
      </c>
      <c r="Y136" s="52"/>
      <c r="Z136" s="52"/>
      <c r="AA136" s="52"/>
      <c r="AB136" s="52"/>
      <c r="AC136" s="52"/>
    </row>
    <row r="137" ht="89.099999999999994" customHeight="1">
      <c r="A137" s="73">
        <v>125</v>
      </c>
      <c r="B137" s="78"/>
      <c r="C137" s="58" t="s">
        <v>109</v>
      </c>
      <c r="D137" s="58" t="s">
        <v>268</v>
      </c>
      <c r="E137" s="58" t="s">
        <v>1177</v>
      </c>
      <c r="F137" s="58" t="s">
        <v>210</v>
      </c>
      <c r="G137" s="58" t="s">
        <v>1178</v>
      </c>
      <c r="H137" s="58" t="s">
        <v>1179</v>
      </c>
      <c r="I137" s="58" t="s">
        <v>504</v>
      </c>
      <c r="J137" s="58" t="s">
        <v>1180</v>
      </c>
      <c r="K137" s="74" t="s">
        <v>1181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1182</v>
      </c>
      <c r="X137" s="58" t="s">
        <v>742</v>
      </c>
      <c r="Y137" s="52"/>
      <c r="Z137" s="52"/>
      <c r="AA137" s="52"/>
      <c r="AB137" s="52"/>
      <c r="AC137" s="52"/>
    </row>
    <row r="138" ht="62.100000000000001" customHeight="1">
      <c r="A138" s="73">
        <v>126</v>
      </c>
      <c r="B138" s="58" t="s">
        <v>110</v>
      </c>
      <c r="C138" s="58" t="s">
        <v>111</v>
      </c>
      <c r="D138" s="58" t="s">
        <v>1183</v>
      </c>
      <c r="E138" s="58" t="s">
        <v>1184</v>
      </c>
      <c r="F138" s="58" t="s">
        <v>203</v>
      </c>
      <c r="G138" s="58" t="s">
        <v>1185</v>
      </c>
      <c r="H138" s="58" t="s">
        <v>1186</v>
      </c>
      <c r="I138" s="58" t="s">
        <v>1187</v>
      </c>
      <c r="J138" s="58" t="s">
        <v>542</v>
      </c>
      <c r="K138" s="74" t="s">
        <v>1188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 t="s">
        <v>507</v>
      </c>
      <c r="Y138" s="52"/>
      <c r="Z138" s="52"/>
      <c r="AA138" s="52"/>
      <c r="AB138" s="52"/>
      <c r="AC138" s="52"/>
    </row>
    <row r="139" ht="62.100000000000001" customHeight="1">
      <c r="A139" s="73">
        <v>127</v>
      </c>
      <c r="B139" s="75"/>
      <c r="C139" s="75"/>
      <c r="D139" s="78"/>
      <c r="E139" s="58" t="s">
        <v>1189</v>
      </c>
      <c r="F139" s="58" t="s">
        <v>225</v>
      </c>
      <c r="G139" s="58" t="s">
        <v>1190</v>
      </c>
      <c r="H139" s="58" t="s">
        <v>1191</v>
      </c>
      <c r="I139" s="58" t="s">
        <v>1187</v>
      </c>
      <c r="J139" s="58" t="s">
        <v>1192</v>
      </c>
      <c r="K139" s="74" t="s">
        <v>1193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1194</v>
      </c>
      <c r="X139" s="58" t="s">
        <v>507</v>
      </c>
      <c r="Y139" s="52"/>
      <c r="Z139" s="52"/>
      <c r="AA139" s="52"/>
      <c r="AB139" s="52"/>
      <c r="AC139" s="52"/>
    </row>
    <row r="140" ht="89.099999999999994" customHeight="1">
      <c r="A140" s="73">
        <v>128</v>
      </c>
      <c r="B140" s="75"/>
      <c r="C140" s="75"/>
      <c r="D140" s="58" t="s">
        <v>1195</v>
      </c>
      <c r="E140" s="58" t="s">
        <v>1196</v>
      </c>
      <c r="F140" s="58" t="s">
        <v>203</v>
      </c>
      <c r="G140" s="58" t="s">
        <v>1197</v>
      </c>
      <c r="H140" s="58" t="s">
        <v>1198</v>
      </c>
      <c r="I140" s="58" t="s">
        <v>1187</v>
      </c>
      <c r="J140" s="58" t="s">
        <v>1199</v>
      </c>
      <c r="K140" s="74" t="s">
        <v>1200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 t="s">
        <v>519</v>
      </c>
      <c r="Y140" s="52"/>
      <c r="Z140" s="52"/>
      <c r="AA140" s="52"/>
      <c r="AB140" s="52"/>
      <c r="AC140" s="52"/>
    </row>
    <row r="141" ht="62.100000000000001" customHeight="1">
      <c r="A141" s="73">
        <v>129</v>
      </c>
      <c r="B141" s="75"/>
      <c r="C141" s="78"/>
      <c r="D141" s="78"/>
      <c r="E141" s="58" t="s">
        <v>1201</v>
      </c>
      <c r="F141" s="58" t="s">
        <v>203</v>
      </c>
      <c r="G141" s="58" t="s">
        <v>1202</v>
      </c>
      <c r="H141" s="58" t="s">
        <v>1203</v>
      </c>
      <c r="I141" s="58" t="s">
        <v>1187</v>
      </c>
      <c r="J141" s="58" t="s">
        <v>1204</v>
      </c>
      <c r="K141" s="74" t="s">
        <v>1205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1206</v>
      </c>
      <c r="X141" s="58" t="s">
        <v>222</v>
      </c>
      <c r="Y141" s="52"/>
      <c r="Z141" s="52"/>
      <c r="AA141" s="52"/>
      <c r="AB141" s="52"/>
      <c r="AC141" s="52"/>
    </row>
    <row r="142" ht="48.600000000000001" customHeight="1">
      <c r="A142" s="73">
        <v>130</v>
      </c>
      <c r="B142" s="75"/>
      <c r="C142" s="88" t="s">
        <v>112</v>
      </c>
      <c r="D142" s="80" t="s">
        <v>1207</v>
      </c>
      <c r="E142" s="80" t="s">
        <v>1208</v>
      </c>
      <c r="F142" s="80" t="s">
        <v>203</v>
      </c>
      <c r="G142" s="58" t="s">
        <v>1209</v>
      </c>
      <c r="H142" s="80" t="s">
        <v>1210</v>
      </c>
      <c r="I142" s="88" t="s">
        <v>1211</v>
      </c>
      <c r="J142" s="88" t="s">
        <v>1212</v>
      </c>
      <c r="K142" s="82" t="s">
        <v>1213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1214</v>
      </c>
      <c r="X142" s="58" t="s">
        <v>222</v>
      </c>
      <c r="Y142" s="52"/>
      <c r="Z142" s="52"/>
      <c r="AA142" s="52"/>
      <c r="AB142" s="52"/>
      <c r="AC142" s="52"/>
    </row>
    <row r="143" ht="102.59999999999999" customHeight="1">
      <c r="A143" s="73">
        <v>131</v>
      </c>
      <c r="B143" s="75"/>
      <c r="C143" s="58" t="s">
        <v>113</v>
      </c>
      <c r="D143" s="58" t="s">
        <v>1215</v>
      </c>
      <c r="E143" s="58" t="s">
        <v>1216</v>
      </c>
      <c r="F143" s="58" t="s">
        <v>203</v>
      </c>
      <c r="G143" s="58" t="s">
        <v>1217</v>
      </c>
      <c r="H143" s="58" t="s">
        <v>1218</v>
      </c>
      <c r="I143" s="58" t="s">
        <v>1219</v>
      </c>
      <c r="J143" s="58" t="s">
        <v>1220</v>
      </c>
      <c r="K143" s="74" t="s">
        <v>1221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1222</v>
      </c>
      <c r="X143" s="58" t="s">
        <v>519</v>
      </c>
      <c r="Y143" s="52"/>
      <c r="Z143" s="52"/>
      <c r="AA143" s="52"/>
      <c r="AB143" s="52"/>
      <c r="AC143" s="52"/>
    </row>
    <row r="144" ht="62.100000000000001" customHeight="1">
      <c r="A144" s="73">
        <v>132</v>
      </c>
      <c r="B144" s="78"/>
      <c r="C144" s="78"/>
      <c r="D144" s="58" t="s">
        <v>1223</v>
      </c>
      <c r="E144" s="58" t="s">
        <v>1224</v>
      </c>
      <c r="F144" s="58" t="s">
        <v>203</v>
      </c>
      <c r="G144" s="58" t="s">
        <v>1225</v>
      </c>
      <c r="H144" s="58" t="s">
        <v>1226</v>
      </c>
      <c r="I144" s="58" t="s">
        <v>1227</v>
      </c>
      <c r="J144" s="58" t="s">
        <v>1228</v>
      </c>
      <c r="K144" s="74" t="s">
        <v>1229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1222</v>
      </c>
      <c r="X144" s="58" t="s">
        <v>222</v>
      </c>
      <c r="Y144" s="52"/>
      <c r="Z144" s="52"/>
      <c r="AA144" s="52"/>
      <c r="AB144" s="52"/>
      <c r="AC144" s="52"/>
    </row>
    <row r="145" ht="62.100000000000001" customHeight="1">
      <c r="A145" s="73">
        <v>133</v>
      </c>
      <c r="B145" s="58" t="s">
        <v>89</v>
      </c>
      <c r="C145" s="58" t="s">
        <v>114</v>
      </c>
      <c r="D145" s="58" t="s">
        <v>1183</v>
      </c>
      <c r="E145" s="58" t="s">
        <v>1230</v>
      </c>
      <c r="F145" s="58" t="s">
        <v>203</v>
      </c>
      <c r="G145" s="58" t="s">
        <v>1231</v>
      </c>
      <c r="H145" s="58" t="s">
        <v>1232</v>
      </c>
      <c r="I145" s="58" t="s">
        <v>1233</v>
      </c>
      <c r="J145" s="58" t="s">
        <v>542</v>
      </c>
      <c r="K145" s="74" t="s">
        <v>1234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 t="s">
        <v>222</v>
      </c>
      <c r="Y145" s="52"/>
      <c r="Z145" s="52"/>
      <c r="AA145" s="52"/>
      <c r="AB145" s="52"/>
      <c r="AC145" s="52"/>
    </row>
    <row r="146" ht="62.100000000000001" customHeight="1">
      <c r="A146" s="73">
        <v>134</v>
      </c>
      <c r="B146" s="75"/>
      <c r="C146" s="78"/>
      <c r="D146" s="58" t="s">
        <v>1235</v>
      </c>
      <c r="E146" s="58" t="s">
        <v>1236</v>
      </c>
      <c r="F146" s="58" t="s">
        <v>203</v>
      </c>
      <c r="G146" s="58" t="s">
        <v>1237</v>
      </c>
      <c r="H146" s="58" t="s">
        <v>1238</v>
      </c>
      <c r="I146" s="58" t="s">
        <v>1233</v>
      </c>
      <c r="J146" s="58" t="s">
        <v>1239</v>
      </c>
      <c r="K146" s="74" t="s">
        <v>1240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1206</v>
      </c>
      <c r="X146" s="58" t="s">
        <v>222</v>
      </c>
      <c r="Y146" s="52"/>
      <c r="Z146" s="52"/>
      <c r="AA146" s="52"/>
      <c r="AB146" s="52"/>
      <c r="AC146" s="52"/>
    </row>
    <row r="147" ht="116.09999999999999" customHeight="1">
      <c r="A147" s="73">
        <v>135</v>
      </c>
      <c r="B147" s="75"/>
      <c r="C147" s="58" t="s">
        <v>115</v>
      </c>
      <c r="D147" s="58" t="s">
        <v>1241</v>
      </c>
      <c r="E147" s="58" t="s">
        <v>1242</v>
      </c>
      <c r="F147" s="58" t="s">
        <v>203</v>
      </c>
      <c r="G147" s="58" t="s">
        <v>1243</v>
      </c>
      <c r="H147" s="58" t="s">
        <v>1244</v>
      </c>
      <c r="I147" s="58" t="s">
        <v>504</v>
      </c>
      <c r="J147" s="58" t="s">
        <v>1245</v>
      </c>
      <c r="K147" s="74" t="s">
        <v>1246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 t="s">
        <v>551</v>
      </c>
      <c r="Y147" s="52"/>
      <c r="Z147" s="52"/>
      <c r="AA147" s="52"/>
      <c r="AB147" s="52"/>
      <c r="AC147" s="52"/>
    </row>
    <row r="148" ht="62.100000000000001" customHeight="1">
      <c r="A148" s="73">
        <v>136</v>
      </c>
      <c r="B148" s="78"/>
      <c r="C148" s="85" t="s">
        <v>116</v>
      </c>
      <c r="D148" s="86" t="s">
        <v>1247</v>
      </c>
      <c r="E148" s="86" t="s">
        <v>1248</v>
      </c>
      <c r="F148" s="86" t="s">
        <v>210</v>
      </c>
      <c r="G148" s="89" t="s">
        <v>1249</v>
      </c>
      <c r="H148" s="86" t="s">
        <v>1250</v>
      </c>
      <c r="I148" s="86" t="s">
        <v>504</v>
      </c>
      <c r="J148" s="86" t="s">
        <v>1251</v>
      </c>
      <c r="K148" s="76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1252</v>
      </c>
      <c r="X148" s="58" t="s">
        <v>496</v>
      </c>
      <c r="Y148" s="52"/>
      <c r="Z148" s="52"/>
      <c r="AA148" s="52"/>
      <c r="AB148" s="52"/>
      <c r="AC148" s="52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73"/>
    <mergeCell ref="C20:C39"/>
    <mergeCell ref="D21:D22"/>
    <mergeCell ref="D23:D24"/>
    <mergeCell ref="D25:D26"/>
    <mergeCell ref="D27:D36"/>
    <mergeCell ref="D37:D39"/>
    <mergeCell ref="C40:C46"/>
    <mergeCell ref="D41:D46"/>
    <mergeCell ref="C47:C68"/>
    <mergeCell ref="D47:D65"/>
    <mergeCell ref="E49:E52"/>
    <mergeCell ref="E56:E65"/>
    <mergeCell ref="D66:D68"/>
    <mergeCell ref="C69:C73"/>
    <mergeCell ref="D69:D70"/>
    <mergeCell ref="D72:D73"/>
    <mergeCell ref="B74:B137"/>
    <mergeCell ref="C74:C80"/>
    <mergeCell ref="D74:D77"/>
    <mergeCell ref="E75:E77"/>
    <mergeCell ref="D79:D80"/>
    <mergeCell ref="C81:C82"/>
    <mergeCell ref="C83:C86"/>
    <mergeCell ref="D83:D86"/>
    <mergeCell ref="C87:C95"/>
    <mergeCell ref="D88:D92"/>
    <mergeCell ref="D93:D95"/>
    <mergeCell ref="C96:C107"/>
    <mergeCell ref="D97:D106"/>
    <mergeCell ref="E99:E100"/>
    <mergeCell ref="E101:E104"/>
    <mergeCell ref="C108:C119"/>
    <mergeCell ref="D109:D110"/>
    <mergeCell ref="D111:D112"/>
    <mergeCell ref="D113:D115"/>
    <mergeCell ref="D116:D119"/>
    <mergeCell ref="C120:C125"/>
    <mergeCell ref="D120:D121"/>
    <mergeCell ref="D122:D123"/>
    <mergeCell ref="D124:D125"/>
    <mergeCell ref="C126:C128"/>
    <mergeCell ref="D126:D128"/>
    <mergeCell ref="C129:C136"/>
    <mergeCell ref="D129:D130"/>
    <mergeCell ref="D132:D136"/>
    <mergeCell ref="B138:B144"/>
    <mergeCell ref="C138:C141"/>
    <mergeCell ref="D138:D139"/>
    <mergeCell ref="D140:D141"/>
    <mergeCell ref="C143:C144"/>
    <mergeCell ref="B145:B148"/>
    <mergeCell ref="C145:C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B32E2E74-BC54-4E60-AFFC-0E6665A27FA5}" type="list" allowBlank="1" errorStyle="stop" imeMode="noControl" operator="between" showDropDown="0" showErrorMessage="0" showInputMessage="0">
          <x14:formula1>
            <xm:f>"High,Medium,Low,Critical"</xm:f>
          </x14:formula1>
          <xm:sqref>F13:F116 F118:F148</xm:sqref>
        </x14:dataValidation>
        <x14:dataValidation xr:uid="{CD9C4AAA-C9B4-4D28-9E9B-ABEEC03069AF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F926CBE1-409F-41D2-B031-C93FDE836B01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29.25" customHeight="1">
      <c r="A3" s="51"/>
      <c r="B3" s="54" t="s">
        <v>171</v>
      </c>
      <c r="C3" s="55" t="s">
        <v>1868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24" customHeight="1">
      <c r="A4" s="51"/>
      <c r="B4" s="54" t="s">
        <v>174</v>
      </c>
      <c r="C4" s="58" t="s">
        <v>1869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COUNTA($G$13:$G$74)</f>
        <v>62</v>
      </c>
      <c r="M4" s="61">
        <f>COUNTIF($M$13:$M$74,M3)</f>
        <v>0</v>
      </c>
      <c r="N4" s="61">
        <f>COUNTIF($M$13:$M$74,N3)</f>
        <v>0</v>
      </c>
      <c r="O4" s="61">
        <f>COUNTIF($M$13:$M$74,O3)</f>
        <v>0</v>
      </c>
      <c r="P4" s="62">
        <f>COUNTIF($M$13:$M$74,P3)</f>
        <v>0</v>
      </c>
      <c r="Q4" s="61">
        <f>COUNTIF($M$13:$M$74,Q3)</f>
        <v>0</v>
      </c>
      <c r="R4" s="61">
        <f>L4-SUM(M4:Q4)</f>
        <v>62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4">M4/$L$4</f>
        <v>0</v>
      </c>
      <c r="N5" s="64">
        <f t="shared" si="24"/>
        <v>0</v>
      </c>
      <c r="O5" s="64">
        <f t="shared" si="24"/>
        <v>0</v>
      </c>
      <c r="P5" s="65">
        <f t="shared" si="24"/>
        <v>0</v>
      </c>
      <c r="Q5" s="64">
        <f t="shared" si="24"/>
        <v>0</v>
      </c>
      <c r="R5" s="64">
        <f t="shared" si="24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COUNTA($G$13:$G$74)</f>
        <v>62</v>
      </c>
      <c r="M6" s="61">
        <f>COUNTIF($R$13:$R$74,M3)</f>
        <v>0</v>
      </c>
      <c r="N6" s="61">
        <f>COUNTIF($R$13:$R$74,N3)</f>
        <v>0</v>
      </c>
      <c r="O6" s="61">
        <f>COUNTIF($R$13:$R$74,O3)</f>
        <v>0</v>
      </c>
      <c r="P6" s="62">
        <f>COUNTIF($R$13:$R$74,P3)</f>
        <v>0</v>
      </c>
      <c r="Q6" s="61">
        <f>COUNTIF($R$13:$R$74,Q3)</f>
        <v>0</v>
      </c>
      <c r="R6" s="61">
        <f>L6-SUM(M6:Q6)</f>
        <v>62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1871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5">M6/$L$6</f>
        <v>0</v>
      </c>
      <c r="N7" s="64">
        <f t="shared" si="25"/>
        <v>0</v>
      </c>
      <c r="O7" s="64">
        <f t="shared" si="25"/>
        <v>0</v>
      </c>
      <c r="P7" s="65">
        <f t="shared" si="25"/>
        <v>0</v>
      </c>
      <c r="Q7" s="64">
        <f t="shared" si="25"/>
        <v>0</v>
      </c>
      <c r="R7" s="64">
        <f t="shared" si="25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145</v>
      </c>
      <c r="D13" s="58" t="s">
        <v>500</v>
      </c>
      <c r="E13" s="58" t="s">
        <v>1872</v>
      </c>
      <c r="F13" s="58" t="s">
        <v>203</v>
      </c>
      <c r="G13" s="58" t="s">
        <v>204</v>
      </c>
      <c r="H13" s="58" t="s">
        <v>1873</v>
      </c>
      <c r="I13" s="58" t="s">
        <v>1874</v>
      </c>
      <c r="J13" s="58" t="s">
        <v>1875</v>
      </c>
      <c r="K13" s="74" t="s">
        <v>1876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1877</v>
      </c>
      <c r="X13" s="58" t="s">
        <v>1878</v>
      </c>
      <c r="Y13" s="52"/>
      <c r="Z13" s="52"/>
      <c r="AA13" s="52"/>
      <c r="AB13" s="52"/>
      <c r="AC13" s="52"/>
    </row>
    <row r="14" ht="47.450000000000003" customHeight="1">
      <c r="A14" s="73">
        <v>2</v>
      </c>
      <c r="B14" s="75"/>
      <c r="C14" s="78"/>
      <c r="D14" s="78"/>
      <c r="E14" s="58" t="s">
        <v>1879</v>
      </c>
      <c r="F14" s="58" t="s">
        <v>203</v>
      </c>
      <c r="G14" s="58" t="s">
        <v>211</v>
      </c>
      <c r="H14" s="58" t="s">
        <v>1880</v>
      </c>
      <c r="I14" s="58" t="s">
        <v>1881</v>
      </c>
      <c r="J14" s="58" t="s">
        <v>1882</v>
      </c>
      <c r="K14" s="74" t="s">
        <v>1883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1884</v>
      </c>
      <c r="X14" s="58" t="s">
        <v>1878</v>
      </c>
      <c r="Y14" s="52"/>
      <c r="Z14" s="52"/>
      <c r="AA14" s="52"/>
      <c r="AB14" s="52"/>
      <c r="AC14" s="52"/>
    </row>
    <row r="15" ht="60.950000000000003" customHeight="1">
      <c r="A15" s="73">
        <v>3</v>
      </c>
      <c r="B15" s="78"/>
      <c r="C15" s="58" t="s">
        <v>146</v>
      </c>
      <c r="D15" s="58" t="s">
        <v>513</v>
      </c>
      <c r="E15" s="58" t="s">
        <v>1885</v>
      </c>
      <c r="F15" s="58" t="s">
        <v>203</v>
      </c>
      <c r="G15" s="58" t="s">
        <v>217</v>
      </c>
      <c r="H15" s="58" t="s">
        <v>1886</v>
      </c>
      <c r="I15" s="58" t="s">
        <v>1887</v>
      </c>
      <c r="J15" s="58" t="s">
        <v>1888</v>
      </c>
      <c r="K15" s="74" t="s">
        <v>1889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1890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58" t="s">
        <v>147</v>
      </c>
      <c r="C16" s="58" t="s">
        <v>148</v>
      </c>
      <c r="D16" s="58" t="s">
        <v>538</v>
      </c>
      <c r="E16" s="58" t="s">
        <v>1891</v>
      </c>
      <c r="F16" s="58" t="s">
        <v>203</v>
      </c>
      <c r="G16" s="58" t="s">
        <v>226</v>
      </c>
      <c r="H16" s="58" t="s">
        <v>1892</v>
      </c>
      <c r="I16" s="58" t="s">
        <v>1893</v>
      </c>
      <c r="J16" s="58" t="s">
        <v>1894</v>
      </c>
      <c r="K16" s="74" t="s">
        <v>1895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1878</v>
      </c>
      <c r="Y16" s="52"/>
      <c r="Z16" s="52"/>
      <c r="AA16" s="52"/>
      <c r="AB16" s="52"/>
      <c r="AC16" s="52"/>
    </row>
    <row r="17" ht="128.44999999999999" customHeight="1">
      <c r="A17" s="73">
        <v>5</v>
      </c>
      <c r="B17" s="75"/>
      <c r="C17" s="78"/>
      <c r="D17" s="58" t="s">
        <v>138</v>
      </c>
      <c r="E17" s="58" t="s">
        <v>1896</v>
      </c>
      <c r="F17" s="58" t="s">
        <v>203</v>
      </c>
      <c r="G17" s="58" t="s">
        <v>232</v>
      </c>
      <c r="H17" s="58" t="s">
        <v>1897</v>
      </c>
      <c r="I17" s="58" t="s">
        <v>1898</v>
      </c>
      <c r="J17" s="58" t="s">
        <v>1899</v>
      </c>
      <c r="K17" s="74" t="s">
        <v>1900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1901</v>
      </c>
      <c r="X17" s="58" t="s">
        <v>1878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78"/>
      <c r="C18" s="58" t="s">
        <v>149</v>
      </c>
      <c r="D18" s="58" t="s">
        <v>268</v>
      </c>
      <c r="E18" s="58" t="s">
        <v>1902</v>
      </c>
      <c r="F18" s="58" t="s">
        <v>210</v>
      </c>
      <c r="G18" s="58" t="s">
        <v>237</v>
      </c>
      <c r="H18" s="58" t="s">
        <v>1903</v>
      </c>
      <c r="I18" s="58" t="s">
        <v>1904</v>
      </c>
      <c r="J18" s="58" t="s">
        <v>1905</v>
      </c>
      <c r="K18" s="74" t="s">
        <v>1906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1907</v>
      </c>
      <c r="X18" s="58" t="s">
        <v>1878</v>
      </c>
      <c r="Y18" s="52"/>
      <c r="Z18" s="52"/>
      <c r="AA18" s="52"/>
      <c r="AB18" s="52"/>
      <c r="AC18" s="52"/>
    </row>
    <row r="19" ht="101.45" customHeight="1">
      <c r="A19" s="73">
        <v>7</v>
      </c>
      <c r="B19" s="58" t="s">
        <v>150</v>
      </c>
      <c r="C19" s="58" t="s">
        <v>151</v>
      </c>
      <c r="D19" s="58" t="s">
        <v>111</v>
      </c>
      <c r="E19" s="58" t="s">
        <v>1908</v>
      </c>
      <c r="F19" s="58" t="s">
        <v>203</v>
      </c>
      <c r="G19" s="58" t="s">
        <v>242</v>
      </c>
      <c r="H19" s="58" t="s">
        <v>1909</v>
      </c>
      <c r="I19" s="58" t="s">
        <v>1910</v>
      </c>
      <c r="J19" s="58" t="s">
        <v>1911</v>
      </c>
      <c r="K19" s="74" t="s">
        <v>1912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1913</v>
      </c>
      <c r="X19" s="58" t="s">
        <v>1890</v>
      </c>
      <c r="Y19" s="52"/>
      <c r="Z19" s="52"/>
      <c r="AA19" s="52"/>
      <c r="AB19" s="52"/>
      <c r="AC19" s="52"/>
    </row>
    <row r="20" ht="62.100000000000001" customHeight="1">
      <c r="A20" s="73">
        <v>8</v>
      </c>
      <c r="B20" s="78"/>
      <c r="C20" s="78"/>
      <c r="D20" s="58" t="s">
        <v>1914</v>
      </c>
      <c r="E20" s="58" t="s">
        <v>1902</v>
      </c>
      <c r="F20" s="58" t="s">
        <v>210</v>
      </c>
      <c r="G20" s="58" t="s">
        <v>248</v>
      </c>
      <c r="H20" s="58" t="s">
        <v>1915</v>
      </c>
      <c r="I20" s="58" t="s">
        <v>1916</v>
      </c>
      <c r="J20" s="58" t="s">
        <v>1917</v>
      </c>
      <c r="K20" s="76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1918</v>
      </c>
      <c r="X20" s="58" t="s">
        <v>1890</v>
      </c>
      <c r="Y20" s="52"/>
      <c r="Z20" s="52"/>
      <c r="AA20" s="52"/>
      <c r="AB20" s="52"/>
      <c r="AC20" s="52"/>
    </row>
    <row r="21" ht="62.100000000000001" customHeight="1">
      <c r="A21" s="73">
        <v>9</v>
      </c>
      <c r="B21" s="58" t="s">
        <v>152</v>
      </c>
      <c r="C21" s="58" t="s">
        <v>153</v>
      </c>
      <c r="D21" s="58" t="s">
        <v>538</v>
      </c>
      <c r="E21" s="58" t="s">
        <v>1919</v>
      </c>
      <c r="F21" s="58" t="s">
        <v>203</v>
      </c>
      <c r="G21" s="58" t="s">
        <v>254</v>
      </c>
      <c r="H21" s="58" t="s">
        <v>1920</v>
      </c>
      <c r="I21" s="58" t="s">
        <v>1887</v>
      </c>
      <c r="J21" s="58" t="s">
        <v>1921</v>
      </c>
      <c r="K21" s="74" t="s">
        <v>1922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1923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8"/>
      <c r="D22" s="58" t="s">
        <v>138</v>
      </c>
      <c r="E22" s="58" t="s">
        <v>1924</v>
      </c>
      <c r="F22" s="58" t="s">
        <v>203</v>
      </c>
      <c r="G22" s="58" t="s">
        <v>259</v>
      </c>
      <c r="H22" s="58" t="s">
        <v>1925</v>
      </c>
      <c r="I22" s="58" t="s">
        <v>1881</v>
      </c>
      <c r="J22" s="58" t="s">
        <v>1921</v>
      </c>
      <c r="K22" s="74" t="s">
        <v>1926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1923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58" t="s">
        <v>154</v>
      </c>
      <c r="D23" s="58" t="s">
        <v>369</v>
      </c>
      <c r="E23" s="58" t="s">
        <v>1927</v>
      </c>
      <c r="F23" s="58" t="s">
        <v>203</v>
      </c>
      <c r="G23" s="58" t="s">
        <v>264</v>
      </c>
      <c r="H23" s="58" t="s">
        <v>1928</v>
      </c>
      <c r="I23" s="58" t="s">
        <v>1887</v>
      </c>
      <c r="J23" s="58" t="s">
        <v>1929</v>
      </c>
      <c r="K23" s="74" t="s">
        <v>1930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1923</v>
      </c>
      <c r="Y23" s="52"/>
      <c r="Z23" s="52"/>
      <c r="AA23" s="52"/>
      <c r="AB23" s="52"/>
      <c r="AC23" s="52"/>
    </row>
    <row r="24" ht="74.450000000000003" customHeight="1">
      <c r="A24" s="73">
        <v>12</v>
      </c>
      <c r="B24" s="75"/>
      <c r="C24" s="75"/>
      <c r="D24" s="75"/>
      <c r="E24" s="58" t="s">
        <v>1931</v>
      </c>
      <c r="F24" s="58" t="s">
        <v>203</v>
      </c>
      <c r="G24" s="58" t="s">
        <v>270</v>
      </c>
      <c r="H24" s="58" t="s">
        <v>1932</v>
      </c>
      <c r="I24" s="58" t="s">
        <v>1933</v>
      </c>
      <c r="J24" s="58" t="s">
        <v>1934</v>
      </c>
      <c r="K24" s="74" t="s">
        <v>1935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1936</v>
      </c>
      <c r="X24" s="58" t="s">
        <v>1937</v>
      </c>
      <c r="Y24" s="52"/>
      <c r="Z24" s="52"/>
      <c r="AA24" s="52"/>
      <c r="AB24" s="52"/>
      <c r="AC24" s="52"/>
    </row>
    <row r="25" ht="74.450000000000003" customHeight="1">
      <c r="A25" s="73">
        <v>13</v>
      </c>
      <c r="B25" s="75"/>
      <c r="C25" s="75"/>
      <c r="D25" s="75"/>
      <c r="E25" s="58" t="s">
        <v>1938</v>
      </c>
      <c r="F25" s="58" t="s">
        <v>203</v>
      </c>
      <c r="G25" s="58" t="s">
        <v>275</v>
      </c>
      <c r="H25" s="58" t="s">
        <v>1939</v>
      </c>
      <c r="I25" s="58" t="s">
        <v>1933</v>
      </c>
      <c r="J25" s="58" t="s">
        <v>1940</v>
      </c>
      <c r="K25" s="74" t="s">
        <v>1941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1942</v>
      </c>
      <c r="Y25" s="52"/>
      <c r="Z25" s="52"/>
      <c r="AA25" s="52"/>
      <c r="AB25" s="52"/>
      <c r="AC25" s="52"/>
    </row>
    <row r="26" ht="62.100000000000001" customHeight="1">
      <c r="A26" s="73">
        <v>14</v>
      </c>
      <c r="B26" s="75"/>
      <c r="C26" s="75"/>
      <c r="D26" s="75"/>
      <c r="E26" s="58" t="s">
        <v>1943</v>
      </c>
      <c r="F26" s="58" t="s">
        <v>210</v>
      </c>
      <c r="G26" s="58" t="s">
        <v>281</v>
      </c>
      <c r="H26" s="58" t="s">
        <v>1944</v>
      </c>
      <c r="I26" s="58" t="s">
        <v>1945</v>
      </c>
      <c r="J26" s="58" t="s">
        <v>1946</v>
      </c>
      <c r="K26" s="76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1947</v>
      </c>
      <c r="X26" s="58" t="s">
        <v>1890</v>
      </c>
      <c r="Y26" s="52"/>
      <c r="Z26" s="52"/>
      <c r="AA26" s="52"/>
      <c r="AB26" s="52"/>
      <c r="AC26" s="52"/>
    </row>
    <row r="27" ht="60.950000000000003" customHeight="1">
      <c r="A27" s="73">
        <v>15</v>
      </c>
      <c r="B27" s="75"/>
      <c r="C27" s="75"/>
      <c r="D27" s="75"/>
      <c r="E27" s="58" t="s">
        <v>112</v>
      </c>
      <c r="F27" s="58" t="s">
        <v>210</v>
      </c>
      <c r="G27" s="58" t="s">
        <v>286</v>
      </c>
      <c r="H27" s="58" t="s">
        <v>1948</v>
      </c>
      <c r="I27" s="58" t="s">
        <v>1887</v>
      </c>
      <c r="J27" s="58" t="s">
        <v>1949</v>
      </c>
      <c r="K27" s="74" t="s">
        <v>1950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 t="s">
        <v>1923</v>
      </c>
      <c r="Y27" s="52"/>
      <c r="Z27" s="52"/>
      <c r="AA27" s="52"/>
      <c r="AB27" s="52"/>
      <c r="AC27" s="52"/>
    </row>
    <row r="28" ht="60.950000000000003" customHeight="1">
      <c r="A28" s="73">
        <v>16</v>
      </c>
      <c r="B28" s="75"/>
      <c r="C28" s="75"/>
      <c r="D28" s="75"/>
      <c r="E28" s="58" t="s">
        <v>538</v>
      </c>
      <c r="F28" s="58" t="s">
        <v>210</v>
      </c>
      <c r="G28" s="58" t="s">
        <v>291</v>
      </c>
      <c r="H28" s="58" t="s">
        <v>1951</v>
      </c>
      <c r="I28" s="58" t="s">
        <v>1887</v>
      </c>
      <c r="J28" s="58" t="s">
        <v>1952</v>
      </c>
      <c r="K28" s="74" t="s">
        <v>1953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 t="s">
        <v>1923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8"/>
      <c r="E29" s="58" t="s">
        <v>140</v>
      </c>
      <c r="F29" s="58" t="s">
        <v>203</v>
      </c>
      <c r="G29" s="58" t="s">
        <v>297</v>
      </c>
      <c r="H29" s="58" t="s">
        <v>1954</v>
      </c>
      <c r="I29" s="58" t="s">
        <v>1881</v>
      </c>
      <c r="J29" s="58" t="s">
        <v>1955</v>
      </c>
      <c r="K29" s="74" t="s">
        <v>1956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1923</v>
      </c>
      <c r="Y29" s="52"/>
      <c r="Z29" s="52"/>
      <c r="AA29" s="52"/>
      <c r="AB29" s="52"/>
      <c r="AC29" s="52"/>
    </row>
    <row r="30" ht="60.950000000000003" customHeight="1">
      <c r="A30" s="73">
        <v>18</v>
      </c>
      <c r="B30" s="75"/>
      <c r="C30" s="75"/>
      <c r="D30" s="58" t="s">
        <v>393</v>
      </c>
      <c r="E30" s="58" t="s">
        <v>1957</v>
      </c>
      <c r="F30" s="58" t="s">
        <v>210</v>
      </c>
      <c r="G30" s="58" t="s">
        <v>302</v>
      </c>
      <c r="H30" s="58" t="s">
        <v>1958</v>
      </c>
      <c r="I30" s="58" t="s">
        <v>1887</v>
      </c>
      <c r="J30" s="58" t="s">
        <v>1959</v>
      </c>
      <c r="K30" s="74" t="s">
        <v>1960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1961</v>
      </c>
      <c r="X30" s="58" t="s">
        <v>1923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75"/>
      <c r="E31" s="58" t="s">
        <v>1962</v>
      </c>
      <c r="F31" s="58" t="s">
        <v>210</v>
      </c>
      <c r="G31" s="58" t="s">
        <v>308</v>
      </c>
      <c r="H31" s="58" t="s">
        <v>1963</v>
      </c>
      <c r="I31" s="58" t="s">
        <v>1887</v>
      </c>
      <c r="J31" s="58" t="s">
        <v>1964</v>
      </c>
      <c r="K31" s="74" t="s">
        <v>1960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1961</v>
      </c>
      <c r="X31" s="58" t="s">
        <v>1923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5"/>
      <c r="D32" s="75"/>
      <c r="E32" s="58" t="s">
        <v>1965</v>
      </c>
      <c r="F32" s="58" t="s">
        <v>210</v>
      </c>
      <c r="G32" s="58" t="s">
        <v>314</v>
      </c>
      <c r="H32" s="58" t="s">
        <v>1966</v>
      </c>
      <c r="I32" s="58" t="s">
        <v>1887</v>
      </c>
      <c r="J32" s="58" t="s">
        <v>1967</v>
      </c>
      <c r="K32" s="74" t="s">
        <v>1960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1961</v>
      </c>
      <c r="X32" s="58" t="s">
        <v>1923</v>
      </c>
      <c r="Y32" s="52"/>
      <c r="Z32" s="52"/>
      <c r="AA32" s="52"/>
      <c r="AB32" s="52"/>
      <c r="AC32" s="52"/>
    </row>
    <row r="33" ht="62.100000000000001" customHeight="1">
      <c r="A33" s="73">
        <v>21</v>
      </c>
      <c r="B33" s="75"/>
      <c r="C33" s="75"/>
      <c r="D33" s="75"/>
      <c r="E33" s="58" t="s">
        <v>1968</v>
      </c>
      <c r="F33" s="58" t="s">
        <v>203</v>
      </c>
      <c r="G33" s="58" t="s">
        <v>318</v>
      </c>
      <c r="H33" s="58" t="s">
        <v>1969</v>
      </c>
      <c r="I33" s="58" t="s">
        <v>1887</v>
      </c>
      <c r="J33" s="58" t="s">
        <v>1970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1971</v>
      </c>
      <c r="X33" s="58" t="s">
        <v>1923</v>
      </c>
      <c r="Y33" s="52"/>
      <c r="Z33" s="52"/>
      <c r="AA33" s="52"/>
      <c r="AB33" s="52"/>
      <c r="AC33" s="52"/>
    </row>
    <row r="34" ht="62.100000000000001" customHeight="1">
      <c r="A34" s="73">
        <v>22</v>
      </c>
      <c r="B34" s="75"/>
      <c r="C34" s="75"/>
      <c r="D34" s="75"/>
      <c r="E34" s="58" t="s">
        <v>1972</v>
      </c>
      <c r="F34" s="58" t="s">
        <v>210</v>
      </c>
      <c r="G34" s="58" t="s">
        <v>323</v>
      </c>
      <c r="H34" s="58" t="s">
        <v>1973</v>
      </c>
      <c r="I34" s="58" t="s">
        <v>1916</v>
      </c>
      <c r="J34" s="58" t="s">
        <v>1974</v>
      </c>
      <c r="K34" s="7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1971</v>
      </c>
      <c r="X34" s="58" t="s">
        <v>1923</v>
      </c>
      <c r="Y34" s="52"/>
      <c r="Z34" s="52"/>
      <c r="AA34" s="52"/>
      <c r="AB34" s="52"/>
      <c r="AC34" s="52"/>
    </row>
    <row r="35" ht="62.100000000000001" customHeight="1">
      <c r="A35" s="73">
        <v>23</v>
      </c>
      <c r="B35" s="75"/>
      <c r="C35" s="75"/>
      <c r="D35" s="75"/>
      <c r="E35" s="58" t="s">
        <v>1975</v>
      </c>
      <c r="F35" s="58" t="s">
        <v>210</v>
      </c>
      <c r="G35" s="58" t="s">
        <v>328</v>
      </c>
      <c r="H35" s="58" t="s">
        <v>1976</v>
      </c>
      <c r="I35" s="58" t="s">
        <v>1887</v>
      </c>
      <c r="J35" s="58" t="s">
        <v>1977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1971</v>
      </c>
      <c r="X35" s="58" t="s">
        <v>1923</v>
      </c>
      <c r="Y35" s="52"/>
      <c r="Z35" s="52"/>
      <c r="AA35" s="52"/>
      <c r="AB35" s="52"/>
      <c r="AC35" s="52"/>
    </row>
    <row r="36" ht="62.100000000000001" customHeight="1">
      <c r="A36" s="73">
        <v>24</v>
      </c>
      <c r="B36" s="75"/>
      <c r="C36" s="78"/>
      <c r="D36" s="78"/>
      <c r="E36" s="58" t="s">
        <v>1978</v>
      </c>
      <c r="F36" s="58" t="s">
        <v>225</v>
      </c>
      <c r="G36" s="58" t="s">
        <v>332</v>
      </c>
      <c r="H36" s="58" t="s">
        <v>1979</v>
      </c>
      <c r="I36" s="58" t="s">
        <v>1887</v>
      </c>
      <c r="J36" s="58" t="s">
        <v>1980</v>
      </c>
      <c r="K36" s="74" t="s">
        <v>1960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1923</v>
      </c>
      <c r="Y36" s="52"/>
      <c r="Z36" s="52"/>
      <c r="AA36" s="52"/>
      <c r="AB36" s="52"/>
      <c r="AC36" s="52"/>
    </row>
    <row r="37" ht="62.100000000000001" customHeight="1">
      <c r="A37" s="73">
        <v>25</v>
      </c>
      <c r="B37" s="75"/>
      <c r="C37" s="58" t="s">
        <v>155</v>
      </c>
      <c r="D37" s="58" t="s">
        <v>1981</v>
      </c>
      <c r="E37" s="58" t="s">
        <v>1982</v>
      </c>
      <c r="F37" s="58" t="s">
        <v>203</v>
      </c>
      <c r="G37" s="58" t="s">
        <v>335</v>
      </c>
      <c r="H37" s="58" t="s">
        <v>1983</v>
      </c>
      <c r="I37" s="58" t="s">
        <v>1916</v>
      </c>
      <c r="J37" s="58" t="s">
        <v>1984</v>
      </c>
      <c r="K37" s="74" t="s">
        <v>1985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1923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78"/>
      <c r="E38" s="58" t="s">
        <v>1986</v>
      </c>
      <c r="F38" s="58" t="s">
        <v>210</v>
      </c>
      <c r="G38" s="58" t="s">
        <v>339</v>
      </c>
      <c r="H38" s="58" t="s">
        <v>1987</v>
      </c>
      <c r="I38" s="58" t="s">
        <v>1988</v>
      </c>
      <c r="J38" s="58" t="s">
        <v>1989</v>
      </c>
      <c r="K38" s="7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1990</v>
      </c>
      <c r="X38" s="58" t="s">
        <v>1923</v>
      </c>
      <c r="Y38" s="52"/>
      <c r="Z38" s="52"/>
      <c r="AA38" s="52"/>
      <c r="AB38" s="52"/>
      <c r="AC38" s="52"/>
    </row>
    <row r="39" ht="62.100000000000001" customHeight="1">
      <c r="A39" s="73">
        <v>27</v>
      </c>
      <c r="B39" s="75"/>
      <c r="C39" s="75"/>
      <c r="D39" s="58" t="s">
        <v>1991</v>
      </c>
      <c r="E39" s="58" t="s">
        <v>1992</v>
      </c>
      <c r="F39" s="58" t="s">
        <v>203</v>
      </c>
      <c r="G39" s="58" t="s">
        <v>344</v>
      </c>
      <c r="H39" s="58" t="s">
        <v>1993</v>
      </c>
      <c r="I39" s="58" t="s">
        <v>1916</v>
      </c>
      <c r="J39" s="58" t="s">
        <v>1994</v>
      </c>
      <c r="K39" s="76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1995</v>
      </c>
      <c r="X39" s="58" t="s">
        <v>1923</v>
      </c>
      <c r="Y39" s="52"/>
      <c r="Z39" s="52"/>
      <c r="AA39" s="52"/>
      <c r="AB39" s="52"/>
      <c r="AC39" s="52"/>
    </row>
    <row r="40" ht="62.100000000000001" customHeight="1">
      <c r="A40" s="73">
        <v>28</v>
      </c>
      <c r="B40" s="78"/>
      <c r="C40" s="78"/>
      <c r="D40" s="78"/>
      <c r="E40" s="58" t="s">
        <v>1996</v>
      </c>
      <c r="F40" s="58" t="s">
        <v>203</v>
      </c>
      <c r="G40" s="58" t="s">
        <v>349</v>
      </c>
      <c r="H40" s="58" t="s">
        <v>1997</v>
      </c>
      <c r="I40" s="58" t="s">
        <v>1998</v>
      </c>
      <c r="J40" s="58" t="s">
        <v>1999</v>
      </c>
      <c r="K40" s="74" t="s">
        <v>2000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2001</v>
      </c>
      <c r="X40" s="58" t="s">
        <v>1923</v>
      </c>
      <c r="Y40" s="52"/>
      <c r="Z40" s="52"/>
      <c r="AA40" s="52"/>
      <c r="AB40" s="52"/>
      <c r="AC40" s="52"/>
    </row>
    <row r="41" ht="60.950000000000003" customHeight="1">
      <c r="A41" s="73">
        <v>29</v>
      </c>
      <c r="B41" s="58" t="s">
        <v>156</v>
      </c>
      <c r="C41" s="58" t="s">
        <v>156</v>
      </c>
      <c r="D41" s="58" t="s">
        <v>369</v>
      </c>
      <c r="E41" s="58" t="s">
        <v>2002</v>
      </c>
      <c r="F41" s="58" t="s">
        <v>203</v>
      </c>
      <c r="G41" s="58" t="s">
        <v>354</v>
      </c>
      <c r="H41" s="58" t="s">
        <v>2003</v>
      </c>
      <c r="I41" s="58" t="s">
        <v>1887</v>
      </c>
      <c r="J41" s="58" t="s">
        <v>2004</v>
      </c>
      <c r="K41" s="74" t="s">
        <v>2005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2006</v>
      </c>
      <c r="Y41" s="52"/>
      <c r="Z41" s="52"/>
      <c r="AA41" s="52"/>
      <c r="AB41" s="52"/>
      <c r="AC41" s="52"/>
    </row>
    <row r="42" ht="74.450000000000003" customHeight="1">
      <c r="A42" s="73">
        <v>30</v>
      </c>
      <c r="B42" s="75"/>
      <c r="C42" s="75"/>
      <c r="D42" s="75"/>
      <c r="E42" s="58" t="s">
        <v>2007</v>
      </c>
      <c r="F42" s="58" t="s">
        <v>203</v>
      </c>
      <c r="G42" s="58" t="s">
        <v>360</v>
      </c>
      <c r="H42" s="58" t="s">
        <v>2008</v>
      </c>
      <c r="I42" s="58" t="s">
        <v>2009</v>
      </c>
      <c r="J42" s="58" t="s">
        <v>2010</v>
      </c>
      <c r="K42" s="74" t="s">
        <v>2011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2006</v>
      </c>
      <c r="Y42" s="52"/>
      <c r="Z42" s="52"/>
      <c r="AA42" s="52"/>
      <c r="AB42" s="52"/>
      <c r="AC42" s="52"/>
    </row>
    <row r="43" ht="114.95" customHeight="1">
      <c r="A43" s="73">
        <v>31</v>
      </c>
      <c r="B43" s="75"/>
      <c r="C43" s="75"/>
      <c r="D43" s="75"/>
      <c r="E43" s="58" t="s">
        <v>2012</v>
      </c>
      <c r="F43" s="58" t="s">
        <v>210</v>
      </c>
      <c r="G43" s="58" t="s">
        <v>365</v>
      </c>
      <c r="H43" s="58" t="s">
        <v>2013</v>
      </c>
      <c r="I43" s="58" t="s">
        <v>2014</v>
      </c>
      <c r="J43" s="58" t="s">
        <v>2015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2016</v>
      </c>
      <c r="X43" s="58" t="s">
        <v>2006</v>
      </c>
      <c r="Y43" s="52"/>
      <c r="Z43" s="52"/>
      <c r="AA43" s="52"/>
      <c r="AB43" s="52"/>
      <c r="AC43" s="52"/>
    </row>
    <row r="44" ht="74.450000000000003" customHeight="1">
      <c r="A44" s="73">
        <v>32</v>
      </c>
      <c r="B44" s="75"/>
      <c r="C44" s="75"/>
      <c r="D44" s="75"/>
      <c r="E44" s="58" t="s">
        <v>2017</v>
      </c>
      <c r="F44" s="58" t="s">
        <v>203</v>
      </c>
      <c r="G44" s="58" t="s">
        <v>371</v>
      </c>
      <c r="H44" s="58" t="s">
        <v>2018</v>
      </c>
      <c r="I44" s="58" t="s">
        <v>2019</v>
      </c>
      <c r="J44" s="58" t="s">
        <v>2020</v>
      </c>
      <c r="K44" s="74" t="s">
        <v>2021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2006</v>
      </c>
      <c r="Y44" s="52"/>
      <c r="Z44" s="52"/>
      <c r="AA44" s="52"/>
      <c r="AB44" s="52"/>
      <c r="AC44" s="52"/>
    </row>
    <row r="45" ht="47.450000000000003" customHeight="1">
      <c r="A45" s="73">
        <v>33</v>
      </c>
      <c r="B45" s="75"/>
      <c r="C45" s="75"/>
      <c r="D45" s="78"/>
      <c r="E45" s="58" t="s">
        <v>2022</v>
      </c>
      <c r="F45" s="58" t="s">
        <v>210</v>
      </c>
      <c r="G45" s="58" t="s">
        <v>377</v>
      </c>
      <c r="H45" s="58" t="s">
        <v>2023</v>
      </c>
      <c r="I45" s="58" t="s">
        <v>1881</v>
      </c>
      <c r="J45" s="58" t="s">
        <v>2024</v>
      </c>
      <c r="K45" s="74" t="s">
        <v>2025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2006</v>
      </c>
      <c r="Y45" s="52"/>
      <c r="Z45" s="52"/>
      <c r="AA45" s="52"/>
      <c r="AB45" s="52"/>
      <c r="AC45" s="52"/>
    </row>
    <row r="46" ht="74.450000000000003" customHeight="1">
      <c r="A46" s="73">
        <v>34</v>
      </c>
      <c r="B46" s="75"/>
      <c r="C46" s="75"/>
      <c r="D46" s="58" t="s">
        <v>393</v>
      </c>
      <c r="E46" s="58" t="s">
        <v>2026</v>
      </c>
      <c r="F46" s="58" t="s">
        <v>203</v>
      </c>
      <c r="G46" s="58" t="s">
        <v>383</v>
      </c>
      <c r="H46" s="58" t="s">
        <v>2027</v>
      </c>
      <c r="I46" s="58" t="s">
        <v>2028</v>
      </c>
      <c r="J46" s="58" t="s">
        <v>2029</v>
      </c>
      <c r="K46" s="74" t="s">
        <v>2030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2031</v>
      </c>
      <c r="X46" s="58" t="s">
        <v>2006</v>
      </c>
      <c r="Y46" s="52"/>
      <c r="Z46" s="52"/>
      <c r="AA46" s="52"/>
      <c r="AB46" s="52"/>
      <c r="AC46" s="52"/>
    </row>
    <row r="47" ht="60.950000000000003" customHeight="1">
      <c r="A47" s="73">
        <v>35</v>
      </c>
      <c r="B47" s="75"/>
      <c r="C47" s="75"/>
      <c r="D47" s="78"/>
      <c r="E47" s="58" t="s">
        <v>2032</v>
      </c>
      <c r="F47" s="58" t="s">
        <v>225</v>
      </c>
      <c r="G47" s="58" t="s">
        <v>388</v>
      </c>
      <c r="H47" s="58" t="s">
        <v>2033</v>
      </c>
      <c r="I47" s="58" t="s">
        <v>1887</v>
      </c>
      <c r="J47" s="58" t="s">
        <v>2034</v>
      </c>
      <c r="K47" s="74" t="s">
        <v>2035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2006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2036</v>
      </c>
      <c r="E48" s="58" t="s">
        <v>2037</v>
      </c>
      <c r="F48" s="58" t="s">
        <v>210</v>
      </c>
      <c r="G48" s="58" t="s">
        <v>395</v>
      </c>
      <c r="H48" s="58" t="s">
        <v>2038</v>
      </c>
      <c r="I48" s="58" t="s">
        <v>2019</v>
      </c>
      <c r="J48" s="58" t="s">
        <v>2029</v>
      </c>
      <c r="K48" s="76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2039</v>
      </c>
      <c r="X48" s="58" t="s">
        <v>2006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8"/>
      <c r="C49" s="78"/>
      <c r="D49" s="58" t="s">
        <v>2040</v>
      </c>
      <c r="E49" s="58" t="s">
        <v>2041</v>
      </c>
      <c r="F49" s="58" t="s">
        <v>203</v>
      </c>
      <c r="G49" s="58" t="s">
        <v>401</v>
      </c>
      <c r="H49" s="58" t="s">
        <v>2042</v>
      </c>
      <c r="I49" s="58" t="s">
        <v>2043</v>
      </c>
      <c r="J49" s="58" t="s">
        <v>2044</v>
      </c>
      <c r="K49" s="76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2045</v>
      </c>
      <c r="X49" s="58" t="s">
        <v>2006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58" t="s">
        <v>157</v>
      </c>
      <c r="C50" s="58" t="s">
        <v>158</v>
      </c>
      <c r="D50" s="58" t="s">
        <v>369</v>
      </c>
      <c r="E50" s="58" t="s">
        <v>2046</v>
      </c>
      <c r="F50" s="58" t="s">
        <v>203</v>
      </c>
      <c r="G50" s="58" t="s">
        <v>407</v>
      </c>
      <c r="H50" s="58" t="s">
        <v>2047</v>
      </c>
      <c r="I50" s="58" t="s">
        <v>2048</v>
      </c>
      <c r="J50" s="58" t="s">
        <v>2049</v>
      </c>
      <c r="K50" s="74" t="s">
        <v>2050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2051</v>
      </c>
      <c r="Y50" s="52"/>
      <c r="Z50" s="52"/>
      <c r="AA50" s="52"/>
      <c r="AB50" s="52"/>
      <c r="AC50" s="52"/>
    </row>
    <row r="51" ht="74.450000000000003" customHeight="1">
      <c r="A51" s="73">
        <v>39</v>
      </c>
      <c r="B51" s="75"/>
      <c r="C51" s="75"/>
      <c r="D51" s="75"/>
      <c r="E51" s="58" t="s">
        <v>2052</v>
      </c>
      <c r="F51" s="58" t="s">
        <v>203</v>
      </c>
      <c r="G51" s="58" t="s">
        <v>415</v>
      </c>
      <c r="H51" s="58" t="s">
        <v>2053</v>
      </c>
      <c r="I51" s="58" t="s">
        <v>2054</v>
      </c>
      <c r="J51" s="58" t="s">
        <v>2055</v>
      </c>
      <c r="K51" s="74" t="s">
        <v>2056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2051</v>
      </c>
      <c r="Y51" s="52"/>
      <c r="Z51" s="52"/>
      <c r="AA51" s="52"/>
      <c r="AB51" s="52"/>
      <c r="AC51" s="52"/>
    </row>
    <row r="52" ht="101.45" customHeight="1">
      <c r="A52" s="73">
        <v>40</v>
      </c>
      <c r="B52" s="75"/>
      <c r="C52" s="75"/>
      <c r="D52" s="75"/>
      <c r="E52" s="58" t="s">
        <v>2057</v>
      </c>
      <c r="F52" s="58" t="s">
        <v>210</v>
      </c>
      <c r="G52" s="58" t="s">
        <v>421</v>
      </c>
      <c r="H52" s="58" t="s">
        <v>2058</v>
      </c>
      <c r="I52" s="58" t="s">
        <v>2059</v>
      </c>
      <c r="J52" s="58" t="s">
        <v>2060</v>
      </c>
      <c r="K52" s="74" t="s">
        <v>2061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2051</v>
      </c>
      <c r="Y52" s="52"/>
      <c r="Z52" s="52"/>
      <c r="AA52" s="52"/>
      <c r="AB52" s="52"/>
      <c r="AC52" s="52"/>
    </row>
    <row r="53" ht="74.450000000000003" customHeight="1">
      <c r="A53" s="73">
        <v>41</v>
      </c>
      <c r="B53" s="75"/>
      <c r="C53" s="75"/>
      <c r="D53" s="75"/>
      <c r="E53" s="58" t="s">
        <v>2062</v>
      </c>
      <c r="F53" s="58" t="s">
        <v>210</v>
      </c>
      <c r="G53" s="58" t="s">
        <v>426</v>
      </c>
      <c r="H53" s="58" t="s">
        <v>2063</v>
      </c>
      <c r="I53" s="58" t="s">
        <v>2064</v>
      </c>
      <c r="J53" s="58" t="s">
        <v>2065</v>
      </c>
      <c r="K53" s="74" t="s">
        <v>2066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2051</v>
      </c>
      <c r="Y53" s="52"/>
      <c r="Z53" s="52"/>
      <c r="AA53" s="52"/>
      <c r="AB53" s="52"/>
      <c r="AC53" s="52"/>
    </row>
    <row r="54" ht="75.599999999999994" customHeight="1">
      <c r="A54" s="73">
        <v>42</v>
      </c>
      <c r="B54" s="75"/>
      <c r="C54" s="75"/>
      <c r="D54" s="78"/>
      <c r="E54" s="58" t="s">
        <v>2067</v>
      </c>
      <c r="F54" s="58" t="s">
        <v>210</v>
      </c>
      <c r="G54" s="58" t="s">
        <v>434</v>
      </c>
      <c r="H54" s="58" t="s">
        <v>2068</v>
      </c>
      <c r="I54" s="58" t="s">
        <v>1904</v>
      </c>
      <c r="J54" s="58" t="s">
        <v>2069</v>
      </c>
      <c r="K54" s="74" t="s">
        <v>2070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 t="s">
        <v>2051</v>
      </c>
      <c r="Y54" s="52"/>
      <c r="Z54" s="52"/>
      <c r="AA54" s="52"/>
      <c r="AB54" s="52"/>
      <c r="AC54" s="52"/>
    </row>
    <row r="55" ht="60.950000000000003" customHeight="1">
      <c r="A55" s="73">
        <v>43</v>
      </c>
      <c r="B55" s="75"/>
      <c r="C55" s="78"/>
      <c r="D55" s="58" t="s">
        <v>393</v>
      </c>
      <c r="E55" s="58" t="s">
        <v>2032</v>
      </c>
      <c r="F55" s="58" t="s">
        <v>225</v>
      </c>
      <c r="G55" s="58" t="s">
        <v>439</v>
      </c>
      <c r="H55" s="58" t="s">
        <v>2071</v>
      </c>
      <c r="I55" s="58" t="s">
        <v>1887</v>
      </c>
      <c r="J55" s="58" t="s">
        <v>2072</v>
      </c>
      <c r="K55" s="74" t="s">
        <v>2073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2051</v>
      </c>
      <c r="Y55" s="52"/>
      <c r="Z55" s="52"/>
      <c r="AA55" s="52"/>
      <c r="AB55" s="52"/>
      <c r="AC55" s="52"/>
    </row>
    <row r="56" ht="62.100000000000001" customHeight="1">
      <c r="A56" s="73">
        <v>44</v>
      </c>
      <c r="B56" s="75"/>
      <c r="C56" s="58" t="s">
        <v>159</v>
      </c>
      <c r="D56" s="58" t="s">
        <v>369</v>
      </c>
      <c r="E56" s="58" t="s">
        <v>2046</v>
      </c>
      <c r="F56" s="58" t="s">
        <v>203</v>
      </c>
      <c r="G56" s="58" t="s">
        <v>444</v>
      </c>
      <c r="H56" s="58" t="s">
        <v>2074</v>
      </c>
      <c r="I56" s="58" t="s">
        <v>2048</v>
      </c>
      <c r="J56" s="58" t="s">
        <v>2075</v>
      </c>
      <c r="K56" s="74" t="s">
        <v>2076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2077</v>
      </c>
      <c r="X56" s="58" t="s">
        <v>2051</v>
      </c>
      <c r="Y56" s="52"/>
      <c r="Z56" s="52"/>
      <c r="AA56" s="52"/>
      <c r="AB56" s="52"/>
      <c r="AC56" s="52"/>
    </row>
    <row r="57" ht="74.450000000000003" customHeight="1">
      <c r="A57" s="73">
        <v>45</v>
      </c>
      <c r="B57" s="75"/>
      <c r="C57" s="75"/>
      <c r="D57" s="75"/>
      <c r="E57" s="58" t="s">
        <v>2078</v>
      </c>
      <c r="F57" s="58" t="s">
        <v>203</v>
      </c>
      <c r="G57" s="58" t="s">
        <v>450</v>
      </c>
      <c r="H57" s="58" t="s">
        <v>2079</v>
      </c>
      <c r="I57" s="58" t="s">
        <v>2080</v>
      </c>
      <c r="J57" s="58" t="s">
        <v>2081</v>
      </c>
      <c r="K57" s="74" t="s">
        <v>2082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2083</v>
      </c>
      <c r="X57" s="58" t="s">
        <v>2051</v>
      </c>
      <c r="Y57" s="52"/>
      <c r="Z57" s="52"/>
      <c r="AA57" s="52"/>
      <c r="AB57" s="52"/>
      <c r="AC57" s="52"/>
    </row>
    <row r="58" ht="101.45" customHeight="1">
      <c r="A58" s="73">
        <v>46</v>
      </c>
      <c r="B58" s="75"/>
      <c r="C58" s="75"/>
      <c r="D58" s="78"/>
      <c r="E58" s="58" t="s">
        <v>2084</v>
      </c>
      <c r="F58" s="58" t="s">
        <v>210</v>
      </c>
      <c r="G58" s="58" t="s">
        <v>455</v>
      </c>
      <c r="H58" s="58" t="s">
        <v>2085</v>
      </c>
      <c r="I58" s="58" t="s">
        <v>2086</v>
      </c>
      <c r="J58" s="58" t="s">
        <v>2060</v>
      </c>
      <c r="K58" s="74" t="s">
        <v>2087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2051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8"/>
      <c r="D59" s="58" t="s">
        <v>393</v>
      </c>
      <c r="E59" s="58" t="s">
        <v>2032</v>
      </c>
      <c r="F59" s="58" t="s">
        <v>225</v>
      </c>
      <c r="G59" s="58" t="s">
        <v>461</v>
      </c>
      <c r="H59" s="58" t="s">
        <v>2088</v>
      </c>
      <c r="I59" s="58" t="s">
        <v>2048</v>
      </c>
      <c r="J59" s="58" t="s">
        <v>2089</v>
      </c>
      <c r="K59" s="74" t="s">
        <v>2090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2051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160</v>
      </c>
      <c r="D60" s="58" t="s">
        <v>538</v>
      </c>
      <c r="E60" s="58" t="s">
        <v>2091</v>
      </c>
      <c r="F60" s="58" t="s">
        <v>210</v>
      </c>
      <c r="G60" s="58" t="s">
        <v>468</v>
      </c>
      <c r="H60" s="58" t="s">
        <v>2092</v>
      </c>
      <c r="I60" s="58" t="s">
        <v>2019</v>
      </c>
      <c r="J60" s="58" t="s">
        <v>2093</v>
      </c>
      <c r="K60" s="74" t="s">
        <v>2094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2051</v>
      </c>
      <c r="Y60" s="52"/>
      <c r="Z60" s="52"/>
      <c r="AA60" s="52"/>
      <c r="AB60" s="52"/>
      <c r="AC60" s="52"/>
    </row>
    <row r="61" ht="35.100000000000001" customHeight="1">
      <c r="A61" s="73">
        <v>49</v>
      </c>
      <c r="B61" s="78"/>
      <c r="C61" s="78"/>
      <c r="D61" s="58" t="s">
        <v>112</v>
      </c>
      <c r="E61" s="58" t="s">
        <v>2095</v>
      </c>
      <c r="F61" s="58" t="s">
        <v>210</v>
      </c>
      <c r="G61" s="58" t="s">
        <v>473</v>
      </c>
      <c r="H61" s="58" t="s">
        <v>2096</v>
      </c>
      <c r="I61" s="58" t="s">
        <v>1887</v>
      </c>
      <c r="J61" s="58" t="s">
        <v>2097</v>
      </c>
      <c r="K61" s="76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2098</v>
      </c>
      <c r="X61" s="58" t="s">
        <v>2051</v>
      </c>
      <c r="Y61" s="52"/>
      <c r="Z61" s="52"/>
      <c r="AA61" s="52"/>
      <c r="AB61" s="52"/>
      <c r="AC61" s="52"/>
    </row>
    <row r="62" ht="62.100000000000001" customHeight="1">
      <c r="A62" s="73">
        <v>50</v>
      </c>
      <c r="B62" s="58" t="s">
        <v>161</v>
      </c>
      <c r="C62" s="58" t="s">
        <v>162</v>
      </c>
      <c r="D62" s="58" t="s">
        <v>538</v>
      </c>
      <c r="E62" s="58" t="s">
        <v>2099</v>
      </c>
      <c r="F62" s="58" t="s">
        <v>210</v>
      </c>
      <c r="G62" s="58" t="s">
        <v>479</v>
      </c>
      <c r="H62" s="58" t="s">
        <v>2100</v>
      </c>
      <c r="I62" s="58" t="s">
        <v>1887</v>
      </c>
      <c r="J62" s="58" t="s">
        <v>2101</v>
      </c>
      <c r="K62" s="74" t="s">
        <v>2102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2103</v>
      </c>
      <c r="X62" s="58" t="s">
        <v>2104</v>
      </c>
      <c r="Y62" s="52"/>
      <c r="Z62" s="52"/>
      <c r="AA62" s="52"/>
      <c r="AB62" s="52"/>
      <c r="AC62" s="52"/>
    </row>
    <row r="63" ht="62.100000000000001" customHeight="1">
      <c r="A63" s="73">
        <v>51</v>
      </c>
      <c r="B63" s="78"/>
      <c r="C63" s="78"/>
      <c r="D63" s="58" t="s">
        <v>138</v>
      </c>
      <c r="E63" s="58" t="s">
        <v>2099</v>
      </c>
      <c r="F63" s="58" t="s">
        <v>210</v>
      </c>
      <c r="G63" s="58" t="s">
        <v>485</v>
      </c>
      <c r="H63" s="58" t="s">
        <v>2105</v>
      </c>
      <c r="I63" s="58" t="s">
        <v>1881</v>
      </c>
      <c r="J63" s="58" t="s">
        <v>2101</v>
      </c>
      <c r="K63" s="74" t="s">
        <v>2102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2103</v>
      </c>
      <c r="X63" s="58" t="s">
        <v>2104</v>
      </c>
      <c r="Y63" s="52"/>
      <c r="Z63" s="52"/>
      <c r="AA63" s="52"/>
      <c r="AB63" s="52"/>
      <c r="AC63" s="52"/>
    </row>
    <row r="64" ht="35.100000000000001" customHeight="1">
      <c r="A64" s="73">
        <v>52</v>
      </c>
      <c r="B64" s="58" t="s">
        <v>110</v>
      </c>
      <c r="C64" s="58" t="s">
        <v>111</v>
      </c>
      <c r="D64" s="58" t="s">
        <v>2106</v>
      </c>
      <c r="E64" s="58" t="s">
        <v>2107</v>
      </c>
      <c r="F64" s="58" t="s">
        <v>203</v>
      </c>
      <c r="G64" s="58" t="s">
        <v>491</v>
      </c>
      <c r="H64" s="58" t="s">
        <v>2108</v>
      </c>
      <c r="I64" s="58" t="s">
        <v>2109</v>
      </c>
      <c r="J64" s="58" t="s">
        <v>2110</v>
      </c>
      <c r="K64" s="74" t="s">
        <v>2111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1878</v>
      </c>
      <c r="Y64" s="52"/>
      <c r="Z64" s="52"/>
      <c r="AA64" s="52"/>
      <c r="AB64" s="52"/>
      <c r="AC64" s="52"/>
    </row>
    <row r="65" ht="35.100000000000001" customHeight="1">
      <c r="A65" s="73">
        <v>53</v>
      </c>
      <c r="B65" s="75"/>
      <c r="C65" s="75"/>
      <c r="D65" s="58" t="s">
        <v>1235</v>
      </c>
      <c r="E65" s="58" t="s">
        <v>2112</v>
      </c>
      <c r="F65" s="58" t="s">
        <v>203</v>
      </c>
      <c r="G65" s="58" t="s">
        <v>2113</v>
      </c>
      <c r="H65" s="58" t="s">
        <v>2114</v>
      </c>
      <c r="I65" s="58" t="s">
        <v>2109</v>
      </c>
      <c r="J65" s="58" t="s">
        <v>2115</v>
      </c>
      <c r="K65" s="74" t="s">
        <v>2116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2117</v>
      </c>
      <c r="X65" s="58" t="s">
        <v>2118</v>
      </c>
      <c r="Y65" s="52"/>
      <c r="Z65" s="52"/>
      <c r="AA65" s="52"/>
      <c r="AB65" s="52"/>
      <c r="AC65" s="52"/>
    </row>
    <row r="66" ht="62.100000000000001" customHeight="1">
      <c r="A66" s="73">
        <v>54</v>
      </c>
      <c r="B66" s="75"/>
      <c r="C66" s="78"/>
      <c r="D66" s="58" t="s">
        <v>2119</v>
      </c>
      <c r="E66" s="58" t="s">
        <v>2120</v>
      </c>
      <c r="F66" s="58" t="s">
        <v>203</v>
      </c>
      <c r="G66" s="58" t="s">
        <v>2121</v>
      </c>
      <c r="H66" s="58" t="s">
        <v>2122</v>
      </c>
      <c r="I66" s="58" t="s">
        <v>2109</v>
      </c>
      <c r="J66" s="58" t="s">
        <v>2123</v>
      </c>
      <c r="K66" s="74" t="s">
        <v>2124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2118</v>
      </c>
      <c r="Y66" s="52"/>
      <c r="Z66" s="52"/>
      <c r="AA66" s="52"/>
      <c r="AB66" s="52"/>
      <c r="AC66" s="52"/>
    </row>
    <row r="67" ht="48.600000000000001" customHeight="1">
      <c r="A67" s="73">
        <v>55</v>
      </c>
      <c r="B67" s="75"/>
      <c r="C67" s="58" t="s">
        <v>112</v>
      </c>
      <c r="D67" s="58" t="s">
        <v>2125</v>
      </c>
      <c r="E67" s="58" t="s">
        <v>2126</v>
      </c>
      <c r="F67" s="58" t="s">
        <v>203</v>
      </c>
      <c r="G67" s="58" t="s">
        <v>2127</v>
      </c>
      <c r="H67" s="58" t="s">
        <v>2128</v>
      </c>
      <c r="I67" s="58" t="s">
        <v>2129</v>
      </c>
      <c r="J67" s="58" t="s">
        <v>2130</v>
      </c>
      <c r="K67" s="74" t="s">
        <v>2131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2118</v>
      </c>
      <c r="Y67" s="52"/>
      <c r="Z67" s="52"/>
      <c r="AA67" s="52"/>
      <c r="AB67" s="52"/>
      <c r="AC67" s="52"/>
    </row>
    <row r="68" ht="48.600000000000001" customHeight="1">
      <c r="A68" s="73">
        <v>56</v>
      </c>
      <c r="B68" s="78"/>
      <c r="C68" s="58" t="s">
        <v>113</v>
      </c>
      <c r="D68" s="58" t="s">
        <v>140</v>
      </c>
      <c r="E68" s="58" t="s">
        <v>2132</v>
      </c>
      <c r="F68" s="58" t="s">
        <v>203</v>
      </c>
      <c r="G68" s="58" t="s">
        <v>2133</v>
      </c>
      <c r="H68" s="58" t="s">
        <v>2134</v>
      </c>
      <c r="I68" s="58" t="s">
        <v>2135</v>
      </c>
      <c r="J68" s="58" t="s">
        <v>2136</v>
      </c>
      <c r="K68" s="74" t="s">
        <v>2137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 t="s">
        <v>2118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58" t="s">
        <v>89</v>
      </c>
      <c r="C69" s="58" t="s">
        <v>114</v>
      </c>
      <c r="D69" s="58" t="s">
        <v>1235</v>
      </c>
      <c r="E69" s="58" t="s">
        <v>2138</v>
      </c>
      <c r="F69" s="58" t="s">
        <v>203</v>
      </c>
      <c r="G69" s="58" t="s">
        <v>2139</v>
      </c>
      <c r="H69" s="58" t="s">
        <v>2140</v>
      </c>
      <c r="I69" s="58" t="s">
        <v>2141</v>
      </c>
      <c r="J69" s="58" t="s">
        <v>2142</v>
      </c>
      <c r="K69" s="74" t="s">
        <v>2143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1206</v>
      </c>
      <c r="X69" s="58" t="s">
        <v>2118</v>
      </c>
      <c r="Y69" s="52"/>
      <c r="Z69" s="52"/>
      <c r="AA69" s="52"/>
      <c r="AB69" s="52"/>
      <c r="AC69" s="52"/>
    </row>
    <row r="70" ht="62.100000000000001" customHeight="1">
      <c r="A70" s="73">
        <v>58</v>
      </c>
      <c r="B70" s="75"/>
      <c r="C70" s="75"/>
      <c r="D70" s="58" t="s">
        <v>2119</v>
      </c>
      <c r="E70" s="58" t="s">
        <v>2144</v>
      </c>
      <c r="F70" s="58" t="s">
        <v>203</v>
      </c>
      <c r="G70" s="58" t="s">
        <v>2145</v>
      </c>
      <c r="H70" s="58" t="s">
        <v>2146</v>
      </c>
      <c r="I70" s="58" t="s">
        <v>2141</v>
      </c>
      <c r="J70" s="58" t="s">
        <v>2147</v>
      </c>
      <c r="K70" s="74" t="s">
        <v>2148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2118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8"/>
      <c r="D71" s="78"/>
      <c r="E71" s="58" t="s">
        <v>2149</v>
      </c>
      <c r="F71" s="58" t="s">
        <v>203</v>
      </c>
      <c r="G71" s="58" t="s">
        <v>2150</v>
      </c>
      <c r="H71" s="58" t="s">
        <v>2151</v>
      </c>
      <c r="I71" s="58" t="s">
        <v>1887</v>
      </c>
      <c r="J71" s="58" t="s">
        <v>2152</v>
      </c>
      <c r="K71" s="74" t="s">
        <v>2153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2118</v>
      </c>
      <c r="Y71" s="52"/>
      <c r="Z71" s="52"/>
      <c r="AA71" s="52"/>
      <c r="AB71" s="52"/>
      <c r="AC71" s="52"/>
    </row>
    <row r="72" ht="62.100000000000001" customHeight="1">
      <c r="A72" s="73">
        <v>60</v>
      </c>
      <c r="B72" s="75"/>
      <c r="C72" s="58" t="s">
        <v>163</v>
      </c>
      <c r="D72" s="58" t="s">
        <v>2119</v>
      </c>
      <c r="E72" s="58" t="s">
        <v>2154</v>
      </c>
      <c r="F72" s="58" t="s">
        <v>203</v>
      </c>
      <c r="G72" s="58" t="s">
        <v>2155</v>
      </c>
      <c r="H72" s="58" t="s">
        <v>2156</v>
      </c>
      <c r="I72" s="58" t="s">
        <v>2157</v>
      </c>
      <c r="J72" s="58" t="s">
        <v>2158</v>
      </c>
      <c r="K72" s="74" t="s">
        <v>2159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2118</v>
      </c>
      <c r="Y72" s="52"/>
      <c r="Z72" s="52"/>
      <c r="AA72" s="52"/>
      <c r="AB72" s="52"/>
      <c r="AC72" s="52"/>
    </row>
    <row r="73" ht="62.100000000000001" customHeight="1">
      <c r="A73" s="73">
        <v>61</v>
      </c>
      <c r="B73" s="75"/>
      <c r="C73" s="58" t="s">
        <v>115</v>
      </c>
      <c r="D73" s="58" t="s">
        <v>1241</v>
      </c>
      <c r="E73" s="58" t="s">
        <v>2160</v>
      </c>
      <c r="F73" s="58" t="s">
        <v>210</v>
      </c>
      <c r="G73" s="58" t="s">
        <v>2161</v>
      </c>
      <c r="H73" s="58" t="s">
        <v>2162</v>
      </c>
      <c r="I73" s="58" t="s">
        <v>1887</v>
      </c>
      <c r="J73" s="58" t="s">
        <v>2163</v>
      </c>
      <c r="K73" s="74" t="s">
        <v>2164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1923</v>
      </c>
      <c r="Y73" s="52"/>
      <c r="Z73" s="52"/>
      <c r="AA73" s="52"/>
      <c r="AB73" s="52"/>
      <c r="AC73" s="52"/>
    </row>
    <row r="74" ht="48.600000000000001" customHeight="1">
      <c r="A74" s="73">
        <v>62</v>
      </c>
      <c r="B74" s="78"/>
      <c r="C74" s="58" t="s">
        <v>116</v>
      </c>
      <c r="D74" s="58" t="s">
        <v>1247</v>
      </c>
      <c r="E74" s="58" t="s">
        <v>2165</v>
      </c>
      <c r="F74" s="58" t="s">
        <v>210</v>
      </c>
      <c r="G74" s="58" t="s">
        <v>2166</v>
      </c>
      <c r="H74" s="58" t="s">
        <v>2167</v>
      </c>
      <c r="I74" s="58" t="s">
        <v>1887</v>
      </c>
      <c r="J74" s="58" t="s">
        <v>2168</v>
      </c>
      <c r="K74" s="76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2169</v>
      </c>
      <c r="X74" s="58" t="s">
        <v>2170</v>
      </c>
      <c r="Y74" s="52"/>
      <c r="Z74" s="52"/>
      <c r="AA74" s="52"/>
      <c r="AB74" s="52"/>
      <c r="AC74" s="52"/>
    </row>
  </sheetData>
  <mergeCells count="5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5"/>
    <mergeCell ref="C13:C14"/>
    <mergeCell ref="D13:D14"/>
    <mergeCell ref="B16:B18"/>
    <mergeCell ref="C16:C17"/>
    <mergeCell ref="B19:B20"/>
    <mergeCell ref="C19:C20"/>
    <mergeCell ref="B21:B40"/>
    <mergeCell ref="C21:C22"/>
    <mergeCell ref="C23:C36"/>
    <mergeCell ref="D23:D29"/>
    <mergeCell ref="D30:D36"/>
    <mergeCell ref="C37:C40"/>
    <mergeCell ref="D37:D38"/>
    <mergeCell ref="D39:D40"/>
    <mergeCell ref="B41:B49"/>
    <mergeCell ref="C41:C49"/>
    <mergeCell ref="D41:D45"/>
    <mergeCell ref="D46:D47"/>
    <mergeCell ref="B50:B61"/>
    <mergeCell ref="C50:C55"/>
    <mergeCell ref="D50:D54"/>
    <mergeCell ref="C56:C59"/>
    <mergeCell ref="D56:D58"/>
    <mergeCell ref="C60:C61"/>
    <mergeCell ref="B62:B63"/>
    <mergeCell ref="C62:C63"/>
    <mergeCell ref="B64:B68"/>
    <mergeCell ref="C64:C66"/>
    <mergeCell ref="B69:B74"/>
    <mergeCell ref="C69:C71"/>
    <mergeCell ref="D70:D7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E91CB9B4-47A5-4103-B6F8-F46B9C348FA7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28D9D4C7-AE8B-40F4-976C-F2717B87B75B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2171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2172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COUNTA($G$13:$G$25)</f>
        <v>13</v>
      </c>
      <c r="M4" s="61">
        <f>COUNTIF($M$13:$M$25,M3)</f>
        <v>0</v>
      </c>
      <c r="N4" s="61">
        <f>COUNTIF($M$13:$M$25,N3)</f>
        <v>0</v>
      </c>
      <c r="O4" s="61">
        <f>COUNTIF($M$13:$M$25,O3)</f>
        <v>0</v>
      </c>
      <c r="P4" s="62">
        <f>COUNTIF($M$13:$M$25,P3)</f>
        <v>0</v>
      </c>
      <c r="Q4" s="61">
        <f>COUNTIF($M$13:$M$25,Q3)</f>
        <v>0</v>
      </c>
      <c r="R4" s="61">
        <f>L4-SUM(M4:Q4)</f>
        <v>13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6">M4/$L$4</f>
        <v>0</v>
      </c>
      <c r="N5" s="64">
        <f t="shared" si="26"/>
        <v>0</v>
      </c>
      <c r="O5" s="64">
        <f t="shared" si="26"/>
        <v>0</v>
      </c>
      <c r="P5" s="65">
        <f t="shared" si="26"/>
        <v>0</v>
      </c>
      <c r="Q5" s="64">
        <f t="shared" si="26"/>
        <v>0</v>
      </c>
      <c r="R5" s="64">
        <f t="shared" si="26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COUNTA($G$13:$G$25)</f>
        <v>13</v>
      </c>
      <c r="M6" s="61">
        <f>COUNTIF($R$13:$R$25,M3)</f>
        <v>0</v>
      </c>
      <c r="N6" s="61">
        <f>COUNTIF($R$13:$R$25,N3)</f>
        <v>0</v>
      </c>
      <c r="O6" s="61">
        <f>COUNTIF($R$13:$R$25,O3)</f>
        <v>0</v>
      </c>
      <c r="P6" s="62">
        <f>COUNTIF($R$13:$R$25,P3)</f>
        <v>0</v>
      </c>
      <c r="Q6" s="61">
        <f>COUNTIF($R$13:$R$25,Q3)</f>
        <v>0</v>
      </c>
      <c r="R6" s="61">
        <f>L6-SUM(M6:Q6)</f>
        <v>13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2173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7">M6/$L$6</f>
        <v>0</v>
      </c>
      <c r="N7" s="64">
        <f t="shared" si="27"/>
        <v>0</v>
      </c>
      <c r="O7" s="64">
        <f t="shared" si="27"/>
        <v>0</v>
      </c>
      <c r="P7" s="65">
        <f t="shared" si="27"/>
        <v>0</v>
      </c>
      <c r="Q7" s="64">
        <f t="shared" si="27"/>
        <v>0</v>
      </c>
      <c r="R7" s="64">
        <f t="shared" si="27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33.950000000000003" customHeight="1">
      <c r="A13" s="73">
        <v>1</v>
      </c>
      <c r="B13" s="58" t="s">
        <v>80</v>
      </c>
      <c r="C13" s="58" t="s">
        <v>165</v>
      </c>
      <c r="D13" s="58" t="s">
        <v>2174</v>
      </c>
      <c r="E13" s="58" t="s">
        <v>1872</v>
      </c>
      <c r="F13" s="58" t="s">
        <v>210</v>
      </c>
      <c r="G13" s="58" t="s">
        <v>204</v>
      </c>
      <c r="H13" s="58" t="s">
        <v>2175</v>
      </c>
      <c r="I13" s="58" t="s">
        <v>2109</v>
      </c>
      <c r="J13" s="58" t="s">
        <v>2176</v>
      </c>
      <c r="K13" s="74" t="s">
        <v>2177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2178</v>
      </c>
      <c r="X13" s="58" t="s">
        <v>2179</v>
      </c>
      <c r="Y13" s="52"/>
      <c r="Z13" s="52"/>
      <c r="AA13" s="52"/>
      <c r="AB13" s="52"/>
      <c r="AC13" s="52"/>
    </row>
    <row r="14" ht="60.950000000000003" customHeight="1">
      <c r="A14" s="73">
        <v>2</v>
      </c>
      <c r="B14" s="58" t="s">
        <v>166</v>
      </c>
      <c r="C14" s="58" t="s">
        <v>167</v>
      </c>
      <c r="D14" s="58" t="s">
        <v>2180</v>
      </c>
      <c r="E14" s="58" t="s">
        <v>2181</v>
      </c>
      <c r="F14" s="58" t="s">
        <v>203</v>
      </c>
      <c r="G14" s="58" t="s">
        <v>211</v>
      </c>
      <c r="H14" s="58" t="s">
        <v>2182</v>
      </c>
      <c r="I14" s="58" t="s">
        <v>2183</v>
      </c>
      <c r="J14" s="58" t="s">
        <v>2184</v>
      </c>
      <c r="K14" s="74" t="s">
        <v>2185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2179</v>
      </c>
      <c r="Y14" s="52"/>
      <c r="Z14" s="52"/>
      <c r="AA14" s="52"/>
      <c r="AB14" s="52"/>
      <c r="AC14" s="52"/>
    </row>
    <row r="15" ht="47.450000000000003" customHeight="1">
      <c r="A15" s="73">
        <v>3</v>
      </c>
      <c r="B15" s="75"/>
      <c r="C15" s="78"/>
      <c r="D15" s="58" t="s">
        <v>2186</v>
      </c>
      <c r="E15" s="58" t="s">
        <v>2187</v>
      </c>
      <c r="F15" s="58" t="s">
        <v>210</v>
      </c>
      <c r="G15" s="58" t="s">
        <v>217</v>
      </c>
      <c r="H15" s="58" t="s">
        <v>2188</v>
      </c>
      <c r="I15" s="58" t="s">
        <v>2189</v>
      </c>
      <c r="J15" s="58" t="s">
        <v>2190</v>
      </c>
      <c r="K15" s="74" t="s">
        <v>2191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2179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75"/>
      <c r="C16" s="58" t="s">
        <v>168</v>
      </c>
      <c r="D16" s="58" t="s">
        <v>2192</v>
      </c>
      <c r="E16" s="58" t="s">
        <v>2193</v>
      </c>
      <c r="F16" s="58" t="s">
        <v>203</v>
      </c>
      <c r="G16" s="58" t="s">
        <v>226</v>
      </c>
      <c r="H16" s="58" t="s">
        <v>2194</v>
      </c>
      <c r="I16" s="58" t="s">
        <v>2195</v>
      </c>
      <c r="J16" s="58" t="s">
        <v>2196</v>
      </c>
      <c r="K16" s="74" t="s">
        <v>2197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2179</v>
      </c>
      <c r="Y16" s="52"/>
      <c r="Z16" s="52"/>
      <c r="AA16" s="52"/>
      <c r="AB16" s="52"/>
      <c r="AC16" s="52"/>
    </row>
    <row r="17" ht="87.950000000000003" customHeight="1">
      <c r="A17" s="73">
        <v>5</v>
      </c>
      <c r="B17" s="75"/>
      <c r="C17" s="75"/>
      <c r="D17" s="58" t="s">
        <v>2198</v>
      </c>
      <c r="E17" s="58" t="s">
        <v>2199</v>
      </c>
      <c r="F17" s="58" t="s">
        <v>210</v>
      </c>
      <c r="G17" s="58" t="s">
        <v>232</v>
      </c>
      <c r="H17" s="58" t="s">
        <v>2200</v>
      </c>
      <c r="I17" s="58" t="s">
        <v>2201</v>
      </c>
      <c r="J17" s="58" t="s">
        <v>2202</v>
      </c>
      <c r="K17" s="74" t="s">
        <v>2203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2179</v>
      </c>
      <c r="Y17" s="52"/>
      <c r="Z17" s="52"/>
      <c r="AA17" s="52"/>
      <c r="AB17" s="52"/>
      <c r="AC17" s="52"/>
    </row>
    <row r="18" ht="60.950000000000003" customHeight="1">
      <c r="A18" s="73">
        <v>6</v>
      </c>
      <c r="B18" s="78"/>
      <c r="C18" s="78"/>
      <c r="D18" s="58" t="s">
        <v>2204</v>
      </c>
      <c r="E18" s="58" t="s">
        <v>2205</v>
      </c>
      <c r="F18" s="58" t="s">
        <v>210</v>
      </c>
      <c r="G18" s="58" t="s">
        <v>237</v>
      </c>
      <c r="H18" s="58" t="s">
        <v>2206</v>
      </c>
      <c r="I18" s="58" t="s">
        <v>2207</v>
      </c>
      <c r="J18" s="58" t="s">
        <v>2208</v>
      </c>
      <c r="K18" s="74" t="s">
        <v>2209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2179</v>
      </c>
      <c r="Y18" s="52"/>
      <c r="Z18" s="52"/>
      <c r="AA18" s="52"/>
      <c r="AB18" s="52"/>
      <c r="AC18" s="52"/>
    </row>
    <row r="19" ht="47.450000000000003" customHeight="1">
      <c r="A19" s="73">
        <v>7</v>
      </c>
      <c r="B19" s="58" t="s">
        <v>169</v>
      </c>
      <c r="C19" s="58" t="s">
        <v>170</v>
      </c>
      <c r="D19" s="58" t="s">
        <v>2210</v>
      </c>
      <c r="E19" s="58" t="s">
        <v>2211</v>
      </c>
      <c r="F19" s="58" t="s">
        <v>203</v>
      </c>
      <c r="G19" s="58" t="s">
        <v>242</v>
      </c>
      <c r="H19" s="58" t="s">
        <v>2212</v>
      </c>
      <c r="I19" s="58" t="s">
        <v>2213</v>
      </c>
      <c r="J19" s="58" t="s">
        <v>2214</v>
      </c>
      <c r="K19" s="74" t="s">
        <v>2215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2179</v>
      </c>
      <c r="Y19" s="52"/>
      <c r="Z19" s="52"/>
      <c r="AA19" s="52"/>
      <c r="AB19" s="52"/>
      <c r="AC19" s="52"/>
    </row>
    <row r="20" ht="60.950000000000003" customHeight="1">
      <c r="A20" s="73">
        <v>8</v>
      </c>
      <c r="B20" s="75"/>
      <c r="C20" s="75"/>
      <c r="D20" s="58" t="s">
        <v>2216</v>
      </c>
      <c r="E20" s="58" t="s">
        <v>2211</v>
      </c>
      <c r="F20" s="58" t="s">
        <v>210</v>
      </c>
      <c r="G20" s="58" t="s">
        <v>248</v>
      </c>
      <c r="H20" s="58" t="s">
        <v>2217</v>
      </c>
      <c r="I20" s="58" t="s">
        <v>2218</v>
      </c>
      <c r="J20" s="58" t="s">
        <v>2219</v>
      </c>
      <c r="K20" s="74" t="s">
        <v>2220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2179</v>
      </c>
      <c r="Y20" s="52"/>
      <c r="Z20" s="52"/>
      <c r="AA20" s="52"/>
      <c r="AB20" s="52"/>
      <c r="AC20" s="52"/>
    </row>
    <row r="21" ht="74.450000000000003" customHeight="1">
      <c r="A21" s="73">
        <v>9</v>
      </c>
      <c r="B21" s="75"/>
      <c r="C21" s="75"/>
      <c r="D21" s="58" t="s">
        <v>2221</v>
      </c>
      <c r="E21" s="58" t="s">
        <v>2222</v>
      </c>
      <c r="F21" s="58" t="s">
        <v>210</v>
      </c>
      <c r="G21" s="58" t="s">
        <v>254</v>
      </c>
      <c r="H21" s="58" t="s">
        <v>2223</v>
      </c>
      <c r="I21" s="58" t="s">
        <v>2224</v>
      </c>
      <c r="J21" s="58" t="s">
        <v>2225</v>
      </c>
      <c r="K21" s="74" t="s">
        <v>2226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2179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5"/>
      <c r="D22" s="58" t="s">
        <v>2227</v>
      </c>
      <c r="E22" s="58" t="s">
        <v>2228</v>
      </c>
      <c r="F22" s="58" t="s">
        <v>225</v>
      </c>
      <c r="G22" s="58" t="s">
        <v>259</v>
      </c>
      <c r="H22" s="58" t="s">
        <v>2229</v>
      </c>
      <c r="I22" s="58" t="s">
        <v>2230</v>
      </c>
      <c r="J22" s="58" t="s">
        <v>2231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2232</v>
      </c>
      <c r="X22" s="58" t="s">
        <v>2179</v>
      </c>
      <c r="Y22" s="52"/>
      <c r="Z22" s="52"/>
      <c r="AA22" s="52"/>
      <c r="AB22" s="52"/>
      <c r="AC22" s="52"/>
    </row>
    <row r="23" ht="47.450000000000003" customHeight="1">
      <c r="A23" s="73">
        <v>11</v>
      </c>
      <c r="B23" s="78"/>
      <c r="C23" s="78"/>
      <c r="D23" s="58" t="s">
        <v>2233</v>
      </c>
      <c r="E23" s="58" t="s">
        <v>2234</v>
      </c>
      <c r="F23" s="58" t="s">
        <v>210</v>
      </c>
      <c r="G23" s="58" t="s">
        <v>264</v>
      </c>
      <c r="H23" s="58" t="s">
        <v>2235</v>
      </c>
      <c r="I23" s="58" t="s">
        <v>2236</v>
      </c>
      <c r="J23" s="58" t="s">
        <v>2237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2238</v>
      </c>
      <c r="X23" s="58" t="s">
        <v>2179</v>
      </c>
      <c r="Y23" s="52"/>
      <c r="Z23" s="52"/>
      <c r="AA23" s="52"/>
      <c r="AB23" s="52"/>
      <c r="AC23" s="52"/>
    </row>
    <row r="24" ht="47.450000000000003" customHeight="1">
      <c r="A24" s="73">
        <v>12</v>
      </c>
      <c r="B24" s="58" t="s">
        <v>110</v>
      </c>
      <c r="C24" s="58" t="s">
        <v>113</v>
      </c>
      <c r="D24" s="58" t="s">
        <v>138</v>
      </c>
      <c r="E24" s="58" t="s">
        <v>2239</v>
      </c>
      <c r="F24" s="58" t="s">
        <v>210</v>
      </c>
      <c r="G24" s="58" t="s">
        <v>270</v>
      </c>
      <c r="H24" s="58" t="s">
        <v>2240</v>
      </c>
      <c r="I24" s="58" t="s">
        <v>1881</v>
      </c>
      <c r="J24" s="58" t="s">
        <v>2241</v>
      </c>
      <c r="K24" s="74" t="s">
        <v>2242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2179</v>
      </c>
      <c r="Y24" s="52"/>
      <c r="Z24" s="52"/>
      <c r="AA24" s="52"/>
      <c r="AB24" s="52"/>
      <c r="AC24" s="52"/>
    </row>
    <row r="25" ht="33.950000000000003" customHeight="1">
      <c r="A25" s="73">
        <v>13</v>
      </c>
      <c r="B25" s="78"/>
      <c r="C25" s="58" t="s">
        <v>112</v>
      </c>
      <c r="D25" s="58" t="s">
        <v>112</v>
      </c>
      <c r="E25" s="58" t="s">
        <v>2243</v>
      </c>
      <c r="F25" s="58" t="s">
        <v>225</v>
      </c>
      <c r="G25" s="58" t="s">
        <v>275</v>
      </c>
      <c r="H25" s="58" t="s">
        <v>2244</v>
      </c>
      <c r="I25" s="58" t="s">
        <v>2129</v>
      </c>
      <c r="J25" s="58" t="s">
        <v>2245</v>
      </c>
      <c r="K25" s="74" t="s">
        <v>2220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2179</v>
      </c>
      <c r="Y25" s="52"/>
      <c r="Z25" s="52"/>
      <c r="AA25" s="52"/>
      <c r="AB25" s="52"/>
      <c r="AC25" s="52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80873EEE-2A50-4573-B060-CEFDAED9FBA0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0434DF3B-9EA7-4F5A-B3A3-40236E12BA89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1" width="9"/>
    <col customWidth="1" min="2" max="2" style="1" width="12"/>
    <col customWidth="1" min="3" max="4" style="1" width="52"/>
    <col customWidth="1" min="5" max="5" style="1" width="24"/>
    <col customWidth="1" min="6" max="6" style="1" width="38"/>
    <col customWidth="1" min="7" max="7" style="1" width="14"/>
    <col customWidth="1" min="8" max="8" style="1" width="11"/>
  </cols>
  <sheetData>
    <row r="1" ht="21.949999999999999" customHeight="1">
      <c r="A1" s="70" t="s">
        <v>2204</v>
      </c>
      <c r="B1" s="70" t="s">
        <v>2246</v>
      </c>
      <c r="C1" s="70" t="s">
        <v>2247</v>
      </c>
      <c r="D1" s="70" t="s">
        <v>2248</v>
      </c>
      <c r="E1" s="70" t="s">
        <v>2249</v>
      </c>
      <c r="F1" s="70" t="s">
        <v>2250</v>
      </c>
      <c r="G1" s="70" t="s">
        <v>2251</v>
      </c>
      <c r="H1" s="70" t="s">
        <v>2252</v>
      </c>
    </row>
    <row r="2" ht="47.450000000000003" customHeight="1">
      <c r="A2" s="58" t="s">
        <v>2253</v>
      </c>
      <c r="B2" s="58" t="s">
        <v>144</v>
      </c>
      <c r="C2" s="58" t="s">
        <v>2254</v>
      </c>
      <c r="D2" s="58" t="s">
        <v>2255</v>
      </c>
      <c r="E2" s="58" t="s">
        <v>2256</v>
      </c>
      <c r="F2" s="58" t="s">
        <v>2257</v>
      </c>
      <c r="G2" s="58" t="s">
        <v>2258</v>
      </c>
      <c r="H2" s="58" t="s">
        <v>2259</v>
      </c>
    </row>
    <row r="3" ht="47.450000000000003" customHeight="1">
      <c r="A3" s="58" t="s">
        <v>2260</v>
      </c>
      <c r="B3" s="58" t="s">
        <v>144</v>
      </c>
      <c r="C3" s="58" t="s">
        <v>2261</v>
      </c>
      <c r="D3" s="58" t="s">
        <v>2262</v>
      </c>
      <c r="E3" s="58" t="s">
        <v>2263</v>
      </c>
      <c r="F3" s="58" t="s">
        <v>2264</v>
      </c>
      <c r="G3" s="58" t="s">
        <v>2265</v>
      </c>
      <c r="H3" s="58" t="s">
        <v>2259</v>
      </c>
    </row>
    <row r="4" ht="47.450000000000003" customHeight="1">
      <c r="A4" s="58" t="s">
        <v>2266</v>
      </c>
      <c r="B4" s="58" t="s">
        <v>144</v>
      </c>
      <c r="C4" s="58" t="s">
        <v>2267</v>
      </c>
      <c r="D4" s="58" t="s">
        <v>2268</v>
      </c>
      <c r="E4" s="58" t="s">
        <v>2269</v>
      </c>
      <c r="F4" s="58" t="s">
        <v>2270</v>
      </c>
      <c r="G4" s="58" t="s">
        <v>2265</v>
      </c>
      <c r="H4" s="58" t="s">
        <v>2259</v>
      </c>
    </row>
    <row r="5" ht="60.950000000000003" customHeight="1">
      <c r="A5" s="58" t="s">
        <v>2271</v>
      </c>
      <c r="B5" s="58" t="s">
        <v>144</v>
      </c>
      <c r="C5" s="58" t="s">
        <v>2272</v>
      </c>
      <c r="D5" s="58" t="s">
        <v>2273</v>
      </c>
      <c r="E5" s="58" t="s">
        <v>2274</v>
      </c>
      <c r="F5" s="58" t="s">
        <v>2275</v>
      </c>
      <c r="G5" s="58" t="s">
        <v>2258</v>
      </c>
      <c r="H5" s="58" t="s">
        <v>2259</v>
      </c>
    </row>
    <row r="6" ht="47.450000000000003" customHeight="1">
      <c r="A6" s="58" t="s">
        <v>2276</v>
      </c>
      <c r="B6" s="58" t="s">
        <v>144</v>
      </c>
      <c r="C6" s="58" t="s">
        <v>2277</v>
      </c>
      <c r="D6" s="58" t="s">
        <v>2278</v>
      </c>
      <c r="E6" s="58" t="s">
        <v>2279</v>
      </c>
      <c r="F6" s="58" t="s">
        <v>2280</v>
      </c>
      <c r="G6" s="58" t="s">
        <v>2265</v>
      </c>
      <c r="H6" s="58" t="s">
        <v>2259</v>
      </c>
    </row>
    <row r="7" ht="33.950000000000003" customHeight="1">
      <c r="A7" s="58" t="s">
        <v>2281</v>
      </c>
      <c r="B7" s="58" t="s">
        <v>144</v>
      </c>
      <c r="C7" s="58" t="s">
        <v>2282</v>
      </c>
      <c r="D7" s="58" t="s">
        <v>2283</v>
      </c>
      <c r="E7" s="58" t="s">
        <v>2284</v>
      </c>
      <c r="F7" s="58" t="s">
        <v>2285</v>
      </c>
      <c r="G7" s="58" t="s">
        <v>2265</v>
      </c>
      <c r="H7" s="58" t="s">
        <v>2259</v>
      </c>
    </row>
    <row r="8" ht="33.950000000000003" customHeight="1">
      <c r="A8" s="58" t="s">
        <v>2286</v>
      </c>
      <c r="B8" s="58" t="s">
        <v>144</v>
      </c>
      <c r="C8" s="58" t="s">
        <v>2287</v>
      </c>
      <c r="D8" s="58" t="s">
        <v>2288</v>
      </c>
      <c r="E8" s="58" t="s">
        <v>2289</v>
      </c>
      <c r="F8" s="58" t="s">
        <v>2290</v>
      </c>
      <c r="G8" s="58" t="s">
        <v>2265</v>
      </c>
      <c r="H8" s="58" t="s">
        <v>2259</v>
      </c>
    </row>
    <row r="9" ht="33.950000000000003" customHeight="1">
      <c r="A9" s="58" t="s">
        <v>2291</v>
      </c>
      <c r="B9" s="58" t="s">
        <v>144</v>
      </c>
      <c r="C9" s="58" t="s">
        <v>2292</v>
      </c>
      <c r="D9" s="58" t="s">
        <v>2293</v>
      </c>
      <c r="E9" s="58" t="s">
        <v>2294</v>
      </c>
      <c r="F9" s="58" t="s">
        <v>2295</v>
      </c>
      <c r="G9" s="58" t="s">
        <v>2265</v>
      </c>
      <c r="H9" s="58" t="s">
        <v>2259</v>
      </c>
    </row>
    <row r="10" ht="33.950000000000003" customHeight="1">
      <c r="A10" s="58" t="s">
        <v>2296</v>
      </c>
      <c r="B10" s="58" t="s">
        <v>144</v>
      </c>
      <c r="C10" s="58" t="s">
        <v>2297</v>
      </c>
      <c r="D10" s="58" t="s">
        <v>2298</v>
      </c>
      <c r="E10" s="58" t="s">
        <v>2299</v>
      </c>
      <c r="F10" s="58" t="s">
        <v>2300</v>
      </c>
      <c r="G10" s="58" t="s">
        <v>2258</v>
      </c>
      <c r="H10" s="58" t="s">
        <v>2259</v>
      </c>
    </row>
    <row r="11" ht="47.450000000000003" customHeight="1">
      <c r="A11" s="58" t="s">
        <v>2301</v>
      </c>
      <c r="B11" s="58" t="s">
        <v>144</v>
      </c>
      <c r="C11" s="58" t="s">
        <v>2302</v>
      </c>
      <c r="D11" s="58" t="s">
        <v>2303</v>
      </c>
      <c r="E11" s="58" t="s">
        <v>2304</v>
      </c>
      <c r="F11" s="58" t="s">
        <v>2305</v>
      </c>
      <c r="G11" s="58" t="s">
        <v>2265</v>
      </c>
      <c r="H11" s="58" t="s">
        <v>2259</v>
      </c>
    </row>
    <row r="12" ht="47.450000000000003" customHeight="1">
      <c r="A12" s="58" t="s">
        <v>2306</v>
      </c>
      <c r="B12" s="58" t="s">
        <v>144</v>
      </c>
      <c r="C12" s="58" t="s">
        <v>2307</v>
      </c>
      <c r="D12" s="58" t="s">
        <v>2308</v>
      </c>
      <c r="E12" s="58" t="s">
        <v>2309</v>
      </c>
      <c r="F12" s="58" t="s">
        <v>2310</v>
      </c>
      <c r="G12" s="58" t="s">
        <v>2258</v>
      </c>
      <c r="H12" s="58" t="s">
        <v>2259</v>
      </c>
    </row>
    <row r="13" ht="33.950000000000003" customHeight="1">
      <c r="A13" s="58" t="s">
        <v>2311</v>
      </c>
      <c r="B13" s="58" t="s">
        <v>144</v>
      </c>
      <c r="C13" s="58" t="s">
        <v>2312</v>
      </c>
      <c r="D13" s="58" t="s">
        <v>2313</v>
      </c>
      <c r="E13" s="58" t="s">
        <v>2314</v>
      </c>
      <c r="F13" s="58" t="s">
        <v>2315</v>
      </c>
      <c r="G13" s="58" t="s">
        <v>2258</v>
      </c>
      <c r="H13" s="58" t="s">
        <v>2259</v>
      </c>
    </row>
    <row r="14" ht="33.950000000000003" customHeight="1">
      <c r="A14" s="58" t="s">
        <v>2316</v>
      </c>
      <c r="B14" s="58" t="s">
        <v>164</v>
      </c>
      <c r="C14" s="58" t="s">
        <v>2317</v>
      </c>
      <c r="D14" s="58" t="s">
        <v>2318</v>
      </c>
      <c r="E14" s="58" t="s">
        <v>2319</v>
      </c>
      <c r="F14" s="58" t="s">
        <v>2320</v>
      </c>
      <c r="G14" s="58" t="s">
        <v>2258</v>
      </c>
      <c r="H14" s="58" t="s">
        <v>2259</v>
      </c>
    </row>
    <row r="15" ht="47.450000000000003" customHeight="1">
      <c r="A15" s="58" t="s">
        <v>2321</v>
      </c>
      <c r="B15" s="58" t="s">
        <v>164</v>
      </c>
      <c r="C15" s="58" t="s">
        <v>2322</v>
      </c>
      <c r="D15" s="58" t="s">
        <v>2323</v>
      </c>
      <c r="E15" s="58" t="s">
        <v>2324</v>
      </c>
      <c r="F15" s="58" t="s">
        <v>2325</v>
      </c>
      <c r="G15" s="58" t="s">
        <v>2265</v>
      </c>
      <c r="H15" s="58" t="s">
        <v>2259</v>
      </c>
    </row>
    <row r="16" ht="33.950000000000003" customHeight="1">
      <c r="A16" s="58" t="s">
        <v>2326</v>
      </c>
      <c r="B16" s="58" t="s">
        <v>164</v>
      </c>
      <c r="C16" s="58" t="s">
        <v>2327</v>
      </c>
      <c r="D16" s="58" t="s">
        <v>2328</v>
      </c>
      <c r="E16" s="58" t="s">
        <v>2329</v>
      </c>
      <c r="F16" s="58" t="s">
        <v>2330</v>
      </c>
      <c r="G16" s="58" t="s">
        <v>2258</v>
      </c>
      <c r="H16" s="58" t="s">
        <v>2259</v>
      </c>
    </row>
    <row r="17" ht="47.450000000000003" customHeight="1">
      <c r="A17" s="58" t="s">
        <v>2331</v>
      </c>
      <c r="B17" s="58" t="s">
        <v>2332</v>
      </c>
      <c r="C17" s="58" t="s">
        <v>2333</v>
      </c>
      <c r="D17" s="58" t="s">
        <v>2334</v>
      </c>
      <c r="E17" s="58" t="s">
        <v>2335</v>
      </c>
      <c r="F17" s="58" t="s">
        <v>2336</v>
      </c>
      <c r="G17" s="58" t="s">
        <v>2336</v>
      </c>
      <c r="H17" s="58" t="s">
        <v>2259</v>
      </c>
    </row>
    <row r="18" ht="33.950000000000003" customHeight="1">
      <c r="A18" s="58" t="s">
        <v>2337</v>
      </c>
      <c r="B18" s="58" t="s">
        <v>2332</v>
      </c>
      <c r="C18" s="58" t="s">
        <v>2338</v>
      </c>
      <c r="D18" s="58" t="s">
        <v>2339</v>
      </c>
      <c r="E18" s="58" t="s">
        <v>2340</v>
      </c>
      <c r="F18" s="58" t="s">
        <v>2336</v>
      </c>
      <c r="G18" s="58" t="s">
        <v>2336</v>
      </c>
      <c r="H18" s="58" t="s">
        <v>2259</v>
      </c>
    </row>
    <row r="19" ht="47.450000000000003" customHeight="1">
      <c r="A19" s="58" t="s">
        <v>2341</v>
      </c>
      <c r="B19" s="58" t="s">
        <v>2332</v>
      </c>
      <c r="C19" s="58" t="s">
        <v>2342</v>
      </c>
      <c r="D19" s="58" t="s">
        <v>2343</v>
      </c>
      <c r="E19" s="58" t="s">
        <v>2344</v>
      </c>
      <c r="F19" s="58" t="s">
        <v>2336</v>
      </c>
      <c r="G19" s="58" t="s">
        <v>2336</v>
      </c>
      <c r="H19" s="58" t="s">
        <v>2259</v>
      </c>
    </row>
    <row r="20" ht="47.450000000000003" customHeight="1">
      <c r="A20" s="58" t="s">
        <v>2345</v>
      </c>
      <c r="B20" s="58" t="s">
        <v>43</v>
      </c>
      <c r="C20" s="58" t="s">
        <v>2346</v>
      </c>
      <c r="D20" s="58" t="s">
        <v>2347</v>
      </c>
      <c r="E20" s="58" t="s">
        <v>2348</v>
      </c>
      <c r="F20" s="58" t="s">
        <v>2349</v>
      </c>
      <c r="G20" s="58" t="s">
        <v>2265</v>
      </c>
      <c r="H20" s="58" t="s">
        <v>2259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 tabSelected="1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1253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1254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COUNTA($G$13:$G$178)</f>
      </c>
      <c r="M4" s="61">
        <f>COUNTIF($M$13:$M$178,M3)</f>
      </c>
      <c r="N4" s="61">
        <f>COUNTIF($M$13:$M$178,N3)</f>
      </c>
      <c r="O4" s="61">
        <f>COUNTIF($M$13:$M$178,O3)</f>
      </c>
      <c r="P4" s="62">
        <f>COUNTIF($M$13:$M$178,P3)</f>
      </c>
      <c r="Q4" s="61">
        <f>COUNTIF($M$13:$M$178,Q3)</f>
      </c>
      <c r="R4" s="61">
        <f>L4-SUM(M4:Q4)</f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0">M4/$L$4</f>
      </c>
      <c r="N5" s="64">
        <f t="shared" si="20"/>
      </c>
      <c r="O5" s="64">
        <f t="shared" si="20"/>
      </c>
      <c r="P5" s="65">
        <f t="shared" si="20"/>
      </c>
      <c r="Q5" s="64">
        <f t="shared" si="20"/>
      </c>
      <c r="R5" s="64">
        <f t="shared" si="20"/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55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COUNTA($G$13:$G$178)</f>
      </c>
      <c r="M6" s="61">
        <f>COUNTIF($R$13:$R$178,M3)</f>
      </c>
      <c r="N6" s="61">
        <f>COUNTIF($R$13:$R$178,N3)</f>
      </c>
      <c r="O6" s="61">
        <f>COUNTIF($R$13:$R$178,O3)</f>
      </c>
      <c r="P6" s="62">
        <f>COUNTIF($R$13:$R$178,P3)</f>
      </c>
      <c r="Q6" s="61">
        <f>COUNTIF($R$13:$R$178,Q3)</f>
      </c>
      <c r="R6" s="61">
        <f>L6-SUM(M6:Q6)</f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1255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1">M6/$L$6</f>
      </c>
      <c r="N7" s="64">
        <f t="shared" si="21"/>
      </c>
      <c r="O7" s="64">
        <f t="shared" si="21"/>
      </c>
      <c r="P7" s="65">
        <f t="shared" si="21"/>
      </c>
      <c r="Q7" s="64">
        <f t="shared" si="21"/>
      </c>
      <c r="R7" s="64">
        <f t="shared" si="21"/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customHeight="1" ht="60.0">
      <c r="A13" s="73">
        <v>1</v>
      </c>
      <c r="B13" s="108" t="s">
        <v>80</v>
      </c>
      <c r="C13" s="108" t="s">
        <v>117</v>
      </c>
      <c r="D13" s="109" t="s">
        <v>500</v>
      </c>
      <c r="E13" s="58" t="s">
        <v>1256</v>
      </c>
      <c r="F13" s="58" t="s">
        <v>203</v>
      </c>
      <c r="G13" s="58" t="s">
        <v>1257</v>
      </c>
      <c r="H13" s="58" t="s">
        <v>1258</v>
      </c>
      <c r="I13" s="58" t="s">
        <v>1259</v>
      </c>
      <c r="J13" s="58" t="s">
        <v>1260</v>
      </c>
      <c r="K13" s="74" t="s">
        <v>1261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105"/>
      <c r="X13" s="58" t="s">
        <v>2350</v>
      </c>
      <c r="Y13" s="52"/>
      <c r="Z13" s="52"/>
      <c r="AA13" s="52"/>
      <c r="AB13" s="52"/>
      <c r="AC13" s="52"/>
    </row>
    <row r="14" customHeight="1" ht="48.6">
      <c r="A14" s="73">
        <v>2</v>
      </c>
      <c r="B14" s="108"/>
      <c r="C14" s="110"/>
      <c r="D14" s="109" t="s">
        <v>508</v>
      </c>
      <c r="E14" s="58" t="s">
        <v>209</v>
      </c>
      <c r="F14" s="58" t="s">
        <v>210</v>
      </c>
      <c r="G14" s="58" t="s">
        <v>1264</v>
      </c>
      <c r="H14" s="58" t="s">
        <v>2351</v>
      </c>
      <c r="I14" s="58" t="s">
        <v>1259</v>
      </c>
      <c r="J14" s="58" t="s">
        <v>2352</v>
      </c>
      <c r="K14" s="74" t="s">
        <v>2353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105"/>
      <c r="X14" s="58" t="s">
        <v>2350</v>
      </c>
      <c r="Y14" s="52"/>
      <c r="Z14" s="52"/>
      <c r="AA14" s="52"/>
      <c r="AB14" s="52"/>
      <c r="AC14" s="52"/>
    </row>
    <row r="15" customHeight="1" ht="60.0">
      <c r="A15" s="73">
        <v>3</v>
      </c>
      <c r="B15" s="108"/>
      <c r="C15" s="108" t="s">
        <v>118</v>
      </c>
      <c r="D15" s="108" t="s">
        <v>513</v>
      </c>
      <c r="E15" s="58" t="s">
        <v>2354</v>
      </c>
      <c r="F15" s="58" t="s">
        <v>203</v>
      </c>
      <c r="G15" s="58" t="s">
        <v>1271</v>
      </c>
      <c r="H15" s="58" t="s">
        <v>1265</v>
      </c>
      <c r="I15" s="58" t="s">
        <v>2355</v>
      </c>
      <c r="J15" s="58" t="s">
        <v>2356</v>
      </c>
      <c r="K15" s="74" t="s">
        <v>2357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105"/>
      <c r="X15" s="58" t="s">
        <v>2358</v>
      </c>
      <c r="Y15" s="52"/>
      <c r="Z15" s="52"/>
      <c r="AA15" s="52"/>
      <c r="AB15" s="52"/>
      <c r="AC15" s="52"/>
    </row>
    <row r="16" customHeight="1" ht="60.0">
      <c r="A16" s="73">
        <v>4</v>
      </c>
      <c r="B16" s="108"/>
      <c r="C16" s="108"/>
      <c r="D16" s="110"/>
      <c r="E16" s="58" t="s">
        <v>2359</v>
      </c>
      <c r="F16" s="58" t="s">
        <v>203</v>
      </c>
      <c r="G16" s="58" t="s">
        <v>1278</v>
      </c>
      <c r="H16" s="58" t="s">
        <v>2360</v>
      </c>
      <c r="I16" s="58" t="s">
        <v>2361</v>
      </c>
      <c r="J16" s="58" t="s">
        <v>2362</v>
      </c>
      <c r="K16" s="74" t="s">
        <v>2363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105"/>
      <c r="X16" s="58" t="s">
        <v>2358</v>
      </c>
      <c r="Y16" s="52"/>
      <c r="Z16" s="52"/>
      <c r="AA16" s="52"/>
      <c r="AB16" s="52"/>
      <c r="AC16" s="52"/>
    </row>
    <row r="17" customHeight="1" ht="48.6">
      <c r="A17" s="73">
        <v>5</v>
      </c>
      <c r="B17" s="108"/>
      <c r="C17" s="108"/>
      <c r="D17" s="108" t="s">
        <v>508</v>
      </c>
      <c r="E17" s="58" t="s">
        <v>2364</v>
      </c>
      <c r="F17" s="58" t="s">
        <v>210</v>
      </c>
      <c r="G17" s="58" t="s">
        <v>1283</v>
      </c>
      <c r="H17" s="58" t="s">
        <v>2365</v>
      </c>
      <c r="I17" s="58" t="s">
        <v>2355</v>
      </c>
      <c r="J17" s="58" t="s">
        <v>2366</v>
      </c>
      <c r="K17" s="74" t="s">
        <v>2367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105"/>
      <c r="X17" s="58" t="s">
        <v>2358</v>
      </c>
      <c r="Y17" s="52"/>
      <c r="Z17" s="52"/>
      <c r="AA17" s="52"/>
      <c r="AB17" s="52"/>
      <c r="AC17" s="52"/>
    </row>
    <row r="18" customHeight="1" ht="60.0">
      <c r="A18" s="73">
        <v>6</v>
      </c>
      <c r="B18" s="110"/>
      <c r="C18" s="110"/>
      <c r="D18" s="110"/>
      <c r="E18" s="58" t="s">
        <v>2368</v>
      </c>
      <c r="F18" s="58" t="s">
        <v>210</v>
      </c>
      <c r="G18" s="58" t="s">
        <v>1287</v>
      </c>
      <c r="H18" s="58" t="s">
        <v>2369</v>
      </c>
      <c r="I18" s="58" t="s">
        <v>1259</v>
      </c>
      <c r="J18" s="58" t="s">
        <v>2370</v>
      </c>
      <c r="K18" s="74" t="s">
        <v>2371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105"/>
      <c r="X18" s="58" t="s">
        <v>2358</v>
      </c>
      <c r="Y18" s="52"/>
      <c r="Z18" s="52"/>
      <c r="AA18" s="52"/>
      <c r="AB18" s="52"/>
      <c r="AC18" s="52"/>
    </row>
    <row r="19" customHeight="1" ht="87.0">
      <c r="A19" s="73">
        <v>7</v>
      </c>
      <c r="B19" s="108" t="s">
        <v>120</v>
      </c>
      <c r="C19" s="109" t="s">
        <v>93</v>
      </c>
      <c r="D19" s="109" t="s">
        <v>268</v>
      </c>
      <c r="E19" s="58" t="s">
        <v>531</v>
      </c>
      <c r="F19" s="58" t="s">
        <v>210</v>
      </c>
      <c r="G19" s="58" t="s">
        <v>1292</v>
      </c>
      <c r="H19" s="58" t="s">
        <v>2373</v>
      </c>
      <c r="I19" s="58" t="s">
        <v>1259</v>
      </c>
      <c r="J19" s="58" t="s">
        <v>1289</v>
      </c>
      <c r="K19" s="74" t="s">
        <v>2374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105"/>
      <c r="X19" s="58" t="s">
        <v>2350</v>
      </c>
      <c r="Y19" s="52"/>
      <c r="Z19" s="52"/>
      <c r="AA19" s="52"/>
      <c r="AB19" s="52"/>
      <c r="AC19" s="52"/>
    </row>
    <row r="20" customHeight="1" ht="48.6">
      <c r="A20" s="73">
        <v>8</v>
      </c>
      <c r="B20" s="108"/>
      <c r="C20" s="108" t="s">
        <v>127</v>
      </c>
      <c r="D20" s="108" t="s">
        <v>268</v>
      </c>
      <c r="E20" s="58" t="s">
        <v>1297</v>
      </c>
      <c r="F20" s="58" t="s">
        <v>203</v>
      </c>
      <c r="G20" s="58" t="s">
        <v>1298</v>
      </c>
      <c r="H20" s="58" t="s">
        <v>2375</v>
      </c>
      <c r="I20" s="58" t="s">
        <v>1259</v>
      </c>
      <c r="J20" s="58" t="s">
        <v>2376</v>
      </c>
      <c r="K20" s="74" t="s">
        <v>2377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105"/>
      <c r="X20" s="58" t="s">
        <v>2378</v>
      </c>
      <c r="Y20" s="52"/>
      <c r="Z20" s="52"/>
      <c r="AA20" s="52"/>
      <c r="AB20" s="52"/>
      <c r="AC20" s="52"/>
    </row>
    <row r="21" customHeight="1" ht="48.6">
      <c r="A21" s="73">
        <v>9</v>
      </c>
      <c r="B21" s="108"/>
      <c r="C21" s="108"/>
      <c r="D21" s="110"/>
      <c r="E21" s="58" t="s">
        <v>1291</v>
      </c>
      <c r="F21" s="58" t="s">
        <v>210</v>
      </c>
      <c r="G21" s="58" t="s">
        <v>1303</v>
      </c>
      <c r="H21" s="58" t="s">
        <v>2379</v>
      </c>
      <c r="I21" s="58" t="s">
        <v>1259</v>
      </c>
      <c r="J21" s="58" t="s">
        <v>2376</v>
      </c>
      <c r="K21" s="74" t="s">
        <v>2380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105"/>
      <c r="X21" s="58" t="s">
        <v>2378</v>
      </c>
      <c r="Y21" s="52"/>
      <c r="Z21" s="52"/>
      <c r="AA21" s="52"/>
      <c r="AB21" s="52"/>
      <c r="AC21" s="52"/>
    </row>
    <row r="22" customHeight="1" ht="48.6">
      <c r="A22" s="73">
        <v>10</v>
      </c>
      <c r="B22" s="108"/>
      <c r="C22" s="108"/>
      <c r="D22" s="108" t="s">
        <v>552</v>
      </c>
      <c r="E22" s="58" t="s">
        <v>2381</v>
      </c>
      <c r="F22" s="58" t="s">
        <v>203</v>
      </c>
      <c r="G22" s="58" t="s">
        <v>1308</v>
      </c>
      <c r="H22" s="58" t="s">
        <v>2382</v>
      </c>
      <c r="I22" s="58" t="s">
        <v>1259</v>
      </c>
      <c r="J22" s="58" t="s">
        <v>1549</v>
      </c>
      <c r="K22" s="74" t="s">
        <v>2383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105"/>
      <c r="X22" s="58" t="s">
        <v>2378</v>
      </c>
      <c r="Y22" s="52"/>
      <c r="Z22" s="52"/>
      <c r="AA22" s="52"/>
      <c r="AB22" s="52"/>
      <c r="AC22" s="52"/>
    </row>
    <row r="23" customHeight="1" ht="154.5">
      <c r="A23" s="73">
        <v>11</v>
      </c>
      <c r="B23" s="108"/>
      <c r="C23" s="108"/>
      <c r="D23" s="108"/>
      <c r="E23" s="58" t="s">
        <v>2384</v>
      </c>
      <c r="F23" s="58" t="s">
        <v>210</v>
      </c>
      <c r="G23" s="58" t="s">
        <v>1312</v>
      </c>
      <c r="H23" s="58" t="s">
        <v>2385</v>
      </c>
      <c r="I23" s="58" t="s">
        <v>1259</v>
      </c>
      <c r="J23" s="58" t="s">
        <v>2386</v>
      </c>
      <c r="K23" s="74" t="s">
        <v>2387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2388</v>
      </c>
      <c r="X23" s="58" t="s">
        <v>2378</v>
      </c>
      <c r="Y23" s="52"/>
      <c r="Z23" s="52"/>
      <c r="AA23" s="52"/>
      <c r="AB23" s="52"/>
      <c r="AC23" s="52"/>
    </row>
    <row r="24" customHeight="1" ht="114.0">
      <c r="A24" s="73">
        <v>12</v>
      </c>
      <c r="B24" s="108"/>
      <c r="C24" s="108"/>
      <c r="D24" s="110"/>
      <c r="E24" s="58" t="s">
        <v>2389</v>
      </c>
      <c r="F24" s="58" t="s">
        <v>210</v>
      </c>
      <c r="G24" s="58" t="s">
        <v>1317</v>
      </c>
      <c r="H24" s="58" t="s">
        <v>2390</v>
      </c>
      <c r="I24" s="58" t="s">
        <v>1259</v>
      </c>
      <c r="J24" s="58" t="s">
        <v>2391</v>
      </c>
      <c r="K24" s="74" t="s">
        <v>2392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105"/>
      <c r="X24" s="58" t="s">
        <v>2378</v>
      </c>
      <c r="Y24" s="52"/>
      <c r="Z24" s="52"/>
      <c r="AA24" s="52"/>
      <c r="AB24" s="52"/>
      <c r="AC24" s="52"/>
    </row>
    <row r="25" customHeight="1" ht="60.0">
      <c r="A25" s="73">
        <v>13</v>
      </c>
      <c r="B25" s="108"/>
      <c r="C25" s="108"/>
      <c r="D25" s="108" t="s">
        <v>1573</v>
      </c>
      <c r="E25" s="58" t="s">
        <v>2393</v>
      </c>
      <c r="F25" s="58" t="s">
        <v>210</v>
      </c>
      <c r="G25" s="58" t="s">
        <v>1337</v>
      </c>
      <c r="H25" s="58" t="s">
        <v>2394</v>
      </c>
      <c r="I25" s="58" t="s">
        <v>1259</v>
      </c>
      <c r="J25" s="58" t="s">
        <v>1577</v>
      </c>
      <c r="K25" s="74" t="s">
        <v>2395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77" t="s">
        <v>2396</v>
      </c>
      <c r="X25" s="58" t="s">
        <v>2378</v>
      </c>
      <c r="Y25" s="52"/>
      <c r="Z25" s="52"/>
      <c r="AA25" s="52"/>
      <c r="AB25" s="52"/>
      <c r="AC25" s="52"/>
    </row>
    <row r="26" customHeight="1" ht="60.0">
      <c r="A26" s="73">
        <v>14</v>
      </c>
      <c r="B26" s="108"/>
      <c r="C26" s="108"/>
      <c r="D26" s="108"/>
      <c r="E26" s="58" t="s">
        <v>2397</v>
      </c>
      <c r="F26" s="58" t="s">
        <v>210</v>
      </c>
      <c r="G26" s="58" t="s">
        <v>1342</v>
      </c>
      <c r="H26" s="58" t="s">
        <v>2398</v>
      </c>
      <c r="I26" s="58" t="s">
        <v>1259</v>
      </c>
      <c r="J26" s="58" t="s">
        <v>1582</v>
      </c>
      <c r="K26" s="74" t="s">
        <v>2395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2396</v>
      </c>
      <c r="X26" s="58" t="s">
        <v>2378</v>
      </c>
      <c r="Y26" s="52"/>
      <c r="Z26" s="52"/>
      <c r="AA26" s="52"/>
      <c r="AB26" s="52"/>
      <c r="AC26" s="52"/>
    </row>
    <row r="27" customHeight="1" ht="73.5">
      <c r="A27" s="73">
        <v>15</v>
      </c>
      <c r="B27" s="108"/>
      <c r="C27" s="108"/>
      <c r="D27" s="110"/>
      <c r="E27" s="58" t="s">
        <v>2399</v>
      </c>
      <c r="F27" s="58" t="s">
        <v>203</v>
      </c>
      <c r="G27" s="58" t="s">
        <v>1348</v>
      </c>
      <c r="H27" s="58" t="s">
        <v>2400</v>
      </c>
      <c r="I27" s="58" t="s">
        <v>1259</v>
      </c>
      <c r="J27" s="58" t="s">
        <v>2401</v>
      </c>
      <c r="K27" s="74" t="s">
        <v>2402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2403</v>
      </c>
      <c r="X27" s="58" t="s">
        <v>2378</v>
      </c>
      <c r="Y27" s="52"/>
      <c r="Z27" s="52"/>
      <c r="AA27" s="52"/>
      <c r="AB27" s="52"/>
      <c r="AC27" s="52"/>
    </row>
    <row r="28" customHeight="1" ht="73.5">
      <c r="A28" s="73">
        <v>16</v>
      </c>
      <c r="B28" s="108"/>
      <c r="C28" s="108"/>
      <c r="D28" s="108" t="s">
        <v>2404</v>
      </c>
      <c r="E28" s="58" t="s">
        <v>2405</v>
      </c>
      <c r="F28" s="58" t="s">
        <v>203</v>
      </c>
      <c r="G28" s="58" t="s">
        <v>1354</v>
      </c>
      <c r="H28" s="58" t="s">
        <v>2406</v>
      </c>
      <c r="I28" s="58" t="s">
        <v>2407</v>
      </c>
      <c r="J28" s="58" t="s">
        <v>2408</v>
      </c>
      <c r="K28" s="74" t="s">
        <v>2413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105"/>
      <c r="X28" s="58" t="s">
        <v>2378</v>
      </c>
      <c r="Y28" s="52"/>
      <c r="Z28" s="52"/>
      <c r="AA28" s="52"/>
      <c r="AB28" s="52"/>
      <c r="AC28" s="52"/>
    </row>
    <row r="29" customHeight="1" ht="73.5">
      <c r="A29" s="73">
        <v>17</v>
      </c>
      <c r="B29" s="108"/>
      <c r="C29" s="108"/>
      <c r="D29" s="108"/>
      <c r="E29" s="58" t="s">
        <v>2410</v>
      </c>
      <c r="F29" s="58" t="s">
        <v>210</v>
      </c>
      <c r="G29" s="58" t="s">
        <v>1360</v>
      </c>
      <c r="H29" s="58" t="s">
        <v>2411</v>
      </c>
      <c r="I29" s="58" t="s">
        <v>2407</v>
      </c>
      <c r="J29" s="58" t="s">
        <v>2412</v>
      </c>
      <c r="K29" s="74" t="s">
        <v>2413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105"/>
      <c r="X29" s="58" t="s">
        <v>2378</v>
      </c>
      <c r="Y29" s="52"/>
      <c r="Z29" s="52"/>
      <c r="AA29" s="52"/>
      <c r="AB29" s="52"/>
      <c r="AC29" s="52"/>
    </row>
    <row r="30" customHeight="1" ht="60.0">
      <c r="A30" s="73">
        <v>18</v>
      </c>
      <c r="B30" s="108"/>
      <c r="C30" s="108"/>
      <c r="D30" s="108"/>
      <c r="E30" s="58" t="s">
        <v>2414</v>
      </c>
      <c r="F30" s="58" t="s">
        <v>210</v>
      </c>
      <c r="G30" s="58" t="s">
        <v>1366</v>
      </c>
      <c r="H30" s="58" t="s">
        <v>1590</v>
      </c>
      <c r="I30" s="58" t="s">
        <v>2407</v>
      </c>
      <c r="J30" s="58" t="s">
        <v>2415</v>
      </c>
      <c r="K30" s="74" t="s">
        <v>2416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105"/>
      <c r="X30" s="58" t="s">
        <v>2378</v>
      </c>
      <c r="Y30" s="52"/>
      <c r="Z30" s="52"/>
      <c r="AA30" s="52"/>
      <c r="AB30" s="52"/>
      <c r="AC30" s="52"/>
    </row>
    <row r="31" customHeight="1" ht="60.0">
      <c r="A31" s="73">
        <v>19</v>
      </c>
      <c r="B31" s="108"/>
      <c r="C31" s="108"/>
      <c r="D31" s="108"/>
      <c r="E31" s="58" t="s">
        <v>2417</v>
      </c>
      <c r="F31" s="58" t="s">
        <v>225</v>
      </c>
      <c r="G31" s="58" t="s">
        <v>1371</v>
      </c>
      <c r="H31" s="58" t="s">
        <v>2418</v>
      </c>
      <c r="I31" s="58" t="s">
        <v>1259</v>
      </c>
      <c r="J31" s="58" t="s">
        <v>2419</v>
      </c>
      <c r="K31" s="104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3057</v>
      </c>
      <c r="X31" s="58" t="s">
        <v>2378</v>
      </c>
      <c r="Y31" s="52"/>
      <c r="Z31" s="52"/>
      <c r="AA31" s="52"/>
      <c r="AB31" s="52"/>
      <c r="AC31" s="52"/>
    </row>
    <row r="32" customHeight="1" ht="48.6">
      <c r="A32" s="73">
        <v>20</v>
      </c>
      <c r="B32" s="108"/>
      <c r="C32" s="108"/>
      <c r="D32" s="110"/>
      <c r="E32" s="58" t="s">
        <v>2422</v>
      </c>
      <c r="F32" s="58" t="s">
        <v>210</v>
      </c>
      <c r="G32" s="58" t="s">
        <v>2423</v>
      </c>
      <c r="H32" s="58" t="s">
        <v>2424</v>
      </c>
      <c r="I32" s="58" t="s">
        <v>1259</v>
      </c>
      <c r="J32" s="58" t="s">
        <v>2425</v>
      </c>
      <c r="K32" s="74" t="s">
        <v>3058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3059</v>
      </c>
      <c r="X32" s="58" t="s">
        <v>2378</v>
      </c>
      <c r="Y32" s="52"/>
      <c r="Z32" s="52"/>
      <c r="AA32" s="52"/>
      <c r="AB32" s="52"/>
      <c r="AC32" s="52"/>
    </row>
    <row r="33" customHeight="1" ht="48.6">
      <c r="A33" s="73">
        <v>21</v>
      </c>
      <c r="B33" s="108"/>
      <c r="C33" s="108"/>
      <c r="D33" s="108" t="s">
        <v>393</v>
      </c>
      <c r="E33" s="58" t="s">
        <v>2428</v>
      </c>
      <c r="F33" s="58" t="s">
        <v>203</v>
      </c>
      <c r="G33" s="58" t="s">
        <v>2429</v>
      </c>
      <c r="H33" s="58" t="s">
        <v>2430</v>
      </c>
      <c r="I33" s="58" t="s">
        <v>1259</v>
      </c>
      <c r="J33" s="58" t="s">
        <v>2431</v>
      </c>
      <c r="K33" s="74" t="s">
        <v>2432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105"/>
      <c r="X33" s="58" t="s">
        <v>2378</v>
      </c>
      <c r="Y33" s="52"/>
      <c r="Z33" s="52"/>
      <c r="AA33" s="52"/>
      <c r="AB33" s="52"/>
      <c r="AC33" s="52"/>
    </row>
    <row r="34" customHeight="1" ht="114.0">
      <c r="A34" s="73">
        <v>22</v>
      </c>
      <c r="B34" s="108"/>
      <c r="C34" s="108"/>
      <c r="D34" s="108"/>
      <c r="E34" s="58" t="s">
        <v>2434</v>
      </c>
      <c r="F34" s="58" t="s">
        <v>203</v>
      </c>
      <c r="G34" s="58" t="s">
        <v>2435</v>
      </c>
      <c r="H34" s="58" t="s">
        <v>2436</v>
      </c>
      <c r="I34" s="58" t="s">
        <v>1259</v>
      </c>
      <c r="J34" s="58" t="s">
        <v>2437</v>
      </c>
      <c r="K34" s="74" t="s">
        <v>2438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105"/>
      <c r="X34" s="58" t="s">
        <v>2378</v>
      </c>
      <c r="Y34" s="52"/>
      <c r="Z34" s="52"/>
      <c r="AA34" s="52"/>
      <c r="AB34" s="52"/>
      <c r="AC34" s="52"/>
    </row>
    <row r="35" customHeight="1" ht="48.6">
      <c r="A35" s="73">
        <v>23</v>
      </c>
      <c r="B35" s="108"/>
      <c r="C35" s="108"/>
      <c r="D35" s="108"/>
      <c r="E35" s="58" t="s">
        <v>2440</v>
      </c>
      <c r="F35" s="58" t="s">
        <v>203</v>
      </c>
      <c r="G35" s="58" t="s">
        <v>2441</v>
      </c>
      <c r="H35" s="58" t="s">
        <v>1600</v>
      </c>
      <c r="I35" s="58" t="s">
        <v>1259</v>
      </c>
      <c r="J35" s="58" t="s">
        <v>2442</v>
      </c>
      <c r="K35" s="74" t="s">
        <v>2443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105"/>
      <c r="X35" s="58" t="s">
        <v>2378</v>
      </c>
      <c r="Y35" s="52"/>
      <c r="Z35" s="52"/>
      <c r="AA35" s="52"/>
      <c r="AB35" s="52"/>
      <c r="AC35" s="52"/>
    </row>
    <row r="36" customHeight="1" ht="73.5">
      <c r="A36" s="73">
        <v>24</v>
      </c>
      <c r="B36" s="108"/>
      <c r="C36" s="108"/>
      <c r="D36" s="108"/>
      <c r="E36" s="58" t="s">
        <v>1643</v>
      </c>
      <c r="F36" s="58" t="s">
        <v>203</v>
      </c>
      <c r="G36" s="58" t="s">
        <v>1376</v>
      </c>
      <c r="H36" s="58" t="s">
        <v>2445</v>
      </c>
      <c r="I36" s="58" t="s">
        <v>2407</v>
      </c>
      <c r="J36" s="58" t="s">
        <v>2446</v>
      </c>
      <c r="K36" s="74" t="s">
        <v>2447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2448</v>
      </c>
      <c r="X36" s="58" t="s">
        <v>2378</v>
      </c>
      <c r="Y36" s="52"/>
      <c r="Z36" s="52"/>
      <c r="AA36" s="52"/>
      <c r="AB36" s="52"/>
      <c r="AC36" s="52"/>
    </row>
    <row r="37" customHeight="1" ht="73.5">
      <c r="A37" s="73">
        <v>25</v>
      </c>
      <c r="B37" s="108"/>
      <c r="C37" s="108"/>
      <c r="D37" s="108"/>
      <c r="E37" s="58" t="s">
        <v>2449</v>
      </c>
      <c r="F37" s="58" t="s">
        <v>203</v>
      </c>
      <c r="G37" s="58" t="s">
        <v>1390</v>
      </c>
      <c r="H37" s="58" t="s">
        <v>2450</v>
      </c>
      <c r="I37" s="58" t="s">
        <v>2407</v>
      </c>
      <c r="J37" s="58" t="s">
        <v>2451</v>
      </c>
      <c r="K37" s="74" t="s">
        <v>2447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2448</v>
      </c>
      <c r="X37" s="58" t="s">
        <v>2378</v>
      </c>
      <c r="Y37" s="52"/>
      <c r="Z37" s="52"/>
      <c r="AA37" s="52"/>
      <c r="AB37" s="52"/>
      <c r="AC37" s="52"/>
    </row>
    <row r="38" customHeight="1" ht="73.5">
      <c r="A38" s="73">
        <v>26</v>
      </c>
      <c r="B38" s="108"/>
      <c r="C38" s="108"/>
      <c r="D38" s="108"/>
      <c r="E38" s="58" t="s">
        <v>2452</v>
      </c>
      <c r="F38" s="58" t="s">
        <v>203</v>
      </c>
      <c r="G38" s="58" t="s">
        <v>1395</v>
      </c>
      <c r="H38" s="58" t="s">
        <v>2453</v>
      </c>
      <c r="I38" s="58" t="s">
        <v>2407</v>
      </c>
      <c r="J38" s="58" t="s">
        <v>2454</v>
      </c>
      <c r="K38" s="74" t="s">
        <v>2447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2448</v>
      </c>
      <c r="X38" s="58" t="s">
        <v>2378</v>
      </c>
      <c r="Y38" s="52"/>
      <c r="Z38" s="52"/>
      <c r="AA38" s="52"/>
      <c r="AB38" s="52"/>
      <c r="AC38" s="52"/>
    </row>
    <row r="39" customHeight="1" ht="73.5">
      <c r="A39" s="73">
        <v>27</v>
      </c>
      <c r="B39" s="108"/>
      <c r="C39" s="108"/>
      <c r="D39" s="108"/>
      <c r="E39" s="58" t="s">
        <v>2455</v>
      </c>
      <c r="F39" s="58" t="s">
        <v>203</v>
      </c>
      <c r="G39" s="58" t="s">
        <v>1400</v>
      </c>
      <c r="H39" s="58" t="s">
        <v>2456</v>
      </c>
      <c r="I39" s="58" t="s">
        <v>2407</v>
      </c>
      <c r="J39" s="58" t="s">
        <v>2457</v>
      </c>
      <c r="K39" s="74" t="s">
        <v>2447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2448</v>
      </c>
      <c r="X39" s="58" t="s">
        <v>2378</v>
      </c>
      <c r="Y39" s="52"/>
      <c r="Z39" s="52"/>
      <c r="AA39" s="52"/>
      <c r="AB39" s="52"/>
      <c r="AC39" s="52"/>
    </row>
    <row r="40" customHeight="1" ht="73.5">
      <c r="A40" s="73">
        <v>28</v>
      </c>
      <c r="B40" s="108"/>
      <c r="C40" s="108"/>
      <c r="D40" s="108"/>
      <c r="E40" s="58" t="s">
        <v>2458</v>
      </c>
      <c r="F40" s="58" t="s">
        <v>210</v>
      </c>
      <c r="G40" s="58" t="s">
        <v>1405</v>
      </c>
      <c r="H40" s="58" t="s">
        <v>2459</v>
      </c>
      <c r="I40" s="58" t="s">
        <v>2407</v>
      </c>
      <c r="J40" s="58" t="s">
        <v>2460</v>
      </c>
      <c r="K40" s="74" t="s">
        <v>2447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2461</v>
      </c>
      <c r="X40" s="58" t="s">
        <v>2378</v>
      </c>
      <c r="Y40" s="52"/>
      <c r="Z40" s="52"/>
      <c r="AA40" s="52"/>
      <c r="AB40" s="52"/>
      <c r="AC40" s="52"/>
    </row>
    <row r="41" customHeight="1" ht="100.5">
      <c r="A41" s="73">
        <v>29</v>
      </c>
      <c r="B41" s="108"/>
      <c r="C41" s="108"/>
      <c r="D41" s="108"/>
      <c r="E41" s="58" t="s">
        <v>2462</v>
      </c>
      <c r="F41" s="58" t="s">
        <v>203</v>
      </c>
      <c r="G41" s="58" t="s">
        <v>1412</v>
      </c>
      <c r="H41" s="58" t="s">
        <v>2463</v>
      </c>
      <c r="I41" s="58" t="s">
        <v>2407</v>
      </c>
      <c r="J41" s="58" t="s">
        <v>2464</v>
      </c>
      <c r="K41" s="74" t="s">
        <v>3060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77" t="s">
        <v>3061</v>
      </c>
      <c r="X41" s="58" t="s">
        <v>2378</v>
      </c>
      <c r="Y41" s="52"/>
      <c r="Z41" s="52"/>
      <c r="AA41" s="52"/>
      <c r="AB41" s="52"/>
      <c r="AC41" s="52"/>
    </row>
    <row r="42" customHeight="1" ht="87.0">
      <c r="A42" s="73">
        <v>30</v>
      </c>
      <c r="B42" s="108"/>
      <c r="C42" s="108"/>
      <c r="D42" s="108"/>
      <c r="E42" s="58" t="s">
        <v>2466</v>
      </c>
      <c r="F42" s="58" t="s">
        <v>203</v>
      </c>
      <c r="G42" s="58" t="s">
        <v>1423</v>
      </c>
      <c r="H42" s="58" t="s">
        <v>2467</v>
      </c>
      <c r="I42" s="58" t="s">
        <v>2407</v>
      </c>
      <c r="J42" s="58" t="s">
        <v>2468</v>
      </c>
      <c r="K42" s="74" t="s">
        <v>3062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3061</v>
      </c>
      <c r="X42" s="58" t="s">
        <v>2378</v>
      </c>
      <c r="Y42" s="52"/>
      <c r="Z42" s="52"/>
      <c r="AA42" s="52"/>
      <c r="AB42" s="52"/>
      <c r="AC42" s="52"/>
    </row>
    <row r="43" customHeight="1" ht="87.0">
      <c r="A43" s="73">
        <v>31</v>
      </c>
      <c r="B43" s="108"/>
      <c r="C43" s="108"/>
      <c r="D43" s="108"/>
      <c r="E43" s="58" t="s">
        <v>2470</v>
      </c>
      <c r="F43" s="58" t="s">
        <v>210</v>
      </c>
      <c r="G43" s="58" t="s">
        <v>1428</v>
      </c>
      <c r="H43" s="58" t="s">
        <v>2471</v>
      </c>
      <c r="I43" s="58" t="s">
        <v>2407</v>
      </c>
      <c r="J43" s="58" t="s">
        <v>2472</v>
      </c>
      <c r="K43" s="74" t="s">
        <v>2473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2448</v>
      </c>
      <c r="X43" s="58" t="s">
        <v>2378</v>
      </c>
      <c r="Y43" s="52"/>
      <c r="Z43" s="52"/>
      <c r="AA43" s="52"/>
      <c r="AB43" s="52"/>
      <c r="AC43" s="52"/>
    </row>
    <row r="44" customHeight="1" ht="87.0">
      <c r="A44" s="73">
        <v>32</v>
      </c>
      <c r="B44" s="108"/>
      <c r="C44" s="108"/>
      <c r="D44" s="108"/>
      <c r="E44" s="58" t="s">
        <v>2474</v>
      </c>
      <c r="F44" s="58" t="s">
        <v>210</v>
      </c>
      <c r="G44" s="58" t="s">
        <v>1434</v>
      </c>
      <c r="H44" s="58" t="s">
        <v>2475</v>
      </c>
      <c r="I44" s="58" t="s">
        <v>2407</v>
      </c>
      <c r="J44" s="58" t="s">
        <v>2476</v>
      </c>
      <c r="K44" s="74" t="s">
        <v>2473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2448</v>
      </c>
      <c r="X44" s="58" t="s">
        <v>2378</v>
      </c>
      <c r="Y44" s="52"/>
      <c r="Z44" s="52"/>
      <c r="AA44" s="52"/>
      <c r="AB44" s="52"/>
      <c r="AC44" s="52"/>
    </row>
    <row r="45" customHeight="1" ht="73.5">
      <c r="A45" s="73">
        <v>33</v>
      </c>
      <c r="B45" s="108"/>
      <c r="C45" s="108"/>
      <c r="D45" s="108"/>
      <c r="E45" s="58" t="s">
        <v>1660</v>
      </c>
      <c r="F45" s="58" t="s">
        <v>210</v>
      </c>
      <c r="G45" s="58" t="s">
        <v>1440</v>
      </c>
      <c r="H45" s="58" t="s">
        <v>2477</v>
      </c>
      <c r="I45" s="58" t="s">
        <v>2407</v>
      </c>
      <c r="J45" s="58" t="s">
        <v>2478</v>
      </c>
      <c r="K45" s="74" t="s">
        <v>2473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2448</v>
      </c>
      <c r="X45" s="58" t="s">
        <v>2378</v>
      </c>
      <c r="Y45" s="52"/>
      <c r="Z45" s="52"/>
      <c r="AA45" s="52"/>
      <c r="AB45" s="52"/>
      <c r="AC45" s="52"/>
    </row>
    <row r="46" customHeight="1" ht="73.5">
      <c r="A46" s="73">
        <v>34</v>
      </c>
      <c r="B46" s="108"/>
      <c r="C46" s="108"/>
      <c r="D46" s="108"/>
      <c r="E46" s="58" t="s">
        <v>2479</v>
      </c>
      <c r="F46" s="58" t="s">
        <v>210</v>
      </c>
      <c r="G46" s="58" t="s">
        <v>1445</v>
      </c>
      <c r="H46" s="58" t="s">
        <v>2480</v>
      </c>
      <c r="I46" s="58" t="s">
        <v>2407</v>
      </c>
      <c r="J46" s="58" t="s">
        <v>2481</v>
      </c>
      <c r="K46" s="74" t="s">
        <v>2473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2448</v>
      </c>
      <c r="X46" s="58" t="s">
        <v>2378</v>
      </c>
      <c r="Y46" s="52"/>
      <c r="Z46" s="52"/>
      <c r="AA46" s="52"/>
      <c r="AB46" s="52"/>
      <c r="AC46" s="52"/>
    </row>
    <row r="47" customHeight="1" ht="100.5">
      <c r="A47" s="73">
        <v>35</v>
      </c>
      <c r="B47" s="108"/>
      <c r="C47" s="108"/>
      <c r="D47" s="108"/>
      <c r="E47" s="58" t="s">
        <v>2482</v>
      </c>
      <c r="F47" s="58" t="s">
        <v>203</v>
      </c>
      <c r="G47" s="58" t="s">
        <v>1451</v>
      </c>
      <c r="H47" s="58" t="s">
        <v>2483</v>
      </c>
      <c r="I47" s="58" t="s">
        <v>2407</v>
      </c>
      <c r="J47" s="58" t="s">
        <v>2484</v>
      </c>
      <c r="K47" s="74" t="s">
        <v>3063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3061</v>
      </c>
      <c r="X47" s="58" t="s">
        <v>2378</v>
      </c>
      <c r="Y47" s="52"/>
      <c r="Z47" s="52"/>
      <c r="AA47" s="52"/>
      <c r="AB47" s="52"/>
      <c r="AC47" s="52"/>
    </row>
    <row r="48" customHeight="1" ht="87.0">
      <c r="A48" s="73">
        <v>36</v>
      </c>
      <c r="B48" s="108"/>
      <c r="C48" s="108"/>
      <c r="D48" s="108"/>
      <c r="E48" s="58" t="s">
        <v>2486</v>
      </c>
      <c r="F48" s="58" t="s">
        <v>210</v>
      </c>
      <c r="G48" s="58" t="s">
        <v>1458</v>
      </c>
      <c r="H48" s="58" t="s">
        <v>2487</v>
      </c>
      <c r="I48" s="58" t="s">
        <v>2407</v>
      </c>
      <c r="J48" s="58" t="s">
        <v>2488</v>
      </c>
      <c r="K48" s="74" t="s">
        <v>2489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2448</v>
      </c>
      <c r="X48" s="58" t="s">
        <v>2378</v>
      </c>
      <c r="Y48" s="52"/>
      <c r="Z48" s="52"/>
      <c r="AA48" s="52"/>
      <c r="AB48" s="52"/>
      <c r="AC48" s="52"/>
    </row>
    <row r="49" customHeight="1" ht="87.0">
      <c r="A49" s="73">
        <v>37</v>
      </c>
      <c r="B49" s="108"/>
      <c r="C49" s="108"/>
      <c r="D49" s="108"/>
      <c r="E49" s="58" t="s">
        <v>2490</v>
      </c>
      <c r="F49" s="58" t="s">
        <v>210</v>
      </c>
      <c r="G49" s="58" t="s">
        <v>1463</v>
      </c>
      <c r="H49" s="58" t="s">
        <v>2491</v>
      </c>
      <c r="I49" s="58" t="s">
        <v>2407</v>
      </c>
      <c r="J49" s="58" t="s">
        <v>2492</v>
      </c>
      <c r="K49" s="74" t="s">
        <v>2489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2448</v>
      </c>
      <c r="X49" s="58" t="s">
        <v>2378</v>
      </c>
      <c r="Y49" s="52"/>
      <c r="Z49" s="52"/>
      <c r="AA49" s="52"/>
      <c r="AB49" s="52"/>
      <c r="AC49" s="52"/>
    </row>
    <row r="50" customHeight="1" ht="73.5">
      <c r="A50" s="73">
        <v>38</v>
      </c>
      <c r="B50" s="108"/>
      <c r="C50" s="108"/>
      <c r="D50" s="108"/>
      <c r="E50" s="58" t="s">
        <v>1668</v>
      </c>
      <c r="F50" s="58" t="s">
        <v>210</v>
      </c>
      <c r="G50" s="58" t="s">
        <v>1469</v>
      </c>
      <c r="H50" s="58" t="s">
        <v>2493</v>
      </c>
      <c r="I50" s="58" t="s">
        <v>2407</v>
      </c>
      <c r="J50" s="58" t="s">
        <v>2494</v>
      </c>
      <c r="K50" s="74" t="s">
        <v>2489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2448</v>
      </c>
      <c r="X50" s="58" t="s">
        <v>2378</v>
      </c>
      <c r="Y50" s="52"/>
      <c r="Z50" s="52"/>
      <c r="AA50" s="52"/>
      <c r="AB50" s="52"/>
      <c r="AC50" s="52"/>
    </row>
    <row r="51" customHeight="1" ht="87.0">
      <c r="A51" s="73">
        <v>39</v>
      </c>
      <c r="B51" s="108"/>
      <c r="C51" s="108"/>
      <c r="D51" s="108"/>
      <c r="E51" s="58" t="s">
        <v>2495</v>
      </c>
      <c r="F51" s="58" t="s">
        <v>210</v>
      </c>
      <c r="G51" s="58" t="s">
        <v>1474</v>
      </c>
      <c r="H51" s="58" t="s">
        <v>2496</v>
      </c>
      <c r="I51" s="58" t="s">
        <v>2407</v>
      </c>
      <c r="J51" s="58" t="s">
        <v>2497</v>
      </c>
      <c r="K51" s="74" t="s">
        <v>2489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2448</v>
      </c>
      <c r="X51" s="58" t="s">
        <v>2378</v>
      </c>
      <c r="Y51" s="52"/>
      <c r="Z51" s="52"/>
      <c r="AA51" s="52"/>
      <c r="AB51" s="52"/>
      <c r="AC51" s="52"/>
    </row>
    <row r="52" customHeight="1" ht="127.5">
      <c r="A52" s="73">
        <v>40</v>
      </c>
      <c r="B52" s="108"/>
      <c r="C52" s="108"/>
      <c r="D52" s="108"/>
      <c r="E52" s="58" t="s">
        <v>2498</v>
      </c>
      <c r="F52" s="58" t="s">
        <v>203</v>
      </c>
      <c r="G52" s="58" t="s">
        <v>1479</v>
      </c>
      <c r="H52" s="58" t="s">
        <v>2499</v>
      </c>
      <c r="I52" s="58" t="s">
        <v>1259</v>
      </c>
      <c r="J52" s="58" t="s">
        <v>2500</v>
      </c>
      <c r="K52" s="74" t="s">
        <v>2501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3064</v>
      </c>
      <c r="X52" s="58" t="s">
        <v>2378</v>
      </c>
      <c r="Y52" s="52"/>
      <c r="Z52" s="52"/>
      <c r="AA52" s="52"/>
      <c r="AB52" s="52"/>
      <c r="AC52" s="52"/>
    </row>
    <row r="53" customHeight="1" ht="60.0">
      <c r="A53" s="73">
        <v>41</v>
      </c>
      <c r="B53" s="108"/>
      <c r="C53" s="108"/>
      <c r="D53" s="108"/>
      <c r="E53" s="58" t="s">
        <v>622</v>
      </c>
      <c r="F53" s="58" t="s">
        <v>210</v>
      </c>
      <c r="G53" s="58" t="s">
        <v>1484</v>
      </c>
      <c r="H53" s="58" t="s">
        <v>2502</v>
      </c>
      <c r="I53" s="58" t="s">
        <v>2407</v>
      </c>
      <c r="J53" s="58" t="s">
        <v>2503</v>
      </c>
      <c r="K53" s="74" t="s">
        <v>626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2504</v>
      </c>
      <c r="X53" s="58" t="s">
        <v>2378</v>
      </c>
      <c r="Y53" s="52"/>
      <c r="Z53" s="52"/>
      <c r="AA53" s="52"/>
      <c r="AB53" s="52"/>
      <c r="AC53" s="52"/>
    </row>
    <row r="54" customHeight="1" ht="60.0">
      <c r="A54" s="73">
        <v>42</v>
      </c>
      <c r="B54" s="108"/>
      <c r="C54" s="108"/>
      <c r="D54" s="108"/>
      <c r="E54" s="58" t="s">
        <v>628</v>
      </c>
      <c r="F54" s="58" t="s">
        <v>225</v>
      </c>
      <c r="G54" s="58" t="s">
        <v>1489</v>
      </c>
      <c r="H54" s="58" t="s">
        <v>2505</v>
      </c>
      <c r="I54" s="58" t="s">
        <v>2407</v>
      </c>
      <c r="J54" s="58" t="s">
        <v>2506</v>
      </c>
      <c r="K54" s="74" t="s">
        <v>2507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105"/>
      <c r="X54" s="58" t="s">
        <v>2378</v>
      </c>
      <c r="Y54" s="52"/>
      <c r="Z54" s="52"/>
      <c r="AA54" s="52"/>
      <c r="AB54" s="52"/>
      <c r="AC54" s="52"/>
    </row>
    <row r="55" customHeight="1" ht="60.0">
      <c r="A55" s="73">
        <v>43</v>
      </c>
      <c r="B55" s="108"/>
      <c r="C55" s="108"/>
      <c r="D55" s="108"/>
      <c r="E55" s="58" t="s">
        <v>633</v>
      </c>
      <c r="F55" s="58" t="s">
        <v>225</v>
      </c>
      <c r="G55" s="58" t="s">
        <v>1494</v>
      </c>
      <c r="H55" s="58" t="s">
        <v>2508</v>
      </c>
      <c r="I55" s="58" t="s">
        <v>2407</v>
      </c>
      <c r="J55" s="58" t="s">
        <v>2509</v>
      </c>
      <c r="K55" s="74" t="s">
        <v>2507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2510</v>
      </c>
      <c r="X55" s="58" t="s">
        <v>2378</v>
      </c>
      <c r="Y55" s="52"/>
      <c r="Z55" s="52"/>
      <c r="AA55" s="52"/>
      <c r="AB55" s="52"/>
      <c r="AC55" s="52"/>
    </row>
    <row r="56" customHeight="1" ht="73.5">
      <c r="A56" s="73">
        <v>44</v>
      </c>
      <c r="B56" s="108"/>
      <c r="C56" s="108"/>
      <c r="D56" s="110"/>
      <c r="E56" s="58" t="s">
        <v>2511</v>
      </c>
      <c r="F56" s="58" t="s">
        <v>225</v>
      </c>
      <c r="G56" s="58" t="s">
        <v>1499</v>
      </c>
      <c r="H56" s="58" t="s">
        <v>2512</v>
      </c>
      <c r="I56" s="58" t="s">
        <v>1259</v>
      </c>
      <c r="J56" s="58" t="s">
        <v>2513</v>
      </c>
      <c r="K56" s="74" t="s">
        <v>2514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3065</v>
      </c>
      <c r="X56" s="58" t="s">
        <v>2378</v>
      </c>
      <c r="Y56" s="52"/>
      <c r="Z56" s="52"/>
      <c r="AA56" s="52"/>
      <c r="AB56" s="52"/>
      <c r="AC56" s="52"/>
    </row>
    <row r="57" customHeight="1" ht="168.0">
      <c r="A57" s="73">
        <v>45</v>
      </c>
      <c r="B57" s="108"/>
      <c r="C57" s="108"/>
      <c r="D57" s="108" t="s">
        <v>369</v>
      </c>
      <c r="E57" s="58" t="s">
        <v>1034</v>
      </c>
      <c r="F57" s="58" t="s">
        <v>203</v>
      </c>
      <c r="G57" s="58" t="s">
        <v>1504</v>
      </c>
      <c r="H57" s="58" t="s">
        <v>2516</v>
      </c>
      <c r="I57" s="58" t="s">
        <v>1259</v>
      </c>
      <c r="J57" s="58" t="s">
        <v>2517</v>
      </c>
      <c r="K57" s="74" t="s">
        <v>2518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2519</v>
      </c>
      <c r="X57" s="58" t="s">
        <v>2378</v>
      </c>
      <c r="Y57" s="52"/>
      <c r="Z57" s="52"/>
      <c r="AA57" s="52"/>
      <c r="AB57" s="52"/>
      <c r="AC57" s="52"/>
    </row>
    <row r="58" customHeight="1" ht="114.0">
      <c r="A58" s="73">
        <v>46</v>
      </c>
      <c r="B58" s="108"/>
      <c r="C58" s="108"/>
      <c r="D58" s="108"/>
      <c r="E58" s="58" t="s">
        <v>1040</v>
      </c>
      <c r="F58" s="58" t="s">
        <v>203</v>
      </c>
      <c r="G58" s="58" t="s">
        <v>1508</v>
      </c>
      <c r="H58" s="58" t="s">
        <v>2520</v>
      </c>
      <c r="I58" s="58" t="s">
        <v>1259</v>
      </c>
      <c r="J58" s="58" t="s">
        <v>2521</v>
      </c>
      <c r="K58" s="74" t="s">
        <v>2522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2523</v>
      </c>
      <c r="X58" s="58" t="s">
        <v>2378</v>
      </c>
      <c r="Y58" s="52"/>
      <c r="Z58" s="52"/>
      <c r="AA58" s="52"/>
      <c r="AB58" s="52"/>
      <c r="AC58" s="52"/>
    </row>
    <row r="59" customHeight="1" ht="100.5">
      <c r="A59" s="73">
        <v>47</v>
      </c>
      <c r="B59" s="108"/>
      <c r="C59" s="108"/>
      <c r="D59" s="108"/>
      <c r="E59" s="58" t="s">
        <v>2524</v>
      </c>
      <c r="F59" s="58" t="s">
        <v>203</v>
      </c>
      <c r="G59" s="58" t="s">
        <v>1514</v>
      </c>
      <c r="H59" s="58" t="s">
        <v>2525</v>
      </c>
      <c r="I59" s="58" t="s">
        <v>2526</v>
      </c>
      <c r="J59" s="58" t="s">
        <v>2527</v>
      </c>
      <c r="K59" s="74" t="s">
        <v>2528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2529</v>
      </c>
      <c r="X59" s="58" t="s">
        <v>2378</v>
      </c>
      <c r="Y59" s="52"/>
      <c r="Z59" s="52"/>
      <c r="AA59" s="52"/>
      <c r="AB59" s="52"/>
      <c r="AC59" s="52"/>
    </row>
    <row r="60" customHeight="1" ht="100.5">
      <c r="A60" s="73">
        <v>48</v>
      </c>
      <c r="B60" s="108"/>
      <c r="C60" s="108"/>
      <c r="D60" s="108"/>
      <c r="E60" s="58" t="s">
        <v>2530</v>
      </c>
      <c r="F60" s="58" t="s">
        <v>210</v>
      </c>
      <c r="G60" s="58" t="s">
        <v>1519</v>
      </c>
      <c r="H60" s="58" t="s">
        <v>2531</v>
      </c>
      <c r="I60" s="58" t="s">
        <v>1259</v>
      </c>
      <c r="J60" s="58" t="s">
        <v>2532</v>
      </c>
      <c r="K60" s="74" t="s">
        <v>2533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77" t="s">
        <v>2534</v>
      </c>
      <c r="X60" s="58" t="s">
        <v>2378</v>
      </c>
      <c r="Y60" s="52"/>
      <c r="Z60" s="52"/>
      <c r="AA60" s="52"/>
      <c r="AB60" s="52"/>
      <c r="AC60" s="52"/>
    </row>
    <row r="61" customHeight="1" ht="73.5">
      <c r="A61" s="73">
        <v>49</v>
      </c>
      <c r="B61" s="108"/>
      <c r="C61" s="108"/>
      <c r="D61" s="108"/>
      <c r="E61" s="58" t="s">
        <v>2535</v>
      </c>
      <c r="F61" s="58" t="s">
        <v>210</v>
      </c>
      <c r="G61" s="58" t="s">
        <v>1524</v>
      </c>
      <c r="H61" s="58" t="s">
        <v>2536</v>
      </c>
      <c r="I61" s="58" t="s">
        <v>1259</v>
      </c>
      <c r="J61" s="58" t="s">
        <v>2537</v>
      </c>
      <c r="K61" s="74" t="s">
        <v>2538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105"/>
      <c r="X61" s="58" t="s">
        <v>2378</v>
      </c>
      <c r="Y61" s="52"/>
      <c r="Z61" s="52"/>
      <c r="AA61" s="52"/>
      <c r="AB61" s="52"/>
      <c r="AC61" s="52"/>
    </row>
    <row r="62" customHeight="1" ht="73.5">
      <c r="A62" s="73">
        <v>50</v>
      </c>
      <c r="B62" s="108"/>
      <c r="C62" s="108"/>
      <c r="D62" s="110"/>
      <c r="E62" s="58" t="s">
        <v>2539</v>
      </c>
      <c r="F62" s="58" t="s">
        <v>210</v>
      </c>
      <c r="G62" s="58" t="s">
        <v>1529</v>
      </c>
      <c r="H62" s="58" t="s">
        <v>2540</v>
      </c>
      <c r="I62" s="58" t="s">
        <v>1259</v>
      </c>
      <c r="J62" s="58" t="s">
        <v>2541</v>
      </c>
      <c r="K62" s="74" t="s">
        <v>2542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3066</v>
      </c>
      <c r="X62" s="58" t="s">
        <v>2378</v>
      </c>
      <c r="Y62" s="52"/>
      <c r="Z62" s="52"/>
      <c r="AA62" s="52"/>
      <c r="AB62" s="52"/>
      <c r="AC62" s="52"/>
    </row>
    <row r="63" customHeight="1" ht="73.5">
      <c r="A63" s="73">
        <v>51</v>
      </c>
      <c r="B63" s="108"/>
      <c r="C63" s="108"/>
      <c r="D63" s="108" t="s">
        <v>2544</v>
      </c>
      <c r="E63" s="58" t="s">
        <v>2545</v>
      </c>
      <c r="F63" s="58" t="s">
        <v>203</v>
      </c>
      <c r="G63" s="58" t="s">
        <v>1535</v>
      </c>
      <c r="H63" s="58" t="s">
        <v>2546</v>
      </c>
      <c r="I63" s="58" t="s">
        <v>2526</v>
      </c>
      <c r="J63" s="58" t="s">
        <v>2547</v>
      </c>
      <c r="K63" s="104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2548</v>
      </c>
      <c r="X63" s="58" t="s">
        <v>2378</v>
      </c>
      <c r="Y63" s="52"/>
      <c r="Z63" s="52"/>
      <c r="AA63" s="52"/>
      <c r="AB63" s="52"/>
      <c r="AC63" s="52"/>
    </row>
    <row r="64" customHeight="1" ht="73.5">
      <c r="A64" s="73">
        <v>52</v>
      </c>
      <c r="B64" s="108"/>
      <c r="C64" s="110"/>
      <c r="D64" s="110"/>
      <c r="E64" s="58" t="s">
        <v>2549</v>
      </c>
      <c r="F64" s="58" t="s">
        <v>210</v>
      </c>
      <c r="G64" s="58" t="s">
        <v>1541</v>
      </c>
      <c r="H64" s="58" t="s">
        <v>2550</v>
      </c>
      <c r="I64" s="58" t="s">
        <v>2551</v>
      </c>
      <c r="J64" s="58" t="s">
        <v>2552</v>
      </c>
      <c r="K64" s="104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2553</v>
      </c>
      <c r="X64" s="58" t="s">
        <v>2378</v>
      </c>
      <c r="Y64" s="52"/>
      <c r="Z64" s="52"/>
      <c r="AA64" s="52"/>
      <c r="AB64" s="52"/>
      <c r="AC64" s="52"/>
    </row>
    <row r="65" customHeight="1" ht="48.6">
      <c r="A65" s="73">
        <v>53</v>
      </c>
      <c r="B65" s="108"/>
      <c r="C65" s="108" t="s">
        <v>96</v>
      </c>
      <c r="D65" s="109" t="s">
        <v>653</v>
      </c>
      <c r="E65" s="58" t="s">
        <v>2554</v>
      </c>
      <c r="F65" s="58" t="s">
        <v>210</v>
      </c>
      <c r="G65" s="58" t="s">
        <v>1547</v>
      </c>
      <c r="H65" s="58" t="s">
        <v>1304</v>
      </c>
      <c r="I65" s="58" t="s">
        <v>1259</v>
      </c>
      <c r="J65" s="58" t="s">
        <v>1305</v>
      </c>
      <c r="K65" s="74" t="s">
        <v>2555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105"/>
      <c r="X65" s="58" t="s">
        <v>2350</v>
      </c>
      <c r="Y65" s="52"/>
      <c r="Z65" s="52"/>
      <c r="AA65" s="52"/>
      <c r="AB65" s="52"/>
      <c r="AC65" s="52"/>
    </row>
    <row r="66" customHeight="1" ht="48.6">
      <c r="A66" s="73">
        <v>54</v>
      </c>
      <c r="B66" s="108"/>
      <c r="C66" s="108"/>
      <c r="D66" s="108" t="s">
        <v>659</v>
      </c>
      <c r="E66" s="58" t="s">
        <v>660</v>
      </c>
      <c r="F66" s="58" t="s">
        <v>225</v>
      </c>
      <c r="G66" s="58" t="s">
        <v>1552</v>
      </c>
      <c r="H66" s="58" t="s">
        <v>662</v>
      </c>
      <c r="I66" s="58" t="s">
        <v>1259</v>
      </c>
      <c r="J66" s="58" t="s">
        <v>1309</v>
      </c>
      <c r="K66" s="74" t="s">
        <v>1310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105"/>
      <c r="X66" s="58" t="s">
        <v>2350</v>
      </c>
      <c r="Y66" s="52"/>
      <c r="Z66" s="52"/>
      <c r="AA66" s="52"/>
      <c r="AB66" s="52"/>
      <c r="AC66" s="52"/>
    </row>
    <row r="67" customHeight="1" ht="48.6">
      <c r="A67" s="73">
        <v>55</v>
      </c>
      <c r="B67" s="108"/>
      <c r="C67" s="108"/>
      <c r="D67" s="108"/>
      <c r="E67" s="58" t="s">
        <v>2556</v>
      </c>
      <c r="F67" s="58" t="s">
        <v>203</v>
      </c>
      <c r="G67" s="58" t="s">
        <v>1557</v>
      </c>
      <c r="H67" s="58" t="s">
        <v>1313</v>
      </c>
      <c r="I67" s="58" t="s">
        <v>1259</v>
      </c>
      <c r="J67" s="58" t="s">
        <v>1314</v>
      </c>
      <c r="K67" s="74" t="s">
        <v>3067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2558</v>
      </c>
      <c r="X67" s="58" t="s">
        <v>2350</v>
      </c>
      <c r="Y67" s="52"/>
      <c r="Z67" s="52"/>
      <c r="AA67" s="52"/>
      <c r="AB67" s="52"/>
      <c r="AC67" s="52"/>
    </row>
    <row r="68" customHeight="1" ht="48.6">
      <c r="A68" s="73">
        <v>56</v>
      </c>
      <c r="B68" s="108"/>
      <c r="C68" s="108"/>
      <c r="D68" s="108"/>
      <c r="E68" s="58" t="s">
        <v>665</v>
      </c>
      <c r="F68" s="58" t="s">
        <v>203</v>
      </c>
      <c r="G68" s="58" t="s">
        <v>1563</v>
      </c>
      <c r="H68" s="58" t="s">
        <v>2559</v>
      </c>
      <c r="I68" s="58" t="s">
        <v>1259</v>
      </c>
      <c r="J68" s="58" t="s">
        <v>1319</v>
      </c>
      <c r="K68" s="74" t="s">
        <v>3068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105"/>
      <c r="X68" s="58" t="s">
        <v>2350</v>
      </c>
      <c r="Y68" s="52"/>
      <c r="Z68" s="52"/>
      <c r="AA68" s="52"/>
      <c r="AB68" s="52"/>
      <c r="AC68" s="52"/>
    </row>
    <row r="69" customHeight="1" ht="48.6">
      <c r="A69" s="73">
        <v>57</v>
      </c>
      <c r="B69" s="108"/>
      <c r="C69" s="108"/>
      <c r="D69" s="108"/>
      <c r="E69" s="58" t="s">
        <v>2562</v>
      </c>
      <c r="F69" s="58" t="s">
        <v>203</v>
      </c>
      <c r="G69" s="58" t="s">
        <v>1568</v>
      </c>
      <c r="H69" s="58" t="s">
        <v>2563</v>
      </c>
      <c r="I69" s="58" t="s">
        <v>1259</v>
      </c>
      <c r="J69" s="58" t="s">
        <v>2564</v>
      </c>
      <c r="K69" s="74" t="s">
        <v>3069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3070</v>
      </c>
      <c r="X69" s="58" t="s">
        <v>2350</v>
      </c>
      <c r="Y69" s="52"/>
      <c r="Z69" s="52"/>
      <c r="AA69" s="52"/>
      <c r="AB69" s="52"/>
      <c r="AC69" s="52"/>
    </row>
    <row r="70" customHeight="1" ht="48.6">
      <c r="A70" s="73">
        <v>58</v>
      </c>
      <c r="B70" s="108"/>
      <c r="C70" s="108"/>
      <c r="D70" s="108"/>
      <c r="E70" s="58" t="s">
        <v>2567</v>
      </c>
      <c r="F70" s="58" t="s">
        <v>210</v>
      </c>
      <c r="G70" s="58" t="s">
        <v>1575</v>
      </c>
      <c r="H70" s="58" t="s">
        <v>2568</v>
      </c>
      <c r="I70" s="58" t="s">
        <v>1259</v>
      </c>
      <c r="J70" s="58" t="s">
        <v>1327</v>
      </c>
      <c r="K70" s="74" t="s">
        <v>3071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105"/>
      <c r="X70" s="58" t="s">
        <v>2350</v>
      </c>
      <c r="Y70" s="52"/>
      <c r="Z70" s="52"/>
      <c r="AA70" s="52"/>
      <c r="AB70" s="52"/>
      <c r="AC70" s="52"/>
    </row>
    <row r="71" customHeight="1" ht="48.6">
      <c r="A71" s="73">
        <v>59</v>
      </c>
      <c r="B71" s="108"/>
      <c r="C71" s="108"/>
      <c r="D71" s="108"/>
      <c r="E71" s="58" t="s">
        <v>2571</v>
      </c>
      <c r="F71" s="58" t="s">
        <v>210</v>
      </c>
      <c r="G71" s="58" t="s">
        <v>1581</v>
      </c>
      <c r="H71" s="58" t="s">
        <v>1330</v>
      </c>
      <c r="I71" s="58" t="s">
        <v>1259</v>
      </c>
      <c r="J71" s="58" t="s">
        <v>1331</v>
      </c>
      <c r="K71" s="74" t="s">
        <v>3072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105"/>
      <c r="X71" s="58" t="s">
        <v>2350</v>
      </c>
      <c r="Y71" s="52"/>
      <c r="Z71" s="52"/>
      <c r="AA71" s="52"/>
      <c r="AB71" s="52"/>
      <c r="AC71" s="52"/>
    </row>
    <row r="72" customHeight="1" ht="48.6">
      <c r="A72" s="73">
        <v>60</v>
      </c>
      <c r="B72" s="108"/>
      <c r="C72" s="108"/>
      <c r="D72" s="108"/>
      <c r="E72" s="58" t="s">
        <v>2574</v>
      </c>
      <c r="F72" s="58" t="s">
        <v>225</v>
      </c>
      <c r="G72" s="58" t="s">
        <v>1584</v>
      </c>
      <c r="H72" s="58" t="s">
        <v>2575</v>
      </c>
      <c r="I72" s="58" t="s">
        <v>1259</v>
      </c>
      <c r="J72" s="58" t="s">
        <v>1335</v>
      </c>
      <c r="K72" s="74" t="s">
        <v>3073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105"/>
      <c r="X72" s="58" t="s">
        <v>2350</v>
      </c>
      <c r="Y72" s="52"/>
      <c r="Z72" s="52"/>
      <c r="AA72" s="52"/>
      <c r="AB72" s="52"/>
      <c r="AC72" s="52"/>
    </row>
    <row r="73" customHeight="1" ht="48.6">
      <c r="A73" s="73">
        <v>61</v>
      </c>
      <c r="B73" s="108"/>
      <c r="C73" s="108"/>
      <c r="D73" s="108"/>
      <c r="E73" s="58" t="s">
        <v>2580</v>
      </c>
      <c r="F73" s="58" t="s">
        <v>225</v>
      </c>
      <c r="G73" s="58" t="s">
        <v>1589</v>
      </c>
      <c r="H73" s="58" t="s">
        <v>2581</v>
      </c>
      <c r="I73" s="58" t="s">
        <v>1259</v>
      </c>
      <c r="J73" s="58" t="s">
        <v>2582</v>
      </c>
      <c r="K73" s="74" t="s">
        <v>2583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105"/>
      <c r="X73" s="58" t="s">
        <v>2350</v>
      </c>
      <c r="Y73" s="52"/>
      <c r="Z73" s="52"/>
      <c r="AA73" s="52"/>
      <c r="AB73" s="52"/>
      <c r="AC73" s="52"/>
    </row>
    <row r="74" customHeight="1" ht="73.5">
      <c r="A74" s="73">
        <v>62</v>
      </c>
      <c r="B74" s="108"/>
      <c r="C74" s="108"/>
      <c r="D74" s="108"/>
      <c r="E74" s="58" t="s">
        <v>677</v>
      </c>
      <c r="F74" s="58" t="s">
        <v>203</v>
      </c>
      <c r="G74" s="58" t="s">
        <v>1594</v>
      </c>
      <c r="H74" s="58" t="s">
        <v>679</v>
      </c>
      <c r="I74" s="58" t="s">
        <v>1259</v>
      </c>
      <c r="J74" s="58" t="s">
        <v>1339</v>
      </c>
      <c r="K74" s="74" t="s">
        <v>3074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105"/>
      <c r="X74" s="58" t="s">
        <v>2350</v>
      </c>
      <c r="Y74" s="52"/>
      <c r="Z74" s="52"/>
      <c r="AA74" s="52"/>
      <c r="AB74" s="52"/>
      <c r="AC74" s="52"/>
    </row>
    <row r="75" customHeight="1" ht="48.6">
      <c r="A75" s="73">
        <v>63</v>
      </c>
      <c r="B75" s="108"/>
      <c r="C75" s="108"/>
      <c r="D75" s="108"/>
      <c r="E75" s="58" t="s">
        <v>683</v>
      </c>
      <c r="F75" s="58" t="s">
        <v>210</v>
      </c>
      <c r="G75" s="58" t="s">
        <v>1599</v>
      </c>
      <c r="H75" s="58" t="s">
        <v>685</v>
      </c>
      <c r="I75" s="58" t="s">
        <v>1259</v>
      </c>
      <c r="J75" s="58" t="s">
        <v>2586</v>
      </c>
      <c r="K75" s="74" t="s">
        <v>687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105"/>
      <c r="X75" s="58" t="s">
        <v>2350</v>
      </c>
      <c r="Y75" s="52"/>
      <c r="Z75" s="52"/>
      <c r="AA75" s="52"/>
      <c r="AB75" s="52"/>
      <c r="AC75" s="52"/>
    </row>
    <row r="76" customHeight="1" ht="48.6">
      <c r="A76" s="73">
        <v>64</v>
      </c>
      <c r="B76" s="108"/>
      <c r="C76" s="108"/>
      <c r="D76" s="108"/>
      <c r="E76" s="58" t="s">
        <v>2587</v>
      </c>
      <c r="F76" s="58" t="s">
        <v>225</v>
      </c>
      <c r="G76" s="58" t="s">
        <v>1604</v>
      </c>
      <c r="H76" s="58" t="s">
        <v>2588</v>
      </c>
      <c r="I76" s="58" t="s">
        <v>1259</v>
      </c>
      <c r="J76" s="58" t="s">
        <v>2589</v>
      </c>
      <c r="K76" s="104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77" t="s">
        <v>2590</v>
      </c>
      <c r="X76" s="58" t="s">
        <v>2350</v>
      </c>
      <c r="Y76" s="52"/>
      <c r="Z76" s="52"/>
      <c r="AA76" s="52"/>
      <c r="AB76" s="52"/>
      <c r="AC76" s="52"/>
    </row>
    <row r="77" customHeight="1" ht="48.6">
      <c r="A77" s="73">
        <v>65</v>
      </c>
      <c r="B77" s="108"/>
      <c r="C77" s="110"/>
      <c r="D77" s="110"/>
      <c r="E77" s="58" t="s">
        <v>688</v>
      </c>
      <c r="F77" s="58" t="s">
        <v>210</v>
      </c>
      <c r="G77" s="58" t="s">
        <v>1609</v>
      </c>
      <c r="H77" s="58" t="s">
        <v>690</v>
      </c>
      <c r="I77" s="58" t="s">
        <v>1259</v>
      </c>
      <c r="J77" s="58" t="s">
        <v>1344</v>
      </c>
      <c r="K77" s="74" t="s">
        <v>3075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105"/>
      <c r="X77" s="58" t="s">
        <v>2350</v>
      </c>
      <c r="Y77" s="52"/>
      <c r="Z77" s="52"/>
      <c r="AA77" s="52"/>
      <c r="AB77" s="52"/>
      <c r="AC77" s="52"/>
    </row>
    <row r="78" customHeight="1" ht="141.0">
      <c r="A78" s="73">
        <v>66</v>
      </c>
      <c r="B78" s="108"/>
      <c r="C78" s="108" t="s">
        <v>97</v>
      </c>
      <c r="D78" s="108" t="s">
        <v>268</v>
      </c>
      <c r="E78" s="58" t="s">
        <v>693</v>
      </c>
      <c r="F78" s="58" t="s">
        <v>203</v>
      </c>
      <c r="G78" s="58" t="s">
        <v>1614</v>
      </c>
      <c r="H78" s="58" t="s">
        <v>695</v>
      </c>
      <c r="I78" s="58" t="s">
        <v>1259</v>
      </c>
      <c r="J78" s="58" t="s">
        <v>1350</v>
      </c>
      <c r="K78" s="74" t="s">
        <v>2593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77" t="s">
        <v>2594</v>
      </c>
      <c r="X78" s="58" t="s">
        <v>2350</v>
      </c>
      <c r="Y78" s="52"/>
      <c r="Z78" s="52"/>
      <c r="AA78" s="52"/>
      <c r="AB78" s="52"/>
      <c r="AC78" s="52"/>
    </row>
    <row r="79" customHeight="1" ht="60.0">
      <c r="A79" s="73">
        <v>67</v>
      </c>
      <c r="B79" s="108"/>
      <c r="C79" s="108"/>
      <c r="D79" s="108"/>
      <c r="E79" s="58" t="s">
        <v>2595</v>
      </c>
      <c r="F79" s="58" t="s">
        <v>203</v>
      </c>
      <c r="G79" s="58" t="s">
        <v>1619</v>
      </c>
      <c r="H79" s="58" t="s">
        <v>2596</v>
      </c>
      <c r="I79" s="58" t="s">
        <v>1259</v>
      </c>
      <c r="J79" s="58" t="s">
        <v>2597</v>
      </c>
      <c r="K79" s="74" t="s">
        <v>2598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2599</v>
      </c>
      <c r="X79" s="58" t="s">
        <v>2350</v>
      </c>
      <c r="Y79" s="52"/>
      <c r="Z79" s="52"/>
      <c r="AA79" s="52"/>
      <c r="AB79" s="52"/>
      <c r="AC79" s="52"/>
    </row>
    <row r="80" customHeight="1" ht="48.6">
      <c r="A80" s="73">
        <v>68</v>
      </c>
      <c r="B80" s="108"/>
      <c r="C80" s="108"/>
      <c r="D80" s="108"/>
      <c r="E80" s="58" t="s">
        <v>2600</v>
      </c>
      <c r="F80" s="58" t="s">
        <v>203</v>
      </c>
      <c r="G80" s="58" t="s">
        <v>1624</v>
      </c>
      <c r="H80" s="58" t="s">
        <v>2601</v>
      </c>
      <c r="I80" s="58" t="s">
        <v>1259</v>
      </c>
      <c r="J80" s="58" t="s">
        <v>2602</v>
      </c>
      <c r="K80" s="74" t="s">
        <v>2603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105"/>
      <c r="X80" s="58" t="s">
        <v>2350</v>
      </c>
      <c r="Y80" s="52"/>
      <c r="Z80" s="52"/>
      <c r="AA80" s="52"/>
      <c r="AB80" s="52"/>
      <c r="AC80" s="52"/>
    </row>
    <row r="81" customHeight="1" ht="48.6">
      <c r="A81" s="73">
        <v>69</v>
      </c>
      <c r="B81" s="108"/>
      <c r="C81" s="108"/>
      <c r="D81" s="108"/>
      <c r="E81" s="58" t="s">
        <v>2604</v>
      </c>
      <c r="F81" s="58" t="s">
        <v>203</v>
      </c>
      <c r="G81" s="58" t="s">
        <v>1629</v>
      </c>
      <c r="H81" s="58" t="s">
        <v>2605</v>
      </c>
      <c r="I81" s="58" t="s">
        <v>2606</v>
      </c>
      <c r="J81" s="58" t="s">
        <v>2607</v>
      </c>
      <c r="K81" s="74" t="s">
        <v>2608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105"/>
      <c r="X81" s="58" t="s">
        <v>2350</v>
      </c>
      <c r="Y81" s="52"/>
      <c r="Z81" s="52"/>
      <c r="AA81" s="52"/>
      <c r="AB81" s="52"/>
      <c r="AC81" s="52"/>
    </row>
    <row r="82" customHeight="1" ht="48.6">
      <c r="A82" s="73">
        <v>70</v>
      </c>
      <c r="B82" s="108"/>
      <c r="C82" s="108"/>
      <c r="D82" s="108"/>
      <c r="E82" s="58" t="s">
        <v>2609</v>
      </c>
      <c r="F82" s="58" t="s">
        <v>210</v>
      </c>
      <c r="G82" s="58" t="s">
        <v>1634</v>
      </c>
      <c r="H82" s="58" t="s">
        <v>2610</v>
      </c>
      <c r="I82" s="58" t="s">
        <v>2611</v>
      </c>
      <c r="J82" s="58" t="s">
        <v>2612</v>
      </c>
      <c r="K82" s="74" t="s">
        <v>2613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105"/>
      <c r="X82" s="58" t="s">
        <v>2350</v>
      </c>
      <c r="Y82" s="52"/>
      <c r="Z82" s="52"/>
      <c r="AA82" s="52"/>
      <c r="AB82" s="52"/>
      <c r="AC82" s="52"/>
    </row>
    <row r="83" customHeight="1" ht="48.6">
      <c r="A83" s="73">
        <v>71</v>
      </c>
      <c r="B83" s="108"/>
      <c r="C83" s="108"/>
      <c r="D83" s="108"/>
      <c r="E83" s="58" t="s">
        <v>2614</v>
      </c>
      <c r="F83" s="58" t="s">
        <v>210</v>
      </c>
      <c r="G83" s="58" t="s">
        <v>1639</v>
      </c>
      <c r="H83" s="58" t="s">
        <v>2615</v>
      </c>
      <c r="I83" s="58" t="s">
        <v>2355</v>
      </c>
      <c r="J83" s="58" t="s">
        <v>2616</v>
      </c>
      <c r="K83" s="74" t="s">
        <v>735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105"/>
      <c r="X83" s="58" t="s">
        <v>2350</v>
      </c>
      <c r="Y83" s="52"/>
      <c r="Z83" s="52"/>
      <c r="AA83" s="52"/>
      <c r="AB83" s="52"/>
      <c r="AC83" s="52"/>
    </row>
    <row r="84" customHeight="1" ht="48.6">
      <c r="A84" s="73">
        <v>72</v>
      </c>
      <c r="B84" s="108"/>
      <c r="C84" s="108"/>
      <c r="D84" s="108"/>
      <c r="E84" s="58" t="s">
        <v>2617</v>
      </c>
      <c r="F84" s="58" t="s">
        <v>210</v>
      </c>
      <c r="G84" s="58" t="s">
        <v>1644</v>
      </c>
      <c r="H84" s="58" t="s">
        <v>2618</v>
      </c>
      <c r="I84" s="58" t="s">
        <v>2355</v>
      </c>
      <c r="J84" s="58" t="s">
        <v>2619</v>
      </c>
      <c r="K84" s="74" t="s">
        <v>2620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105"/>
      <c r="X84" s="58" t="s">
        <v>2350</v>
      </c>
      <c r="Y84" s="52"/>
      <c r="Z84" s="52"/>
      <c r="AA84" s="52"/>
      <c r="AB84" s="52"/>
      <c r="AC84" s="52"/>
    </row>
    <row r="85" customHeight="1" ht="48.6">
      <c r="A85" s="73">
        <v>73</v>
      </c>
      <c r="B85" s="108"/>
      <c r="C85" s="108"/>
      <c r="D85" s="108"/>
      <c r="E85" s="58" t="s">
        <v>2621</v>
      </c>
      <c r="F85" s="58" t="s">
        <v>203</v>
      </c>
      <c r="G85" s="58" t="s">
        <v>1649</v>
      </c>
      <c r="H85" s="58" t="s">
        <v>2622</v>
      </c>
      <c r="I85" s="58" t="s">
        <v>2361</v>
      </c>
      <c r="J85" s="58" t="s">
        <v>2623</v>
      </c>
      <c r="K85" s="74" t="s">
        <v>2624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105"/>
      <c r="X85" s="58" t="s">
        <v>2350</v>
      </c>
      <c r="Y85" s="52"/>
      <c r="Z85" s="52"/>
      <c r="AA85" s="52"/>
      <c r="AB85" s="52"/>
      <c r="AC85" s="52"/>
    </row>
    <row r="86" customHeight="1" ht="60.0">
      <c r="A86" s="73">
        <v>74</v>
      </c>
      <c r="B86" s="108"/>
      <c r="C86" s="108"/>
      <c r="D86" s="108"/>
      <c r="E86" s="58" t="s">
        <v>2625</v>
      </c>
      <c r="F86" s="58" t="s">
        <v>225</v>
      </c>
      <c r="G86" s="58" t="s">
        <v>1653</v>
      </c>
      <c r="H86" s="58" t="s">
        <v>2626</v>
      </c>
      <c r="I86" s="58" t="s">
        <v>1259</v>
      </c>
      <c r="J86" s="58" t="s">
        <v>2627</v>
      </c>
      <c r="K86" s="74" t="s">
        <v>2628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77" t="s">
        <v>2629</v>
      </c>
      <c r="X86" s="58" t="s">
        <v>2350</v>
      </c>
      <c r="Y86" s="52"/>
      <c r="Z86" s="52"/>
      <c r="AA86" s="52"/>
      <c r="AB86" s="52"/>
      <c r="AC86" s="52"/>
    </row>
    <row r="87" customHeight="1" ht="48.6">
      <c r="A87" s="73">
        <v>75</v>
      </c>
      <c r="B87" s="108"/>
      <c r="C87" s="108"/>
      <c r="D87" s="110"/>
      <c r="E87" s="58" t="s">
        <v>2630</v>
      </c>
      <c r="F87" s="58" t="s">
        <v>210</v>
      </c>
      <c r="G87" s="58" t="s">
        <v>1657</v>
      </c>
      <c r="H87" s="58" t="s">
        <v>2631</v>
      </c>
      <c r="I87" s="58" t="s">
        <v>2632</v>
      </c>
      <c r="J87" s="58" t="s">
        <v>2633</v>
      </c>
      <c r="K87" s="74" t="s">
        <v>2634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105"/>
      <c r="X87" s="58" t="s">
        <v>2350</v>
      </c>
      <c r="Y87" s="52"/>
      <c r="Z87" s="52"/>
      <c r="AA87" s="52"/>
      <c r="AB87" s="52"/>
      <c r="AC87" s="52"/>
    </row>
    <row r="88" customHeight="1" ht="60.0">
      <c r="A88" s="73">
        <v>76</v>
      </c>
      <c r="B88" s="108"/>
      <c r="C88" s="108"/>
      <c r="D88" s="108" t="s">
        <v>784</v>
      </c>
      <c r="E88" s="58" t="s">
        <v>785</v>
      </c>
      <c r="F88" s="58" t="s">
        <v>210</v>
      </c>
      <c r="G88" s="58" t="s">
        <v>1661</v>
      </c>
      <c r="H88" s="58" t="s">
        <v>787</v>
      </c>
      <c r="I88" s="58" t="s">
        <v>1259</v>
      </c>
      <c r="J88" s="58" t="s">
        <v>2635</v>
      </c>
      <c r="K88" s="74" t="s">
        <v>2636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2637</v>
      </c>
      <c r="X88" s="58" t="s">
        <v>2350</v>
      </c>
      <c r="Y88" s="52"/>
      <c r="Z88" s="52"/>
      <c r="AA88" s="52"/>
      <c r="AB88" s="52"/>
      <c r="AC88" s="52"/>
    </row>
    <row r="89" customHeight="1" ht="48.6">
      <c r="A89" s="73">
        <v>77</v>
      </c>
      <c r="B89" s="108"/>
      <c r="C89" s="108"/>
      <c r="D89" s="108"/>
      <c r="E89" s="58" t="s">
        <v>2638</v>
      </c>
      <c r="F89" s="58" t="s">
        <v>210</v>
      </c>
      <c r="G89" s="58" t="s">
        <v>1665</v>
      </c>
      <c r="H89" s="58" t="s">
        <v>2639</v>
      </c>
      <c r="I89" s="58" t="s">
        <v>1259</v>
      </c>
      <c r="J89" s="58" t="s">
        <v>2640</v>
      </c>
      <c r="K89" s="74" t="s">
        <v>2641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3076</v>
      </c>
      <c r="X89" s="58" t="s">
        <v>2350</v>
      </c>
      <c r="Y89" s="52"/>
      <c r="Z89" s="52"/>
      <c r="AA89" s="52"/>
      <c r="AB89" s="52"/>
      <c r="AC89" s="52"/>
    </row>
    <row r="90" customHeight="1" ht="48.6">
      <c r="A90" s="73">
        <v>78</v>
      </c>
      <c r="B90" s="108"/>
      <c r="C90" s="108"/>
      <c r="D90" s="108"/>
      <c r="E90" s="58" t="s">
        <v>2643</v>
      </c>
      <c r="F90" s="58" t="s">
        <v>210</v>
      </c>
      <c r="G90" s="58" t="s">
        <v>1669</v>
      </c>
      <c r="H90" s="58" t="s">
        <v>2644</v>
      </c>
      <c r="I90" s="58" t="s">
        <v>1259</v>
      </c>
      <c r="J90" s="58" t="s">
        <v>2645</v>
      </c>
      <c r="K90" s="74" t="s">
        <v>2646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105"/>
      <c r="X90" s="58" t="s">
        <v>2350</v>
      </c>
      <c r="Y90" s="52"/>
      <c r="Z90" s="52"/>
      <c r="AA90" s="52"/>
      <c r="AB90" s="52"/>
      <c r="AC90" s="52"/>
    </row>
    <row r="91" customHeight="1" ht="48.6">
      <c r="A91" s="73">
        <v>79</v>
      </c>
      <c r="B91" s="108"/>
      <c r="C91" s="108"/>
      <c r="D91" s="108"/>
      <c r="E91" s="58" t="s">
        <v>2647</v>
      </c>
      <c r="F91" s="58" t="s">
        <v>225</v>
      </c>
      <c r="G91" s="58" t="s">
        <v>1673</v>
      </c>
      <c r="H91" s="58" t="s">
        <v>2648</v>
      </c>
      <c r="I91" s="58" t="s">
        <v>1259</v>
      </c>
      <c r="J91" s="58" t="s">
        <v>2649</v>
      </c>
      <c r="K91" s="74" t="s">
        <v>2650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105"/>
      <c r="X91" s="58" t="s">
        <v>2350</v>
      </c>
      <c r="Y91" s="52"/>
      <c r="Z91" s="52"/>
      <c r="AA91" s="52"/>
      <c r="AB91" s="52"/>
      <c r="AC91" s="52"/>
    </row>
    <row r="92" customHeight="1" ht="60.0">
      <c r="A92" s="73">
        <v>80</v>
      </c>
      <c r="B92" s="108"/>
      <c r="C92" s="108"/>
      <c r="D92" s="108"/>
      <c r="E92" s="58" t="s">
        <v>2652</v>
      </c>
      <c r="F92" s="58" t="s">
        <v>225</v>
      </c>
      <c r="G92" s="58" t="s">
        <v>1678</v>
      </c>
      <c r="H92" s="58" t="s">
        <v>2653</v>
      </c>
      <c r="I92" s="58" t="s">
        <v>1259</v>
      </c>
      <c r="J92" s="58" t="s">
        <v>2654</v>
      </c>
      <c r="K92" s="74" t="s">
        <v>2655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105"/>
      <c r="X92" s="58" t="s">
        <v>2350</v>
      </c>
      <c r="Y92" s="52"/>
      <c r="Z92" s="52"/>
      <c r="AA92" s="52"/>
      <c r="AB92" s="52"/>
      <c r="AC92" s="52"/>
    </row>
    <row r="93" customHeight="1" ht="48.6">
      <c r="A93" s="73">
        <v>81</v>
      </c>
      <c r="B93" s="108"/>
      <c r="C93" s="108"/>
      <c r="D93" s="108"/>
      <c r="E93" s="58" t="s">
        <v>2657</v>
      </c>
      <c r="F93" s="58" t="s">
        <v>225</v>
      </c>
      <c r="G93" s="58" t="s">
        <v>1683</v>
      </c>
      <c r="H93" s="58" t="s">
        <v>2658</v>
      </c>
      <c r="I93" s="58" t="s">
        <v>1259</v>
      </c>
      <c r="J93" s="58" t="s">
        <v>2659</v>
      </c>
      <c r="K93" s="74" t="s">
        <v>2660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105"/>
      <c r="X93" s="58" t="s">
        <v>2350</v>
      </c>
      <c r="Y93" s="52"/>
      <c r="Z93" s="52"/>
      <c r="AA93" s="52"/>
      <c r="AB93" s="52"/>
      <c r="AC93" s="52"/>
    </row>
    <row r="94" customHeight="1" ht="48.6">
      <c r="A94" s="73">
        <v>82</v>
      </c>
      <c r="B94" s="108"/>
      <c r="C94" s="108"/>
      <c r="D94" s="110"/>
      <c r="E94" s="58" t="s">
        <v>2614</v>
      </c>
      <c r="F94" s="58" t="s">
        <v>210</v>
      </c>
      <c r="G94" s="58" t="s">
        <v>1688</v>
      </c>
      <c r="H94" s="58" t="s">
        <v>2661</v>
      </c>
      <c r="I94" s="58" t="s">
        <v>1259</v>
      </c>
      <c r="J94" s="58" t="s">
        <v>2662</v>
      </c>
      <c r="K94" s="74" t="s">
        <v>2663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105"/>
      <c r="X94" s="58" t="s">
        <v>2350</v>
      </c>
      <c r="Y94" s="52"/>
      <c r="Z94" s="52"/>
      <c r="AA94" s="52"/>
      <c r="AB94" s="52"/>
      <c r="AC94" s="52"/>
    </row>
    <row r="95" customHeight="1" ht="48.6">
      <c r="A95" s="73">
        <v>83</v>
      </c>
      <c r="B95" s="108"/>
      <c r="C95" s="108"/>
      <c r="D95" s="108" t="s">
        <v>1380</v>
      </c>
      <c r="E95" s="58" t="s">
        <v>2664</v>
      </c>
      <c r="F95" s="58" t="s">
        <v>225</v>
      </c>
      <c r="G95" s="58" t="s">
        <v>1693</v>
      </c>
      <c r="H95" s="58" t="s">
        <v>2665</v>
      </c>
      <c r="I95" s="58" t="s">
        <v>2355</v>
      </c>
      <c r="J95" s="58" t="s">
        <v>2666</v>
      </c>
      <c r="K95" s="74" t="s">
        <v>3077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77" t="s">
        <v>2668</v>
      </c>
      <c r="X95" s="58" t="s">
        <v>1090</v>
      </c>
      <c r="Y95" s="52"/>
      <c r="Z95" s="52"/>
      <c r="AA95" s="52"/>
      <c r="AB95" s="52"/>
      <c r="AC95" s="52"/>
    </row>
    <row r="96" customHeight="1" ht="73.5">
      <c r="A96" s="73">
        <v>84</v>
      </c>
      <c r="B96" s="108"/>
      <c r="C96" s="110"/>
      <c r="D96" s="110"/>
      <c r="E96" s="58" t="s">
        <v>1385</v>
      </c>
      <c r="F96" s="58" t="s">
        <v>225</v>
      </c>
      <c r="G96" s="58" t="s">
        <v>1698</v>
      </c>
      <c r="H96" s="58" t="s">
        <v>2669</v>
      </c>
      <c r="I96" s="58" t="s">
        <v>2355</v>
      </c>
      <c r="J96" s="58" t="s">
        <v>2670</v>
      </c>
      <c r="K96" s="74" t="s">
        <v>2671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2672</v>
      </c>
      <c r="X96" s="58" t="s">
        <v>1090</v>
      </c>
      <c r="Y96" s="52"/>
      <c r="Z96" s="52"/>
      <c r="AA96" s="52"/>
      <c r="AB96" s="52"/>
      <c r="AC96" s="52"/>
    </row>
    <row r="97" customHeight="1" ht="48.6">
      <c r="A97" s="73">
        <v>85</v>
      </c>
      <c r="B97" s="108"/>
      <c r="C97" s="108" t="s">
        <v>98</v>
      </c>
      <c r="D97" s="108" t="s">
        <v>268</v>
      </c>
      <c r="E97" s="58" t="s">
        <v>269</v>
      </c>
      <c r="F97" s="58" t="s">
        <v>210</v>
      </c>
      <c r="G97" s="58" t="s">
        <v>1703</v>
      </c>
      <c r="H97" s="58" t="s">
        <v>803</v>
      </c>
      <c r="I97" s="58" t="s">
        <v>1259</v>
      </c>
      <c r="J97" s="58" t="s">
        <v>1392</v>
      </c>
      <c r="K97" s="74" t="s">
        <v>2673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2674</v>
      </c>
      <c r="X97" s="58" t="s">
        <v>2350</v>
      </c>
      <c r="Y97" s="52"/>
      <c r="Z97" s="52"/>
      <c r="AA97" s="52"/>
      <c r="AB97" s="52"/>
      <c r="AC97" s="52"/>
    </row>
    <row r="98" customHeight="1" ht="73.5">
      <c r="A98" s="73">
        <v>86</v>
      </c>
      <c r="B98" s="108"/>
      <c r="C98" s="108"/>
      <c r="D98" s="110"/>
      <c r="E98" s="58" t="s">
        <v>2675</v>
      </c>
      <c r="F98" s="58" t="s">
        <v>210</v>
      </c>
      <c r="G98" s="58" t="s">
        <v>1708</v>
      </c>
      <c r="H98" s="58" t="s">
        <v>809</v>
      </c>
      <c r="I98" s="58" t="s">
        <v>1259</v>
      </c>
      <c r="J98" s="58" t="s">
        <v>2676</v>
      </c>
      <c r="K98" s="74" t="s">
        <v>2677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77" t="s">
        <v>2678</v>
      </c>
      <c r="X98" s="58" t="s">
        <v>2350</v>
      </c>
      <c r="Y98" s="52"/>
      <c r="Z98" s="52"/>
      <c r="AA98" s="52"/>
      <c r="AB98" s="52"/>
      <c r="AC98" s="52"/>
    </row>
    <row r="99" customHeight="1" ht="48.6">
      <c r="A99" s="73">
        <v>87</v>
      </c>
      <c r="B99" s="108"/>
      <c r="C99" s="108"/>
      <c r="D99" s="109" t="s">
        <v>812</v>
      </c>
      <c r="E99" s="58" t="s">
        <v>2679</v>
      </c>
      <c r="F99" s="58" t="s">
        <v>210</v>
      </c>
      <c r="G99" s="58" t="s">
        <v>1714</v>
      </c>
      <c r="H99" s="58" t="s">
        <v>815</v>
      </c>
      <c r="I99" s="58" t="s">
        <v>2680</v>
      </c>
      <c r="J99" s="58" t="s">
        <v>2681</v>
      </c>
      <c r="K99" s="74" t="s">
        <v>2682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2683</v>
      </c>
      <c r="X99" s="58" t="s">
        <v>2350</v>
      </c>
      <c r="Y99" s="52"/>
      <c r="Z99" s="52"/>
      <c r="AA99" s="52"/>
      <c r="AB99" s="52"/>
      <c r="AC99" s="52"/>
    </row>
    <row r="100" customHeight="1" ht="48.6">
      <c r="A100" s="73">
        <v>88</v>
      </c>
      <c r="B100" s="108"/>
      <c r="C100" s="108"/>
      <c r="D100" s="108" t="s">
        <v>820</v>
      </c>
      <c r="E100" s="58" t="s">
        <v>821</v>
      </c>
      <c r="F100" s="58" t="s">
        <v>225</v>
      </c>
      <c r="G100" s="58" t="s">
        <v>1719</v>
      </c>
      <c r="H100" s="58" t="s">
        <v>823</v>
      </c>
      <c r="I100" s="58" t="s">
        <v>2684</v>
      </c>
      <c r="J100" s="58" t="s">
        <v>2685</v>
      </c>
      <c r="K100" s="74" t="s">
        <v>825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77" t="s">
        <v>2686</v>
      </c>
      <c r="X100" s="58" t="s">
        <v>2350</v>
      </c>
      <c r="Y100" s="52"/>
      <c r="Z100" s="52"/>
      <c r="AA100" s="52"/>
      <c r="AB100" s="52"/>
      <c r="AC100" s="52"/>
    </row>
    <row r="101" customHeight="1" ht="48.6">
      <c r="A101" s="73">
        <v>89</v>
      </c>
      <c r="B101" s="110"/>
      <c r="C101" s="110"/>
      <c r="D101" s="110"/>
      <c r="E101" s="58" t="s">
        <v>826</v>
      </c>
      <c r="F101" s="58" t="s">
        <v>210</v>
      </c>
      <c r="G101" s="58" t="s">
        <v>1725</v>
      </c>
      <c r="H101" s="58" t="s">
        <v>828</v>
      </c>
      <c r="I101" s="58" t="s">
        <v>2680</v>
      </c>
      <c r="J101" s="58" t="s">
        <v>2687</v>
      </c>
      <c r="K101" s="74" t="s">
        <v>2688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2689</v>
      </c>
      <c r="X101" s="58" t="s">
        <v>2350</v>
      </c>
      <c r="Y101" s="52"/>
      <c r="Z101" s="52"/>
      <c r="AA101" s="52"/>
      <c r="AB101" s="52"/>
      <c r="AC101" s="52"/>
    </row>
    <row r="102" customHeight="1" ht="100.5">
      <c r="A102" s="73">
        <v>90</v>
      </c>
      <c r="B102" s="108" t="s">
        <v>131</v>
      </c>
      <c r="C102" s="108" t="s">
        <v>100</v>
      </c>
      <c r="D102" s="109" t="s">
        <v>268</v>
      </c>
      <c r="E102" s="58" t="s">
        <v>832</v>
      </c>
      <c r="F102" s="58" t="s">
        <v>203</v>
      </c>
      <c r="G102" s="58" t="s">
        <v>1729</v>
      </c>
      <c r="H102" s="58" t="s">
        <v>2690</v>
      </c>
      <c r="I102" s="58" t="s">
        <v>2361</v>
      </c>
      <c r="J102" s="58" t="s">
        <v>2691</v>
      </c>
      <c r="K102" s="74" t="s">
        <v>2692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105"/>
      <c r="X102" s="58" t="s">
        <v>2358</v>
      </c>
      <c r="Y102" s="52"/>
      <c r="Z102" s="52"/>
      <c r="AA102" s="52"/>
      <c r="AB102" s="52"/>
      <c r="AC102" s="52"/>
    </row>
    <row r="103" customHeight="1" ht="48.6">
      <c r="A103" s="73">
        <v>91</v>
      </c>
      <c r="B103" s="108"/>
      <c r="C103" s="110"/>
      <c r="D103" s="109" t="s">
        <v>851</v>
      </c>
      <c r="E103" s="58" t="s">
        <v>852</v>
      </c>
      <c r="F103" s="58" t="s">
        <v>210</v>
      </c>
      <c r="G103" s="58" t="s">
        <v>1733</v>
      </c>
      <c r="H103" s="58" t="s">
        <v>2693</v>
      </c>
      <c r="I103" s="58" t="s">
        <v>2361</v>
      </c>
      <c r="J103" s="58" t="s">
        <v>2694</v>
      </c>
      <c r="K103" s="74" t="s">
        <v>1281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105"/>
      <c r="X103" s="58" t="s">
        <v>2358</v>
      </c>
      <c r="Y103" s="52"/>
      <c r="Z103" s="52"/>
      <c r="AA103" s="52"/>
      <c r="AB103" s="52"/>
      <c r="AC103" s="52"/>
    </row>
    <row r="104" customHeight="1" ht="73.5">
      <c r="A104" s="73">
        <v>92</v>
      </c>
      <c r="B104" s="108"/>
      <c r="C104" s="108" t="s">
        <v>101</v>
      </c>
      <c r="D104" s="108" t="s">
        <v>268</v>
      </c>
      <c r="E104" s="58" t="s">
        <v>1034</v>
      </c>
      <c r="F104" s="58" t="s">
        <v>225</v>
      </c>
      <c r="G104" s="58" t="s">
        <v>1737</v>
      </c>
      <c r="H104" s="58" t="s">
        <v>2695</v>
      </c>
      <c r="I104" s="58" t="s">
        <v>2361</v>
      </c>
      <c r="J104" s="58" t="s">
        <v>2696</v>
      </c>
      <c r="K104" s="74" t="s">
        <v>2697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105"/>
      <c r="X104" s="58" t="s">
        <v>2358</v>
      </c>
      <c r="Y104" s="52"/>
      <c r="Z104" s="52"/>
      <c r="AA104" s="52"/>
      <c r="AB104" s="52"/>
      <c r="AC104" s="52"/>
    </row>
    <row r="105" customHeight="1" ht="48.6">
      <c r="A105" s="73">
        <v>93</v>
      </c>
      <c r="B105" s="108"/>
      <c r="C105" s="108"/>
      <c r="D105" s="110"/>
      <c r="E105" s="58" t="s">
        <v>1040</v>
      </c>
      <c r="F105" s="58" t="s">
        <v>225</v>
      </c>
      <c r="G105" s="58" t="s">
        <v>1742</v>
      </c>
      <c r="H105" s="58" t="s">
        <v>2698</v>
      </c>
      <c r="I105" s="58" t="s">
        <v>2699</v>
      </c>
      <c r="J105" s="58" t="s">
        <v>2700</v>
      </c>
      <c r="K105" s="74" t="s">
        <v>2701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2702</v>
      </c>
      <c r="X105" s="58" t="s">
        <v>2358</v>
      </c>
      <c r="Y105" s="52"/>
      <c r="Z105" s="52"/>
      <c r="AA105" s="52"/>
      <c r="AB105" s="52"/>
      <c r="AC105" s="52"/>
    </row>
    <row r="106" customHeight="1" ht="48.6">
      <c r="A106" s="73">
        <v>94</v>
      </c>
      <c r="B106" s="108"/>
      <c r="C106" s="110"/>
      <c r="D106" s="109" t="s">
        <v>876</v>
      </c>
      <c r="E106" s="58" t="s">
        <v>2703</v>
      </c>
      <c r="F106" s="58" t="s">
        <v>225</v>
      </c>
      <c r="G106" s="58" t="s">
        <v>1747</v>
      </c>
      <c r="H106" s="58" t="s">
        <v>3078</v>
      </c>
      <c r="I106" s="58" t="s">
        <v>2361</v>
      </c>
      <c r="J106" s="58" t="s">
        <v>2704</v>
      </c>
      <c r="K106" s="74" t="s">
        <v>2705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105"/>
      <c r="X106" s="58" t="s">
        <v>2358</v>
      </c>
      <c r="Y106" s="52"/>
      <c r="Z106" s="52"/>
      <c r="AA106" s="52"/>
      <c r="AB106" s="52"/>
      <c r="AC106" s="52"/>
    </row>
    <row r="107" customHeight="1" ht="114.0">
      <c r="A107" s="73">
        <v>95</v>
      </c>
      <c r="B107" s="108"/>
      <c r="C107" s="108" t="s">
        <v>132</v>
      </c>
      <c r="D107" s="108" t="s">
        <v>268</v>
      </c>
      <c r="E107" s="58" t="s">
        <v>2706</v>
      </c>
      <c r="F107" s="58" t="s">
        <v>203</v>
      </c>
      <c r="G107" s="58" t="s">
        <v>1752</v>
      </c>
      <c r="H107" s="58" t="s">
        <v>2707</v>
      </c>
      <c r="I107" s="58" t="s">
        <v>2361</v>
      </c>
      <c r="J107" s="58" t="s">
        <v>2708</v>
      </c>
      <c r="K107" s="74" t="s">
        <v>2709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105"/>
      <c r="X107" s="58" t="s">
        <v>2358</v>
      </c>
      <c r="Y107" s="52"/>
      <c r="Z107" s="52"/>
      <c r="AA107" s="52"/>
      <c r="AB107" s="52"/>
      <c r="AC107" s="52"/>
    </row>
    <row r="108" customHeight="1" ht="141.0">
      <c r="A108" s="73">
        <v>96</v>
      </c>
      <c r="B108" s="108"/>
      <c r="C108" s="108"/>
      <c r="D108" s="110"/>
      <c r="E108" s="58" t="s">
        <v>2710</v>
      </c>
      <c r="F108" s="58" t="s">
        <v>203</v>
      </c>
      <c r="G108" s="58" t="s">
        <v>1756</v>
      </c>
      <c r="H108" s="58" t="s">
        <v>2711</v>
      </c>
      <c r="I108" s="58" t="s">
        <v>2712</v>
      </c>
      <c r="J108" s="58" t="s">
        <v>2713</v>
      </c>
      <c r="K108" s="74" t="s">
        <v>2714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105"/>
      <c r="X108" s="58" t="s">
        <v>2358</v>
      </c>
      <c r="Y108" s="52"/>
      <c r="Z108" s="52"/>
      <c r="AA108" s="52"/>
      <c r="AB108" s="52"/>
      <c r="AC108" s="52"/>
    </row>
    <row r="109" customHeight="1" ht="73.5">
      <c r="A109" s="73">
        <v>97</v>
      </c>
      <c r="B109" s="108"/>
      <c r="C109" s="108"/>
      <c r="D109" s="109" t="s">
        <v>2715</v>
      </c>
      <c r="E109" s="58" t="s">
        <v>2716</v>
      </c>
      <c r="F109" s="58" t="s">
        <v>210</v>
      </c>
      <c r="G109" s="58" t="s">
        <v>1760</v>
      </c>
      <c r="H109" s="58" t="s">
        <v>2717</v>
      </c>
      <c r="I109" s="58" t="s">
        <v>2712</v>
      </c>
      <c r="J109" s="58" t="s">
        <v>2718</v>
      </c>
      <c r="K109" s="74" t="s">
        <v>3079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77" t="s">
        <v>3080</v>
      </c>
      <c r="X109" s="58" t="s">
        <v>2358</v>
      </c>
      <c r="Y109" s="52"/>
      <c r="Z109" s="52"/>
      <c r="AA109" s="52"/>
      <c r="AB109" s="52"/>
      <c r="AC109" s="52"/>
    </row>
    <row r="110" customHeight="1" ht="87.0">
      <c r="A110" s="73">
        <v>98</v>
      </c>
      <c r="B110" s="108"/>
      <c r="C110" s="108"/>
      <c r="D110" s="108" t="s">
        <v>268</v>
      </c>
      <c r="E110" s="58" t="s">
        <v>2721</v>
      </c>
      <c r="F110" s="58" t="s">
        <v>203</v>
      </c>
      <c r="G110" s="58" t="s">
        <v>1766</v>
      </c>
      <c r="H110" s="58" t="s">
        <v>2722</v>
      </c>
      <c r="I110" s="58" t="s">
        <v>2361</v>
      </c>
      <c r="J110" s="58" t="s">
        <v>2723</v>
      </c>
      <c r="K110" s="74" t="s">
        <v>2724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105"/>
      <c r="X110" s="58" t="s">
        <v>2358</v>
      </c>
      <c r="Y110" s="52"/>
      <c r="Z110" s="52"/>
      <c r="AA110" s="52"/>
      <c r="AB110" s="52"/>
      <c r="AC110" s="52"/>
    </row>
    <row r="111" customHeight="1" ht="114.0">
      <c r="A111" s="73">
        <v>99</v>
      </c>
      <c r="B111" s="108"/>
      <c r="C111" s="110"/>
      <c r="D111" s="110"/>
      <c r="E111" s="58" t="s">
        <v>2725</v>
      </c>
      <c r="F111" s="58" t="s">
        <v>210</v>
      </c>
      <c r="G111" s="58" t="s">
        <v>1771</v>
      </c>
      <c r="H111" s="58" t="s">
        <v>2726</v>
      </c>
      <c r="I111" s="58" t="s">
        <v>2361</v>
      </c>
      <c r="J111" s="58" t="s">
        <v>2727</v>
      </c>
      <c r="K111" s="74" t="s">
        <v>2728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2729</v>
      </c>
      <c r="X111" s="58" t="s">
        <v>2358</v>
      </c>
      <c r="Y111" s="52"/>
      <c r="Z111" s="52"/>
      <c r="AA111" s="52"/>
      <c r="AB111" s="52"/>
      <c r="AC111" s="52"/>
    </row>
    <row r="112" customHeight="1" ht="73.5">
      <c r="A112" s="73">
        <v>100</v>
      </c>
      <c r="B112" s="108"/>
      <c r="C112" s="108" t="s">
        <v>2730</v>
      </c>
      <c r="D112" s="108" t="s">
        <v>268</v>
      </c>
      <c r="E112" s="58" t="s">
        <v>2731</v>
      </c>
      <c r="F112" s="58" t="s">
        <v>210</v>
      </c>
      <c r="G112" s="58" t="s">
        <v>1777</v>
      </c>
      <c r="H112" s="58" t="s">
        <v>2732</v>
      </c>
      <c r="I112" s="58" t="s">
        <v>2361</v>
      </c>
      <c r="J112" s="58" t="s">
        <v>2733</v>
      </c>
      <c r="K112" s="74" t="s">
        <v>2734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105"/>
      <c r="X112" s="58" t="s">
        <v>2378</v>
      </c>
      <c r="Y112" s="52"/>
      <c r="Z112" s="52"/>
      <c r="AA112" s="52"/>
      <c r="AB112" s="52"/>
      <c r="AC112" s="52"/>
    </row>
    <row r="113" customHeight="1" ht="87.0">
      <c r="A113" s="73">
        <v>101</v>
      </c>
      <c r="B113" s="108"/>
      <c r="C113" s="110"/>
      <c r="D113" s="110"/>
      <c r="E113" s="58" t="s">
        <v>1775</v>
      </c>
      <c r="F113" s="58" t="s">
        <v>210</v>
      </c>
      <c r="G113" s="58" t="s">
        <v>1782</v>
      </c>
      <c r="H113" s="58" t="s">
        <v>1715</v>
      </c>
      <c r="I113" s="58" t="s">
        <v>2361</v>
      </c>
      <c r="J113" s="58" t="s">
        <v>2735</v>
      </c>
      <c r="K113" s="74" t="s">
        <v>2736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2737</v>
      </c>
      <c r="X113" s="58" t="s">
        <v>2738</v>
      </c>
      <c r="Y113" s="52"/>
      <c r="Z113" s="52"/>
      <c r="AA113" s="52"/>
      <c r="AB113" s="52"/>
      <c r="AC113" s="52"/>
    </row>
    <row r="114" customHeight="1" ht="127.5">
      <c r="A114" s="73">
        <v>102</v>
      </c>
      <c r="B114" s="108"/>
      <c r="C114" s="108" t="s">
        <v>134</v>
      </c>
      <c r="D114" s="109" t="s">
        <v>552</v>
      </c>
      <c r="E114" s="58" t="s">
        <v>2739</v>
      </c>
      <c r="F114" s="58" t="s">
        <v>203</v>
      </c>
      <c r="G114" s="58" t="s">
        <v>1789</v>
      </c>
      <c r="H114" s="58" t="s">
        <v>2740</v>
      </c>
      <c r="I114" s="58" t="s">
        <v>2361</v>
      </c>
      <c r="J114" s="58" t="s">
        <v>2741</v>
      </c>
      <c r="K114" s="74" t="s">
        <v>2742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2743</v>
      </c>
      <c r="X114" s="58" t="s">
        <v>1090</v>
      </c>
      <c r="Y114" s="52"/>
      <c r="Z114" s="52"/>
      <c r="AA114" s="52"/>
      <c r="AB114" s="52"/>
      <c r="AC114" s="52"/>
    </row>
    <row r="115" customHeight="1" ht="60.0">
      <c r="A115" s="73">
        <v>103</v>
      </c>
      <c r="B115" s="108"/>
      <c r="C115" s="108"/>
      <c r="D115" s="108" t="s">
        <v>393</v>
      </c>
      <c r="E115" s="58" t="s">
        <v>622</v>
      </c>
      <c r="F115" s="58" t="s">
        <v>210</v>
      </c>
      <c r="G115" s="58" t="s">
        <v>1793</v>
      </c>
      <c r="H115" s="58" t="s">
        <v>2744</v>
      </c>
      <c r="I115" s="58" t="s">
        <v>2361</v>
      </c>
      <c r="J115" s="58" t="s">
        <v>2745</v>
      </c>
      <c r="K115" s="74" t="s">
        <v>2746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77" t="s">
        <v>2747</v>
      </c>
      <c r="X115" s="58" t="s">
        <v>1090</v>
      </c>
      <c r="Y115" s="52"/>
      <c r="Z115" s="52"/>
      <c r="AA115" s="52"/>
      <c r="AB115" s="52"/>
      <c r="AC115" s="52"/>
    </row>
    <row r="116" customHeight="1" ht="60.0">
      <c r="A116" s="73">
        <v>104</v>
      </c>
      <c r="B116" s="108"/>
      <c r="C116" s="108"/>
      <c r="D116" s="108"/>
      <c r="E116" s="58" t="s">
        <v>628</v>
      </c>
      <c r="F116" s="58" t="s">
        <v>225</v>
      </c>
      <c r="G116" s="58" t="s">
        <v>1797</v>
      </c>
      <c r="H116" s="58" t="s">
        <v>2748</v>
      </c>
      <c r="I116" s="58" t="s">
        <v>2361</v>
      </c>
      <c r="J116" s="58" t="s">
        <v>2749</v>
      </c>
      <c r="K116" s="74" t="s">
        <v>2750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2747</v>
      </c>
      <c r="X116" s="58" t="s">
        <v>1090</v>
      </c>
      <c r="Y116" s="52"/>
      <c r="Z116" s="52"/>
      <c r="AA116" s="52"/>
      <c r="AB116" s="52"/>
      <c r="AC116" s="52"/>
    </row>
    <row r="117" customHeight="1" ht="60.0">
      <c r="A117" s="73">
        <v>105</v>
      </c>
      <c r="B117" s="108"/>
      <c r="C117" s="108"/>
      <c r="D117" s="110"/>
      <c r="E117" s="58" t="s">
        <v>633</v>
      </c>
      <c r="F117" s="58" t="s">
        <v>225</v>
      </c>
      <c r="G117" s="58" t="s">
        <v>1801</v>
      </c>
      <c r="H117" s="58" t="s">
        <v>2751</v>
      </c>
      <c r="I117" s="58" t="s">
        <v>2361</v>
      </c>
      <c r="J117" s="58" t="s">
        <v>2752</v>
      </c>
      <c r="K117" s="74" t="s">
        <v>2750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 t="s">
        <v>2510</v>
      </c>
      <c r="X117" s="58" t="s">
        <v>1090</v>
      </c>
      <c r="Y117" s="52"/>
      <c r="Z117" s="52"/>
      <c r="AA117" s="52"/>
      <c r="AB117" s="52"/>
      <c r="AC117" s="52"/>
    </row>
    <row r="118" customHeight="1" ht="73.5">
      <c r="A118" s="73">
        <v>106</v>
      </c>
      <c r="B118" s="108"/>
      <c r="C118" s="110"/>
      <c r="D118" s="109" t="s">
        <v>369</v>
      </c>
      <c r="E118" s="58" t="s">
        <v>2739</v>
      </c>
      <c r="F118" s="58" t="s">
        <v>203</v>
      </c>
      <c r="G118" s="58" t="s">
        <v>1808</v>
      </c>
      <c r="H118" s="58" t="s">
        <v>2753</v>
      </c>
      <c r="I118" s="58" t="s">
        <v>2361</v>
      </c>
      <c r="J118" s="58" t="s">
        <v>2754</v>
      </c>
      <c r="K118" s="74" t="s">
        <v>2755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2756</v>
      </c>
      <c r="X118" s="58" t="s">
        <v>1090</v>
      </c>
      <c r="Y118" s="52"/>
      <c r="Z118" s="52"/>
      <c r="AA118" s="52"/>
      <c r="AB118" s="52"/>
      <c r="AC118" s="52"/>
    </row>
    <row r="119" customHeight="1" ht="154.5">
      <c r="A119" s="73">
        <v>107</v>
      </c>
      <c r="B119" s="108"/>
      <c r="C119" s="108" t="s">
        <v>2757</v>
      </c>
      <c r="D119" s="108" t="s">
        <v>552</v>
      </c>
      <c r="E119" s="58" t="s">
        <v>1034</v>
      </c>
      <c r="F119" s="58" t="s">
        <v>203</v>
      </c>
      <c r="G119" s="58" t="s">
        <v>1813</v>
      </c>
      <c r="H119" s="58" t="s">
        <v>2758</v>
      </c>
      <c r="I119" s="58" t="s">
        <v>2712</v>
      </c>
      <c r="J119" s="58" t="s">
        <v>2759</v>
      </c>
      <c r="K119" s="74" t="s">
        <v>2760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2761</v>
      </c>
      <c r="X119" s="58" t="s">
        <v>2738</v>
      </c>
      <c r="Y119" s="52"/>
      <c r="Z119" s="52"/>
      <c r="AA119" s="52"/>
      <c r="AB119" s="52"/>
      <c r="AC119" s="52"/>
    </row>
    <row r="120" customHeight="1" ht="48.6">
      <c r="A120" s="73">
        <v>108</v>
      </c>
      <c r="B120" s="108"/>
      <c r="C120" s="108"/>
      <c r="D120" s="110"/>
      <c r="E120" s="58" t="s">
        <v>1040</v>
      </c>
      <c r="F120" s="58" t="s">
        <v>210</v>
      </c>
      <c r="G120" s="58" t="s">
        <v>1818</v>
      </c>
      <c r="H120" s="58" t="s">
        <v>2762</v>
      </c>
      <c r="I120" s="58" t="s">
        <v>2699</v>
      </c>
      <c r="J120" s="58" t="s">
        <v>2763</v>
      </c>
      <c r="K120" s="104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2764</v>
      </c>
      <c r="X120" s="58" t="s">
        <v>2738</v>
      </c>
      <c r="Y120" s="52"/>
      <c r="Z120" s="52"/>
      <c r="AA120" s="52"/>
      <c r="AB120" s="52"/>
      <c r="AC120" s="52"/>
    </row>
    <row r="121" customHeight="1" ht="73.5">
      <c r="A121" s="73">
        <v>109</v>
      </c>
      <c r="B121" s="108"/>
      <c r="C121" s="108"/>
      <c r="D121" s="108" t="s">
        <v>393</v>
      </c>
      <c r="E121" s="58" t="s">
        <v>2765</v>
      </c>
      <c r="F121" s="58" t="s">
        <v>203</v>
      </c>
      <c r="G121" s="58" t="s">
        <v>1825</v>
      </c>
      <c r="H121" s="58" t="s">
        <v>2766</v>
      </c>
      <c r="I121" s="58" t="s">
        <v>2767</v>
      </c>
      <c r="J121" s="58" t="s">
        <v>2768</v>
      </c>
      <c r="K121" s="74" t="s">
        <v>2769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2770</v>
      </c>
      <c r="X121" s="58" t="s">
        <v>2738</v>
      </c>
      <c r="Y121" s="52"/>
      <c r="Z121" s="52"/>
      <c r="AA121" s="52"/>
      <c r="AB121" s="52"/>
      <c r="AC121" s="52"/>
    </row>
    <row r="122" customHeight="1" ht="60.0">
      <c r="A122" s="73">
        <v>110</v>
      </c>
      <c r="B122" s="108"/>
      <c r="C122" s="108"/>
      <c r="D122" s="108"/>
      <c r="E122" s="58" t="s">
        <v>622</v>
      </c>
      <c r="F122" s="58" t="s">
        <v>210</v>
      </c>
      <c r="G122" s="58" t="s">
        <v>1830</v>
      </c>
      <c r="H122" s="58" t="s">
        <v>2771</v>
      </c>
      <c r="I122" s="58" t="s">
        <v>2361</v>
      </c>
      <c r="J122" s="58" t="s">
        <v>2772</v>
      </c>
      <c r="K122" s="74" t="s">
        <v>2773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105"/>
      <c r="X122" s="58" t="s">
        <v>2738</v>
      </c>
      <c r="Y122" s="52"/>
      <c r="Z122" s="52"/>
      <c r="AA122" s="52"/>
      <c r="AB122" s="52"/>
      <c r="AC122" s="52"/>
    </row>
    <row r="123" customHeight="1" ht="60.0">
      <c r="A123" s="73">
        <v>111</v>
      </c>
      <c r="B123" s="108"/>
      <c r="C123" s="108"/>
      <c r="D123" s="108"/>
      <c r="E123" s="58" t="s">
        <v>628</v>
      </c>
      <c r="F123" s="58" t="s">
        <v>225</v>
      </c>
      <c r="G123" s="58" t="s">
        <v>1833</v>
      </c>
      <c r="H123" s="58" t="s">
        <v>2774</v>
      </c>
      <c r="I123" s="58" t="s">
        <v>2361</v>
      </c>
      <c r="J123" s="58" t="s">
        <v>2775</v>
      </c>
      <c r="K123" s="74" t="s">
        <v>2776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2777</v>
      </c>
      <c r="X123" s="58" t="s">
        <v>2738</v>
      </c>
      <c r="Y123" s="52"/>
      <c r="Z123" s="52"/>
      <c r="AA123" s="52"/>
      <c r="AB123" s="52"/>
      <c r="AC123" s="52"/>
    </row>
    <row r="124" customHeight="1" ht="60.0">
      <c r="A124" s="73">
        <v>112</v>
      </c>
      <c r="B124" s="108"/>
      <c r="C124" s="108"/>
      <c r="D124" s="110"/>
      <c r="E124" s="58" t="s">
        <v>633</v>
      </c>
      <c r="F124" s="58" t="s">
        <v>225</v>
      </c>
      <c r="G124" s="58" t="s">
        <v>1838</v>
      </c>
      <c r="H124" s="58" t="s">
        <v>2778</v>
      </c>
      <c r="I124" s="58" t="s">
        <v>2361</v>
      </c>
      <c r="J124" s="58" t="s">
        <v>2779</v>
      </c>
      <c r="K124" s="74" t="s">
        <v>2776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2510</v>
      </c>
      <c r="X124" s="58" t="s">
        <v>2738</v>
      </c>
      <c r="Y124" s="52"/>
      <c r="Z124" s="52"/>
      <c r="AA124" s="52"/>
      <c r="AB124" s="52"/>
      <c r="AC124" s="52"/>
    </row>
    <row r="125" customHeight="1" ht="73.5">
      <c r="A125" s="73">
        <v>113</v>
      </c>
      <c r="B125" s="108"/>
      <c r="C125" s="108"/>
      <c r="D125" s="108" t="s">
        <v>369</v>
      </c>
      <c r="E125" s="58" t="s">
        <v>2780</v>
      </c>
      <c r="F125" s="58" t="s">
        <v>203</v>
      </c>
      <c r="G125" s="58" t="s">
        <v>1841</v>
      </c>
      <c r="H125" s="58" t="s">
        <v>2781</v>
      </c>
      <c r="I125" s="58" t="s">
        <v>2782</v>
      </c>
      <c r="J125" s="58" t="s">
        <v>2768</v>
      </c>
      <c r="K125" s="74" t="s">
        <v>2783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2784</v>
      </c>
      <c r="X125" s="58" t="s">
        <v>2738</v>
      </c>
      <c r="Y125" s="52"/>
      <c r="Z125" s="52"/>
      <c r="AA125" s="52"/>
      <c r="AB125" s="52"/>
      <c r="AC125" s="52"/>
    </row>
    <row r="126" customHeight="1" ht="100.5">
      <c r="A126" s="73">
        <v>114</v>
      </c>
      <c r="B126" s="108"/>
      <c r="C126" s="108"/>
      <c r="D126" s="108"/>
      <c r="E126" s="58" t="s">
        <v>2785</v>
      </c>
      <c r="F126" s="58" t="s">
        <v>203</v>
      </c>
      <c r="G126" s="58" t="s">
        <v>1845</v>
      </c>
      <c r="H126" s="58" t="s">
        <v>2786</v>
      </c>
      <c r="I126" s="58" t="s">
        <v>2787</v>
      </c>
      <c r="J126" s="58" t="s">
        <v>2788</v>
      </c>
      <c r="K126" s="74" t="s">
        <v>2789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77" t="s">
        <v>2790</v>
      </c>
      <c r="X126" s="58" t="s">
        <v>2738</v>
      </c>
      <c r="Y126" s="52"/>
      <c r="Z126" s="52"/>
      <c r="AA126" s="52"/>
      <c r="AB126" s="52"/>
      <c r="AC126" s="52"/>
    </row>
    <row r="127" customHeight="1" ht="73.5">
      <c r="A127" s="73">
        <v>115</v>
      </c>
      <c r="B127" s="108"/>
      <c r="C127" s="108"/>
      <c r="D127" s="108"/>
      <c r="E127" s="58" t="s">
        <v>2791</v>
      </c>
      <c r="F127" s="58" t="s">
        <v>203</v>
      </c>
      <c r="G127" s="58" t="s">
        <v>1850</v>
      </c>
      <c r="H127" s="58" t="s">
        <v>2792</v>
      </c>
      <c r="I127" s="58" t="s">
        <v>2793</v>
      </c>
      <c r="J127" s="58" t="s">
        <v>2794</v>
      </c>
      <c r="K127" s="74" t="s">
        <v>2795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105"/>
      <c r="X127" s="58" t="s">
        <v>2738</v>
      </c>
      <c r="Y127" s="52"/>
      <c r="Z127" s="52"/>
      <c r="AA127" s="52"/>
      <c r="AB127" s="52"/>
      <c r="AC127" s="52"/>
    </row>
    <row r="128" customHeight="1" ht="114.0">
      <c r="A128" s="73">
        <v>116</v>
      </c>
      <c r="B128" s="110"/>
      <c r="C128" s="110"/>
      <c r="D128" s="110"/>
      <c r="E128" s="58" t="s">
        <v>2796</v>
      </c>
      <c r="F128" s="58" t="s">
        <v>210</v>
      </c>
      <c r="G128" s="58" t="s">
        <v>1856</v>
      </c>
      <c r="H128" s="58" t="s">
        <v>2797</v>
      </c>
      <c r="I128" s="58" t="s">
        <v>2798</v>
      </c>
      <c r="J128" s="58" t="s">
        <v>2799</v>
      </c>
      <c r="K128" s="104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77" t="s">
        <v>2800</v>
      </c>
      <c r="X128" s="58" t="s">
        <v>2738</v>
      </c>
      <c r="Y128" s="52"/>
      <c r="Z128" s="52"/>
      <c r="AA128" s="52"/>
      <c r="AB128" s="52"/>
      <c r="AC128" s="52"/>
    </row>
    <row r="129" customHeight="1" ht="100.5">
      <c r="A129" s="73">
        <v>117</v>
      </c>
      <c r="B129" s="108" t="s">
        <v>123</v>
      </c>
      <c r="C129" s="108" t="s">
        <v>100</v>
      </c>
      <c r="D129" s="109" t="s">
        <v>268</v>
      </c>
      <c r="E129" s="58" t="s">
        <v>832</v>
      </c>
      <c r="F129" s="58" t="s">
        <v>203</v>
      </c>
      <c r="G129" s="58" t="s">
        <v>1861</v>
      </c>
      <c r="H129" s="58" t="s">
        <v>2801</v>
      </c>
      <c r="I129" s="58" t="s">
        <v>2355</v>
      </c>
      <c r="J129" s="58" t="s">
        <v>2802</v>
      </c>
      <c r="K129" s="74" t="s">
        <v>2803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105"/>
      <c r="X129" s="58" t="s">
        <v>2358</v>
      </c>
      <c r="Y129" s="52"/>
      <c r="Z129" s="52"/>
      <c r="AA129" s="52"/>
      <c r="AB129" s="52"/>
      <c r="AC129" s="52"/>
    </row>
    <row r="130" customHeight="1" ht="48.6">
      <c r="A130" s="73">
        <v>118</v>
      </c>
      <c r="B130" s="108"/>
      <c r="C130" s="108"/>
      <c r="D130" s="109" t="s">
        <v>851</v>
      </c>
      <c r="E130" s="58" t="s">
        <v>852</v>
      </c>
      <c r="F130" s="58" t="s">
        <v>210</v>
      </c>
      <c r="G130" s="58" t="s">
        <v>1865</v>
      </c>
      <c r="H130" s="58" t="s">
        <v>2805</v>
      </c>
      <c r="I130" s="58" t="s">
        <v>2355</v>
      </c>
      <c r="J130" s="58" t="s">
        <v>2806</v>
      </c>
      <c r="K130" s="74" t="s">
        <v>1281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105"/>
      <c r="X130" s="58" t="s">
        <v>2358</v>
      </c>
      <c r="Y130" s="52"/>
      <c r="Z130" s="52"/>
      <c r="AA130" s="52"/>
      <c r="AB130" s="52"/>
      <c r="AC130" s="52"/>
    </row>
    <row r="131" customHeight="1" ht="48.6">
      <c r="A131" s="73">
        <v>119</v>
      </c>
      <c r="B131" s="108"/>
      <c r="C131" s="108"/>
      <c r="D131" s="108" t="s">
        <v>857</v>
      </c>
      <c r="E131" s="58" t="s">
        <v>858</v>
      </c>
      <c r="F131" s="58" t="s">
        <v>210</v>
      </c>
      <c r="G131" s="58" t="s">
        <v>2804</v>
      </c>
      <c r="H131" s="58" t="s">
        <v>2808</v>
      </c>
      <c r="I131" s="58" t="s">
        <v>2355</v>
      </c>
      <c r="J131" s="58" t="s">
        <v>2809</v>
      </c>
      <c r="K131" s="74" t="s">
        <v>2810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77" t="s">
        <v>2811</v>
      </c>
      <c r="X131" s="58" t="s">
        <v>2378</v>
      </c>
      <c r="Y131" s="52"/>
      <c r="Z131" s="52"/>
      <c r="AA131" s="52"/>
      <c r="AB131" s="52"/>
      <c r="AC131" s="52"/>
    </row>
    <row r="132" customHeight="1" ht="60.0">
      <c r="A132" s="73">
        <v>120</v>
      </c>
      <c r="B132" s="108"/>
      <c r="C132" s="110"/>
      <c r="D132" s="110"/>
      <c r="E132" s="58" t="s">
        <v>2812</v>
      </c>
      <c r="F132" s="58" t="s">
        <v>210</v>
      </c>
      <c r="G132" s="58" t="s">
        <v>2807</v>
      </c>
      <c r="H132" s="58" t="s">
        <v>2814</v>
      </c>
      <c r="I132" s="58" t="s">
        <v>2355</v>
      </c>
      <c r="J132" s="58" t="s">
        <v>2815</v>
      </c>
      <c r="K132" s="74" t="s">
        <v>3081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77" t="s">
        <v>2817</v>
      </c>
      <c r="X132" s="58" t="s">
        <v>2378</v>
      </c>
      <c r="Y132" s="52"/>
      <c r="Z132" s="52"/>
      <c r="AA132" s="52"/>
      <c r="AB132" s="52"/>
      <c r="AC132" s="52"/>
    </row>
    <row r="133" customHeight="1" ht="73.5">
      <c r="A133" s="73">
        <v>121</v>
      </c>
      <c r="B133" s="108"/>
      <c r="C133" s="108" t="s">
        <v>101</v>
      </c>
      <c r="D133" s="109" t="s">
        <v>268</v>
      </c>
      <c r="E133" s="58" t="s">
        <v>871</v>
      </c>
      <c r="F133" s="58" t="s">
        <v>225</v>
      </c>
      <c r="G133" s="58" t="s">
        <v>2813</v>
      </c>
      <c r="H133" s="58" t="s">
        <v>2819</v>
      </c>
      <c r="I133" s="58" t="s">
        <v>2355</v>
      </c>
      <c r="J133" s="58" t="s">
        <v>2820</v>
      </c>
      <c r="K133" s="74" t="s">
        <v>2821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77" t="s">
        <v>2822</v>
      </c>
      <c r="X133" s="58" t="s">
        <v>2358</v>
      </c>
      <c r="Y133" s="52"/>
      <c r="Z133" s="52"/>
      <c r="AA133" s="52"/>
      <c r="AB133" s="52"/>
      <c r="AC133" s="52"/>
    </row>
    <row r="134" customHeight="1" ht="60.0">
      <c r="A134" s="73">
        <v>122</v>
      </c>
      <c r="B134" s="108"/>
      <c r="C134" s="110"/>
      <c r="D134" s="109" t="s">
        <v>876</v>
      </c>
      <c r="E134" s="58" t="s">
        <v>2823</v>
      </c>
      <c r="F134" s="58" t="s">
        <v>225</v>
      </c>
      <c r="G134" s="58" t="s">
        <v>2818</v>
      </c>
      <c r="H134" s="58" t="s">
        <v>3082</v>
      </c>
      <c r="I134" s="58" t="s">
        <v>2355</v>
      </c>
      <c r="J134" s="58" t="s">
        <v>2825</v>
      </c>
      <c r="K134" s="74" t="s">
        <v>2826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105"/>
      <c r="X134" s="58" t="s">
        <v>2358</v>
      </c>
      <c r="Y134" s="52"/>
      <c r="Z134" s="52"/>
      <c r="AA134" s="52"/>
      <c r="AB134" s="52"/>
      <c r="AC134" s="52"/>
    </row>
    <row r="135" customHeight="1" ht="127.5">
      <c r="A135" s="73">
        <v>123</v>
      </c>
      <c r="B135" s="108"/>
      <c r="C135" s="108" t="s">
        <v>102</v>
      </c>
      <c r="D135" s="108" t="s">
        <v>268</v>
      </c>
      <c r="E135" s="58" t="s">
        <v>2706</v>
      </c>
      <c r="F135" s="58" t="s">
        <v>203</v>
      </c>
      <c r="G135" s="58" t="s">
        <v>2824</v>
      </c>
      <c r="H135" s="58" t="s">
        <v>1435</v>
      </c>
      <c r="I135" s="58" t="s">
        <v>2355</v>
      </c>
      <c r="J135" s="58" t="s">
        <v>2828</v>
      </c>
      <c r="K135" s="74" t="s">
        <v>2829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2830</v>
      </c>
      <c r="X135" s="58" t="s">
        <v>2358</v>
      </c>
      <c r="Y135" s="52"/>
      <c r="Z135" s="52"/>
      <c r="AA135" s="52"/>
      <c r="AB135" s="52"/>
      <c r="AC135" s="52"/>
    </row>
    <row r="136" customHeight="1" ht="127.5">
      <c r="A136" s="73">
        <v>124</v>
      </c>
      <c r="B136" s="108"/>
      <c r="C136" s="108"/>
      <c r="D136" s="108"/>
      <c r="E136" s="58" t="s">
        <v>2831</v>
      </c>
      <c r="F136" s="58" t="s">
        <v>203</v>
      </c>
      <c r="G136" s="58" t="s">
        <v>2827</v>
      </c>
      <c r="H136" s="58" t="s">
        <v>1441</v>
      </c>
      <c r="I136" s="58" t="s">
        <v>2606</v>
      </c>
      <c r="J136" s="58" t="s">
        <v>2833</v>
      </c>
      <c r="K136" s="74" t="s">
        <v>2834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105"/>
      <c r="X136" s="58" t="s">
        <v>2358</v>
      </c>
      <c r="Y136" s="52"/>
      <c r="Z136" s="52"/>
      <c r="AA136" s="52"/>
      <c r="AB136" s="52"/>
      <c r="AC136" s="52"/>
    </row>
    <row r="137" customHeight="1" ht="48.6">
      <c r="A137" s="73">
        <v>125</v>
      </c>
      <c r="B137" s="108"/>
      <c r="C137" s="108"/>
      <c r="D137" s="108"/>
      <c r="E137" s="58" t="s">
        <v>2835</v>
      </c>
      <c r="F137" s="58" t="s">
        <v>210</v>
      </c>
      <c r="G137" s="58" t="s">
        <v>2832</v>
      </c>
      <c r="H137" s="58" t="s">
        <v>1446</v>
      </c>
      <c r="I137" s="58" t="s">
        <v>2611</v>
      </c>
      <c r="J137" s="58" t="s">
        <v>2837</v>
      </c>
      <c r="K137" s="74" t="s">
        <v>2838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2839</v>
      </c>
      <c r="X137" s="58" t="s">
        <v>2358</v>
      </c>
      <c r="Y137" s="52"/>
      <c r="Z137" s="52"/>
      <c r="AA137" s="52"/>
      <c r="AB137" s="52"/>
      <c r="AC137" s="52"/>
    </row>
    <row r="138" customHeight="1" ht="100.5">
      <c r="A138" s="73">
        <v>126</v>
      </c>
      <c r="B138" s="108"/>
      <c r="C138" s="108"/>
      <c r="D138" s="108"/>
      <c r="E138" s="58" t="s">
        <v>2840</v>
      </c>
      <c r="F138" s="58" t="s">
        <v>210</v>
      </c>
      <c r="G138" s="58" t="s">
        <v>2836</v>
      </c>
      <c r="H138" s="58" t="s">
        <v>2842</v>
      </c>
      <c r="I138" s="58" t="s">
        <v>2843</v>
      </c>
      <c r="J138" s="58" t="s">
        <v>2844</v>
      </c>
      <c r="K138" s="74" t="s">
        <v>2845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105"/>
      <c r="X138" s="58" t="s">
        <v>2358</v>
      </c>
      <c r="Y138" s="52"/>
      <c r="Z138" s="52"/>
      <c r="AA138" s="52"/>
      <c r="AB138" s="52"/>
      <c r="AC138" s="52"/>
    </row>
    <row r="139" customHeight="1" ht="60.0">
      <c r="A139" s="73">
        <v>127</v>
      </c>
      <c r="B139" s="108"/>
      <c r="C139" s="108"/>
      <c r="D139" s="110"/>
      <c r="E139" s="58" t="s">
        <v>2846</v>
      </c>
      <c r="F139" s="58" t="s">
        <v>210</v>
      </c>
      <c r="G139" s="58" t="s">
        <v>2841</v>
      </c>
      <c r="H139" s="58" t="s">
        <v>2848</v>
      </c>
      <c r="I139" s="58" t="s">
        <v>2611</v>
      </c>
      <c r="J139" s="58" t="s">
        <v>2849</v>
      </c>
      <c r="K139" s="74" t="s">
        <v>2850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2851</v>
      </c>
      <c r="X139" s="58" t="s">
        <v>2358</v>
      </c>
      <c r="Y139" s="52"/>
      <c r="Z139" s="52"/>
      <c r="AA139" s="52"/>
      <c r="AB139" s="52"/>
      <c r="AC139" s="52"/>
    </row>
    <row r="140" customHeight="1" ht="114.0">
      <c r="A140" s="73">
        <v>128</v>
      </c>
      <c r="B140" s="108"/>
      <c r="C140" s="108"/>
      <c r="D140" s="108" t="s">
        <v>2715</v>
      </c>
      <c r="E140" s="58" t="s">
        <v>2852</v>
      </c>
      <c r="F140" s="58" t="s">
        <v>203</v>
      </c>
      <c r="G140" s="58" t="s">
        <v>2847</v>
      </c>
      <c r="H140" s="58" t="s">
        <v>2854</v>
      </c>
      <c r="I140" s="58" t="s">
        <v>3083</v>
      </c>
      <c r="J140" s="58" t="s">
        <v>3084</v>
      </c>
      <c r="K140" s="74" t="s">
        <v>2857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77" t="s">
        <v>2858</v>
      </c>
      <c r="X140" s="58" t="s">
        <v>2358</v>
      </c>
      <c r="Y140" s="52"/>
      <c r="Z140" s="52"/>
      <c r="AA140" s="52"/>
      <c r="AB140" s="52"/>
      <c r="AC140" s="52"/>
    </row>
    <row r="141" customHeight="1" ht="114.0">
      <c r="A141" s="73">
        <v>129</v>
      </c>
      <c r="B141" s="108"/>
      <c r="C141" s="108"/>
      <c r="D141" s="108"/>
      <c r="E141" s="58" t="s">
        <v>2859</v>
      </c>
      <c r="F141" s="58" t="s">
        <v>203</v>
      </c>
      <c r="G141" s="58" t="s">
        <v>2853</v>
      </c>
      <c r="H141" s="58" t="s">
        <v>2861</v>
      </c>
      <c r="I141" s="58" t="s">
        <v>3083</v>
      </c>
      <c r="J141" s="58" t="s">
        <v>3085</v>
      </c>
      <c r="K141" s="74" t="s">
        <v>2863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2858</v>
      </c>
      <c r="X141" s="58" t="s">
        <v>2358</v>
      </c>
      <c r="Y141" s="52"/>
      <c r="Z141" s="52"/>
      <c r="AA141" s="52"/>
      <c r="AB141" s="52"/>
      <c r="AC141" s="52"/>
    </row>
    <row r="142" customHeight="1" ht="114.0">
      <c r="A142" s="73">
        <v>130</v>
      </c>
      <c r="B142" s="108"/>
      <c r="C142" s="108"/>
      <c r="D142" s="108"/>
      <c r="E142" s="58" t="s">
        <v>2864</v>
      </c>
      <c r="F142" s="58" t="s">
        <v>203</v>
      </c>
      <c r="G142" s="58" t="s">
        <v>2860</v>
      </c>
      <c r="H142" s="58" t="s">
        <v>2866</v>
      </c>
      <c r="I142" s="58" t="s">
        <v>3083</v>
      </c>
      <c r="J142" s="58" t="s">
        <v>3086</v>
      </c>
      <c r="K142" s="74" t="s">
        <v>3087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3088</v>
      </c>
      <c r="X142" s="58" t="s">
        <v>2358</v>
      </c>
      <c r="Y142" s="52"/>
      <c r="Z142" s="52"/>
      <c r="AA142" s="52"/>
      <c r="AB142" s="52"/>
      <c r="AC142" s="52"/>
    </row>
    <row r="143" customHeight="1" ht="73.5">
      <c r="A143" s="73">
        <v>131</v>
      </c>
      <c r="B143" s="108"/>
      <c r="C143" s="108"/>
      <c r="D143" s="108"/>
      <c r="E143" s="58" t="s">
        <v>2870</v>
      </c>
      <c r="F143" s="58" t="s">
        <v>225</v>
      </c>
      <c r="G143" s="58" t="s">
        <v>2865</v>
      </c>
      <c r="H143" s="58" t="s">
        <v>2872</v>
      </c>
      <c r="I143" s="58" t="s">
        <v>2873</v>
      </c>
      <c r="J143" s="58" t="s">
        <v>2874</v>
      </c>
      <c r="K143" s="74" t="s">
        <v>2875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2876</v>
      </c>
      <c r="X143" s="58" t="s">
        <v>2358</v>
      </c>
      <c r="Y143" s="52"/>
      <c r="Z143" s="52"/>
      <c r="AA143" s="52"/>
      <c r="AB143" s="52"/>
      <c r="AC143" s="52"/>
    </row>
    <row r="144" customHeight="1" ht="48.6">
      <c r="A144" s="73">
        <v>132</v>
      </c>
      <c r="B144" s="108"/>
      <c r="C144" s="108"/>
      <c r="D144" s="108"/>
      <c r="E144" s="58" t="s">
        <v>2877</v>
      </c>
      <c r="F144" s="58" t="s">
        <v>225</v>
      </c>
      <c r="G144" s="58" t="s">
        <v>2871</v>
      </c>
      <c r="H144" s="58" t="s">
        <v>2879</v>
      </c>
      <c r="I144" s="58" t="s">
        <v>2880</v>
      </c>
      <c r="J144" s="58" t="s">
        <v>2881</v>
      </c>
      <c r="K144" s="74" t="s">
        <v>3089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2883</v>
      </c>
      <c r="X144" s="58" t="s">
        <v>2358</v>
      </c>
      <c r="Y144" s="52"/>
      <c r="Z144" s="52"/>
      <c r="AA144" s="52"/>
      <c r="AB144" s="52"/>
      <c r="AC144" s="52"/>
    </row>
    <row r="145" customHeight="1" ht="73.5">
      <c r="A145" s="73">
        <v>133</v>
      </c>
      <c r="B145" s="108"/>
      <c r="C145" s="108"/>
      <c r="D145" s="108"/>
      <c r="E145" s="58" t="s">
        <v>2884</v>
      </c>
      <c r="F145" s="58" t="s">
        <v>210</v>
      </c>
      <c r="G145" s="58" t="s">
        <v>2878</v>
      </c>
      <c r="H145" s="58" t="s">
        <v>2886</v>
      </c>
      <c r="I145" s="58" t="s">
        <v>2887</v>
      </c>
      <c r="J145" s="58" t="s">
        <v>2888</v>
      </c>
      <c r="K145" s="104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77" t="s">
        <v>3090</v>
      </c>
      <c r="X145" s="58" t="s">
        <v>2358</v>
      </c>
      <c r="Y145" s="52"/>
      <c r="Z145" s="52"/>
      <c r="AA145" s="52"/>
      <c r="AB145" s="52"/>
      <c r="AC145" s="52"/>
    </row>
    <row r="146" customHeight="1" ht="73.5">
      <c r="A146" s="73">
        <v>134</v>
      </c>
      <c r="B146" s="108"/>
      <c r="C146" s="108"/>
      <c r="D146" s="110"/>
      <c r="E146" s="58" t="s">
        <v>2891</v>
      </c>
      <c r="F146" s="58" t="s">
        <v>210</v>
      </c>
      <c r="G146" s="58" t="s">
        <v>2885</v>
      </c>
      <c r="H146" s="58" t="s">
        <v>2893</v>
      </c>
      <c r="I146" s="58" t="s">
        <v>2355</v>
      </c>
      <c r="J146" s="58" t="s">
        <v>2894</v>
      </c>
      <c r="K146" s="74" t="s">
        <v>2895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3091</v>
      </c>
      <c r="X146" s="58" t="s">
        <v>2358</v>
      </c>
      <c r="Y146" s="52"/>
      <c r="Z146" s="52"/>
      <c r="AA146" s="52"/>
      <c r="AB146" s="52"/>
      <c r="AC146" s="52"/>
    </row>
    <row r="147" customHeight="1" ht="48.6">
      <c r="A147" s="73">
        <v>135</v>
      </c>
      <c r="B147" s="108"/>
      <c r="C147" s="110"/>
      <c r="D147" s="109" t="s">
        <v>448</v>
      </c>
      <c r="E147" s="58" t="s">
        <v>2897</v>
      </c>
      <c r="F147" s="58" t="s">
        <v>225</v>
      </c>
      <c r="G147" s="58" t="s">
        <v>2892</v>
      </c>
      <c r="H147" s="58" t="s">
        <v>2899</v>
      </c>
      <c r="I147" s="58" t="s">
        <v>2355</v>
      </c>
      <c r="J147" s="58" t="s">
        <v>2900</v>
      </c>
      <c r="K147" s="104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77" t="s">
        <v>3092</v>
      </c>
      <c r="X147" s="58" t="s">
        <v>2358</v>
      </c>
      <c r="Y147" s="52"/>
      <c r="Z147" s="52"/>
      <c r="AA147" s="52"/>
      <c r="AB147" s="52"/>
      <c r="AC147" s="52"/>
    </row>
    <row r="148" customHeight="1" ht="100.5">
      <c r="A148" s="73">
        <v>136</v>
      </c>
      <c r="B148" s="108"/>
      <c r="C148" s="108" t="s">
        <v>126</v>
      </c>
      <c r="D148" s="108" t="s">
        <v>268</v>
      </c>
      <c r="E148" s="58" t="s">
        <v>2903</v>
      </c>
      <c r="F148" s="58" t="s">
        <v>203</v>
      </c>
      <c r="G148" s="58" t="s">
        <v>2898</v>
      </c>
      <c r="H148" s="58" t="s">
        <v>1480</v>
      </c>
      <c r="I148" s="58" t="s">
        <v>2606</v>
      </c>
      <c r="J148" s="58" t="s">
        <v>2905</v>
      </c>
      <c r="K148" s="74" t="s">
        <v>2906</v>
      </c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105"/>
      <c r="X148" s="58" t="s">
        <v>2358</v>
      </c>
      <c r="Y148" s="52"/>
      <c r="Z148" s="52"/>
      <c r="AA148" s="52"/>
      <c r="AB148" s="52"/>
      <c r="AC148" s="52"/>
    </row>
    <row r="149" customHeight="1" ht="73.5">
      <c r="A149" s="73">
        <v>137</v>
      </c>
      <c r="B149" s="108"/>
      <c r="C149" s="108"/>
      <c r="D149" s="108"/>
      <c r="E149" s="58" t="s">
        <v>2907</v>
      </c>
      <c r="F149" s="58" t="s">
        <v>203</v>
      </c>
      <c r="G149" s="58" t="s">
        <v>2904</v>
      </c>
      <c r="H149" s="58" t="s">
        <v>1485</v>
      </c>
      <c r="I149" s="58" t="s">
        <v>2606</v>
      </c>
      <c r="J149" s="58" t="s">
        <v>2909</v>
      </c>
      <c r="K149" s="74" t="s">
        <v>2910</v>
      </c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105"/>
      <c r="X149" s="58" t="s">
        <v>2358</v>
      </c>
      <c r="Y149" s="52"/>
      <c r="Z149" s="52"/>
      <c r="AA149" s="52"/>
      <c r="AB149" s="52"/>
      <c r="AC149" s="52"/>
    </row>
    <row r="150" customHeight="1" ht="60.0">
      <c r="A150" s="73">
        <v>138</v>
      </c>
      <c r="B150" s="108"/>
      <c r="C150" s="108"/>
      <c r="D150" s="110"/>
      <c r="E150" s="58" t="s">
        <v>1040</v>
      </c>
      <c r="F150" s="58" t="s">
        <v>210</v>
      </c>
      <c r="G150" s="58" t="s">
        <v>2908</v>
      </c>
      <c r="H150" s="58" t="s">
        <v>2912</v>
      </c>
      <c r="I150" s="58" t="s">
        <v>2611</v>
      </c>
      <c r="J150" s="58" t="s">
        <v>2913</v>
      </c>
      <c r="K150" s="74" t="s">
        <v>2914</v>
      </c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77" t="s">
        <v>2915</v>
      </c>
      <c r="X150" s="58" t="s">
        <v>2358</v>
      </c>
      <c r="Y150" s="52"/>
      <c r="Z150" s="52"/>
      <c r="AA150" s="52"/>
      <c r="AB150" s="52"/>
      <c r="AC150" s="52"/>
    </row>
    <row r="151" customHeight="1" ht="154.5">
      <c r="A151" s="73">
        <v>139</v>
      </c>
      <c r="B151" s="108"/>
      <c r="C151" s="108"/>
      <c r="D151" s="108" t="s">
        <v>2725</v>
      </c>
      <c r="E151" s="58" t="s">
        <v>2916</v>
      </c>
      <c r="F151" s="58" t="s">
        <v>203</v>
      </c>
      <c r="G151" s="58" t="s">
        <v>2911</v>
      </c>
      <c r="H151" s="58" t="s">
        <v>2918</v>
      </c>
      <c r="I151" s="58" t="s">
        <v>2606</v>
      </c>
      <c r="J151" s="58" t="s">
        <v>2919</v>
      </c>
      <c r="K151" s="74" t="s">
        <v>2920</v>
      </c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105"/>
      <c r="X151" s="58" t="s">
        <v>2358</v>
      </c>
      <c r="Y151" s="52"/>
      <c r="Z151" s="52"/>
      <c r="AA151" s="52"/>
      <c r="AB151" s="52"/>
      <c r="AC151" s="52"/>
    </row>
    <row r="152" customHeight="1" ht="60.0">
      <c r="A152" s="73">
        <v>140</v>
      </c>
      <c r="B152" s="108"/>
      <c r="C152" s="108"/>
      <c r="D152" s="108"/>
      <c r="E152" s="58" t="s">
        <v>2921</v>
      </c>
      <c r="F152" s="58" t="s">
        <v>210</v>
      </c>
      <c r="G152" s="58" t="s">
        <v>2917</v>
      </c>
      <c r="H152" s="58" t="s">
        <v>2923</v>
      </c>
      <c r="I152" s="58" t="s">
        <v>2606</v>
      </c>
      <c r="J152" s="58" t="s">
        <v>2924</v>
      </c>
      <c r="K152" s="74" t="s">
        <v>2925</v>
      </c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105"/>
      <c r="X152" s="58" t="s">
        <v>2358</v>
      </c>
      <c r="Y152" s="52"/>
      <c r="Z152" s="52"/>
      <c r="AA152" s="52"/>
      <c r="AB152" s="52"/>
      <c r="AC152" s="52"/>
    </row>
    <row r="153" customHeight="1" ht="60.0">
      <c r="A153" s="73">
        <v>141</v>
      </c>
      <c r="B153" s="108"/>
      <c r="C153" s="108"/>
      <c r="D153" s="108"/>
      <c r="E153" s="58" t="s">
        <v>2926</v>
      </c>
      <c r="F153" s="58" t="s">
        <v>210</v>
      </c>
      <c r="G153" s="58" t="s">
        <v>2922</v>
      </c>
      <c r="H153" s="58" t="s">
        <v>2928</v>
      </c>
      <c r="I153" s="58" t="s">
        <v>2606</v>
      </c>
      <c r="J153" s="58" t="s">
        <v>2929</v>
      </c>
      <c r="K153" s="74" t="s">
        <v>2930</v>
      </c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105"/>
      <c r="X153" s="58" t="s">
        <v>2358</v>
      </c>
      <c r="Y153" s="52"/>
      <c r="Z153" s="52"/>
      <c r="AA153" s="52"/>
      <c r="AB153" s="52"/>
      <c r="AC153" s="52"/>
    </row>
    <row r="154" customHeight="1" ht="60.0">
      <c r="A154" s="73">
        <v>142</v>
      </c>
      <c r="B154" s="108"/>
      <c r="C154" s="108"/>
      <c r="D154" s="108"/>
      <c r="E154" s="58" t="s">
        <v>1040</v>
      </c>
      <c r="F154" s="58" t="s">
        <v>225</v>
      </c>
      <c r="G154" s="58" t="s">
        <v>2927</v>
      </c>
      <c r="H154" s="58" t="s">
        <v>2932</v>
      </c>
      <c r="I154" s="58" t="s">
        <v>2611</v>
      </c>
      <c r="J154" s="58" t="s">
        <v>2933</v>
      </c>
      <c r="K154" s="74" t="s">
        <v>2934</v>
      </c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77" t="s">
        <v>2839</v>
      </c>
      <c r="X154" s="58" t="s">
        <v>2358</v>
      </c>
      <c r="Y154" s="52"/>
      <c r="Z154" s="52"/>
      <c r="AA154" s="52"/>
      <c r="AB154" s="52"/>
      <c r="AC154" s="52"/>
    </row>
    <row r="155" customHeight="1" ht="73.5">
      <c r="A155" s="73">
        <v>143</v>
      </c>
      <c r="B155" s="108"/>
      <c r="C155" s="108"/>
      <c r="D155" s="110"/>
      <c r="E155" s="58" t="s">
        <v>2935</v>
      </c>
      <c r="F155" s="58" t="s">
        <v>225</v>
      </c>
      <c r="G155" s="58" t="s">
        <v>2931</v>
      </c>
      <c r="H155" s="58" t="s">
        <v>2937</v>
      </c>
      <c r="I155" s="58" t="s">
        <v>2938</v>
      </c>
      <c r="J155" s="58" t="s">
        <v>2939</v>
      </c>
      <c r="K155" s="104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77" t="s">
        <v>2940</v>
      </c>
      <c r="X155" s="58" t="s">
        <v>2358</v>
      </c>
      <c r="Y155" s="52"/>
      <c r="Z155" s="52"/>
      <c r="AA155" s="52"/>
      <c r="AB155" s="52"/>
      <c r="AC155" s="52"/>
    </row>
    <row r="156" customHeight="1" ht="60.0">
      <c r="A156" s="73">
        <v>144</v>
      </c>
      <c r="B156" s="108"/>
      <c r="C156" s="108"/>
      <c r="D156" s="109" t="s">
        <v>1216</v>
      </c>
      <c r="E156" s="58" t="s">
        <v>2941</v>
      </c>
      <c r="F156" s="58" t="s">
        <v>203</v>
      </c>
      <c r="G156" s="58" t="s">
        <v>2936</v>
      </c>
      <c r="H156" s="58" t="s">
        <v>1495</v>
      </c>
      <c r="I156" s="58" t="s">
        <v>2355</v>
      </c>
      <c r="J156" s="58" t="s">
        <v>2943</v>
      </c>
      <c r="K156" s="74" t="s">
        <v>1497</v>
      </c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105"/>
      <c r="X156" s="58" t="s">
        <v>2358</v>
      </c>
      <c r="Y156" s="52"/>
      <c r="Z156" s="52"/>
      <c r="AA156" s="52"/>
      <c r="AB156" s="52"/>
      <c r="AC156" s="52"/>
    </row>
    <row r="157" customHeight="1" ht="60.0">
      <c r="A157" s="73">
        <v>145</v>
      </c>
      <c r="B157" s="108"/>
      <c r="C157" s="108"/>
      <c r="D157" s="108" t="s">
        <v>659</v>
      </c>
      <c r="E157" s="58" t="s">
        <v>2556</v>
      </c>
      <c r="F157" s="58" t="s">
        <v>203</v>
      </c>
      <c r="G157" s="58" t="s">
        <v>2942</v>
      </c>
      <c r="H157" s="58" t="s">
        <v>1500</v>
      </c>
      <c r="I157" s="58" t="s">
        <v>2355</v>
      </c>
      <c r="J157" s="58" t="s">
        <v>3093</v>
      </c>
      <c r="K157" s="74" t="s">
        <v>3094</v>
      </c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105"/>
      <c r="X157" s="58" t="s">
        <v>2358</v>
      </c>
      <c r="Y157" s="52"/>
      <c r="Z157" s="52"/>
      <c r="AA157" s="52"/>
      <c r="AB157" s="52"/>
      <c r="AC157" s="52"/>
    </row>
    <row r="158" customHeight="1" ht="60.0">
      <c r="A158" s="73">
        <v>146</v>
      </c>
      <c r="B158" s="108"/>
      <c r="C158" s="108"/>
      <c r="D158" s="108"/>
      <c r="E158" s="58" t="s">
        <v>2948</v>
      </c>
      <c r="F158" s="58" t="s">
        <v>210</v>
      </c>
      <c r="G158" s="58" t="s">
        <v>2944</v>
      </c>
      <c r="H158" s="58" t="s">
        <v>1505</v>
      </c>
      <c r="I158" s="58" t="s">
        <v>2355</v>
      </c>
      <c r="J158" s="58" t="s">
        <v>3095</v>
      </c>
      <c r="K158" s="74" t="s">
        <v>3096</v>
      </c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105"/>
      <c r="X158" s="58" t="s">
        <v>2358</v>
      </c>
      <c r="Y158" s="52"/>
      <c r="Z158" s="52"/>
      <c r="AA158" s="52"/>
      <c r="AB158" s="52"/>
      <c r="AC158" s="52"/>
    </row>
    <row r="159" customHeight="1" ht="60.0">
      <c r="A159" s="73">
        <v>147</v>
      </c>
      <c r="B159" s="108"/>
      <c r="C159" s="108"/>
      <c r="D159" s="110"/>
      <c r="E159" s="58" t="s">
        <v>677</v>
      </c>
      <c r="F159" s="58" t="s">
        <v>210</v>
      </c>
      <c r="G159" s="58" t="s">
        <v>2949</v>
      </c>
      <c r="H159" s="58" t="s">
        <v>2954</v>
      </c>
      <c r="I159" s="58" t="s">
        <v>2355</v>
      </c>
      <c r="J159" s="58" t="s">
        <v>3097</v>
      </c>
      <c r="K159" s="74" t="s">
        <v>3098</v>
      </c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105"/>
      <c r="X159" s="58" t="s">
        <v>2358</v>
      </c>
      <c r="Y159" s="52"/>
      <c r="Z159" s="52"/>
      <c r="AA159" s="52"/>
      <c r="AB159" s="52"/>
      <c r="AC159" s="52"/>
    </row>
    <row r="160" customHeight="1" ht="60.0">
      <c r="A160" s="73">
        <v>148</v>
      </c>
      <c r="B160" s="108"/>
      <c r="C160" s="108"/>
      <c r="D160" s="108" t="s">
        <v>2957</v>
      </c>
      <c r="E160" s="58" t="s">
        <v>1513</v>
      </c>
      <c r="F160" s="58" t="s">
        <v>210</v>
      </c>
      <c r="G160" s="58" t="s">
        <v>2953</v>
      </c>
      <c r="H160" s="58" t="s">
        <v>2959</v>
      </c>
      <c r="I160" s="58" t="s">
        <v>2606</v>
      </c>
      <c r="J160" s="58" t="s">
        <v>2960</v>
      </c>
      <c r="K160" s="74" t="s">
        <v>3099</v>
      </c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105"/>
      <c r="X160" s="58" t="s">
        <v>2358</v>
      </c>
      <c r="Y160" s="52"/>
      <c r="Z160" s="52"/>
      <c r="AA160" s="52"/>
      <c r="AB160" s="52"/>
      <c r="AC160" s="52"/>
    </row>
    <row r="161" customHeight="1" ht="60.0">
      <c r="A161" s="73">
        <v>149</v>
      </c>
      <c r="B161" s="108"/>
      <c r="C161" s="108"/>
      <c r="D161" s="108"/>
      <c r="E161" s="58" t="s">
        <v>1518</v>
      </c>
      <c r="F161" s="58" t="s">
        <v>210</v>
      </c>
      <c r="G161" s="58" t="s">
        <v>2958</v>
      </c>
      <c r="H161" s="58" t="s">
        <v>2964</v>
      </c>
      <c r="I161" s="58" t="s">
        <v>2606</v>
      </c>
      <c r="J161" s="58" t="s">
        <v>2965</v>
      </c>
      <c r="K161" s="74" t="s">
        <v>3100</v>
      </c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77" t="s">
        <v>3101</v>
      </c>
      <c r="X161" s="58" t="s">
        <v>2358</v>
      </c>
      <c r="Y161" s="52"/>
      <c r="Z161" s="52"/>
      <c r="AA161" s="52"/>
      <c r="AB161" s="52"/>
      <c r="AC161" s="52"/>
    </row>
    <row r="162" customHeight="1" ht="60.0">
      <c r="A162" s="73">
        <v>150</v>
      </c>
      <c r="B162" s="108"/>
      <c r="C162" s="108"/>
      <c r="D162" s="108"/>
      <c r="E162" s="58" t="s">
        <v>1523</v>
      </c>
      <c r="F162" s="58" t="s">
        <v>210</v>
      </c>
      <c r="G162" s="58" t="s">
        <v>2963</v>
      </c>
      <c r="H162" s="58" t="s">
        <v>2968</v>
      </c>
      <c r="I162" s="58" t="s">
        <v>2606</v>
      </c>
      <c r="J162" s="58" t="s">
        <v>2969</v>
      </c>
      <c r="K162" s="74" t="s">
        <v>3102</v>
      </c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77" t="s">
        <v>3101</v>
      </c>
      <c r="X162" s="58" t="s">
        <v>2358</v>
      </c>
      <c r="Y162" s="52"/>
      <c r="Z162" s="52"/>
      <c r="AA162" s="52"/>
      <c r="AB162" s="52"/>
      <c r="AC162" s="52"/>
    </row>
    <row r="163" customHeight="1" ht="60.0">
      <c r="A163" s="73">
        <v>151</v>
      </c>
      <c r="B163" s="108"/>
      <c r="C163" s="108"/>
      <c r="D163" s="108"/>
      <c r="E163" s="58" t="s">
        <v>1528</v>
      </c>
      <c r="F163" s="58" t="s">
        <v>225</v>
      </c>
      <c r="G163" s="58" t="s">
        <v>2967</v>
      </c>
      <c r="H163" s="58" t="s">
        <v>2972</v>
      </c>
      <c r="I163" s="58" t="s">
        <v>2606</v>
      </c>
      <c r="J163" s="58" t="s">
        <v>3103</v>
      </c>
      <c r="K163" s="74" t="s">
        <v>3104</v>
      </c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105"/>
      <c r="X163" s="58" t="s">
        <v>2358</v>
      </c>
      <c r="Y163" s="52"/>
      <c r="Z163" s="52"/>
      <c r="AA163" s="52"/>
      <c r="AB163" s="52"/>
      <c r="AC163" s="52"/>
    </row>
    <row r="164" customHeight="1" ht="73.5">
      <c r="A164" s="73">
        <v>152</v>
      </c>
      <c r="B164" s="110"/>
      <c r="C164" s="110"/>
      <c r="D164" s="110"/>
      <c r="E164" s="58" t="s">
        <v>2975</v>
      </c>
      <c r="F164" s="58" t="s">
        <v>225</v>
      </c>
      <c r="G164" s="58" t="s">
        <v>2971</v>
      </c>
      <c r="H164" s="58" t="s">
        <v>2977</v>
      </c>
      <c r="I164" s="58" t="s">
        <v>2606</v>
      </c>
      <c r="J164" s="58" t="s">
        <v>2978</v>
      </c>
      <c r="K164" s="74" t="s">
        <v>2979</v>
      </c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105"/>
      <c r="X164" s="58" t="s">
        <v>2358</v>
      </c>
      <c r="Y164" s="52"/>
      <c r="Z164" s="52"/>
      <c r="AA164" s="52"/>
      <c r="AB164" s="52"/>
      <c r="AC164" s="52"/>
    </row>
    <row r="165" customHeight="1" ht="48.6">
      <c r="A165" s="73">
        <v>153</v>
      </c>
      <c r="B165" s="108" t="s">
        <v>110</v>
      </c>
      <c r="C165" s="108" t="s">
        <v>139</v>
      </c>
      <c r="D165" s="108" t="s">
        <v>1183</v>
      </c>
      <c r="E165" s="58" t="s">
        <v>2981</v>
      </c>
      <c r="F165" s="58" t="s">
        <v>203</v>
      </c>
      <c r="G165" s="58" t="s">
        <v>2976</v>
      </c>
      <c r="H165" s="58" t="s">
        <v>2983</v>
      </c>
      <c r="I165" s="58" t="s">
        <v>1803</v>
      </c>
      <c r="J165" s="58" t="s">
        <v>2984</v>
      </c>
      <c r="K165" s="74" t="s">
        <v>2985</v>
      </c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77" t="s">
        <v>2986</v>
      </c>
      <c r="X165" s="58" t="s">
        <v>2350</v>
      </c>
      <c r="Y165" s="52"/>
      <c r="Z165" s="52"/>
      <c r="AA165" s="52"/>
      <c r="AB165" s="52"/>
      <c r="AC165" s="52"/>
    </row>
    <row r="166" customHeight="1" ht="48.6">
      <c r="A166" s="73">
        <v>154</v>
      </c>
      <c r="B166" s="108"/>
      <c r="C166" s="108"/>
      <c r="D166" s="110"/>
      <c r="E166" s="58" t="s">
        <v>2987</v>
      </c>
      <c r="F166" s="58" t="s">
        <v>203</v>
      </c>
      <c r="G166" s="58" t="s">
        <v>2982</v>
      </c>
      <c r="H166" s="58" t="s">
        <v>2989</v>
      </c>
      <c r="I166" s="58" t="s">
        <v>1803</v>
      </c>
      <c r="J166" s="58" t="s">
        <v>2990</v>
      </c>
      <c r="K166" s="74" t="s">
        <v>2991</v>
      </c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77" t="s">
        <v>2992</v>
      </c>
      <c r="X166" s="58" t="s">
        <v>2118</v>
      </c>
      <c r="Y166" s="52"/>
      <c r="Z166" s="52"/>
      <c r="AA166" s="52"/>
      <c r="AB166" s="52"/>
      <c r="AC166" s="52"/>
    </row>
    <row r="167" customHeight="1" ht="48.6">
      <c r="A167" s="73">
        <v>155</v>
      </c>
      <c r="B167" s="108"/>
      <c r="C167" s="110"/>
      <c r="D167" s="109" t="s">
        <v>1195</v>
      </c>
      <c r="E167" s="58" t="s">
        <v>1196</v>
      </c>
      <c r="F167" s="58" t="s">
        <v>203</v>
      </c>
      <c r="G167" s="58" t="s">
        <v>2988</v>
      </c>
      <c r="H167" s="58" t="s">
        <v>2994</v>
      </c>
      <c r="I167" s="58" t="s">
        <v>2995</v>
      </c>
      <c r="J167" s="58" t="s">
        <v>2996</v>
      </c>
      <c r="K167" s="74" t="s">
        <v>2997</v>
      </c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77" t="s">
        <v>2998</v>
      </c>
      <c r="X167" s="58" t="s">
        <v>2358</v>
      </c>
      <c r="Y167" s="52"/>
      <c r="Z167" s="52"/>
      <c r="AA167" s="52"/>
      <c r="AB167" s="52"/>
      <c r="AC167" s="52"/>
    </row>
    <row r="168" customHeight="1" ht="73.5">
      <c r="A168" s="73">
        <v>156</v>
      </c>
      <c r="B168" s="108"/>
      <c r="C168" s="108" t="s">
        <v>140</v>
      </c>
      <c r="D168" s="108" t="s">
        <v>1207</v>
      </c>
      <c r="E168" s="58" t="s">
        <v>2999</v>
      </c>
      <c r="F168" s="58" t="s">
        <v>203</v>
      </c>
      <c r="G168" s="58" t="s">
        <v>2993</v>
      </c>
      <c r="H168" s="58" t="s">
        <v>3001</v>
      </c>
      <c r="I168" s="58" t="s">
        <v>3002</v>
      </c>
      <c r="J168" s="58" t="s">
        <v>3003</v>
      </c>
      <c r="K168" s="74" t="s">
        <v>3004</v>
      </c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77" t="s">
        <v>3005</v>
      </c>
      <c r="X168" s="58" t="s">
        <v>2350</v>
      </c>
      <c r="Y168" s="52"/>
      <c r="Z168" s="52"/>
      <c r="AA168" s="52"/>
      <c r="AB168" s="52"/>
      <c r="AC168" s="52"/>
    </row>
    <row r="169" customHeight="1" ht="48.6">
      <c r="A169" s="73">
        <v>157</v>
      </c>
      <c r="B169" s="108"/>
      <c r="C169" s="110"/>
      <c r="D169" s="110"/>
      <c r="E169" s="58" t="s">
        <v>2987</v>
      </c>
      <c r="F169" s="58" t="s">
        <v>203</v>
      </c>
      <c r="G169" s="58" t="s">
        <v>3000</v>
      </c>
      <c r="H169" s="58" t="s">
        <v>3007</v>
      </c>
      <c r="I169" s="58" t="s">
        <v>1815</v>
      </c>
      <c r="J169" s="58" t="s">
        <v>2990</v>
      </c>
      <c r="K169" s="74" t="s">
        <v>2991</v>
      </c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77" t="s">
        <v>3008</v>
      </c>
      <c r="X169" s="58" t="s">
        <v>2118</v>
      </c>
      <c r="Y169" s="52"/>
      <c r="Z169" s="52"/>
      <c r="AA169" s="52"/>
      <c r="AB169" s="52"/>
      <c r="AC169" s="52"/>
    </row>
    <row r="170" customHeight="1" ht="48.6">
      <c r="A170" s="73">
        <v>158</v>
      </c>
      <c r="B170" s="108"/>
      <c r="C170" s="108" t="s">
        <v>141</v>
      </c>
      <c r="D170" s="108" t="s">
        <v>3009</v>
      </c>
      <c r="E170" s="58" t="s">
        <v>2106</v>
      </c>
      <c r="F170" s="58" t="s">
        <v>203</v>
      </c>
      <c r="G170" s="58" t="s">
        <v>3006</v>
      </c>
      <c r="H170" s="58" t="s">
        <v>3011</v>
      </c>
      <c r="I170" s="58" t="s">
        <v>1820</v>
      </c>
      <c r="J170" s="58" t="s">
        <v>1821</v>
      </c>
      <c r="K170" s="74" t="s">
        <v>1822</v>
      </c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77" t="s">
        <v>3012</v>
      </c>
      <c r="X170" s="58" t="s">
        <v>2118</v>
      </c>
      <c r="Y170" s="52"/>
      <c r="Z170" s="52"/>
      <c r="AA170" s="52"/>
      <c r="AB170" s="52"/>
      <c r="AC170" s="52"/>
    </row>
    <row r="171" customHeight="1" ht="73.5">
      <c r="A171" s="73">
        <v>159</v>
      </c>
      <c r="B171" s="108"/>
      <c r="C171" s="110"/>
      <c r="D171" s="110"/>
      <c r="E171" s="58" t="s">
        <v>3013</v>
      </c>
      <c r="F171" s="58" t="s">
        <v>203</v>
      </c>
      <c r="G171" s="58" t="s">
        <v>3010</v>
      </c>
      <c r="H171" s="58" t="s">
        <v>3015</v>
      </c>
      <c r="I171" s="58" t="s">
        <v>3016</v>
      </c>
      <c r="J171" s="58" t="s">
        <v>3017</v>
      </c>
      <c r="K171" s="74" t="s">
        <v>3018</v>
      </c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105"/>
      <c r="X171" s="58" t="s">
        <v>2118</v>
      </c>
      <c r="Y171" s="52"/>
      <c r="Z171" s="52"/>
      <c r="AA171" s="52"/>
      <c r="AB171" s="52"/>
      <c r="AC171" s="52"/>
    </row>
    <row r="172" customHeight="1" ht="48.6">
      <c r="A172" s="73">
        <v>160</v>
      </c>
      <c r="B172" s="108"/>
      <c r="C172" s="108" t="s">
        <v>3020</v>
      </c>
      <c r="D172" s="108" t="s">
        <v>3009</v>
      </c>
      <c r="E172" s="58" t="s">
        <v>3021</v>
      </c>
      <c r="F172" s="58" t="s">
        <v>203</v>
      </c>
      <c r="G172" s="58" t="s">
        <v>3014</v>
      </c>
      <c r="H172" s="58" t="s">
        <v>3023</v>
      </c>
      <c r="I172" s="58" t="s">
        <v>504</v>
      </c>
      <c r="J172" s="58" t="s">
        <v>1821</v>
      </c>
      <c r="K172" s="74" t="s">
        <v>1822</v>
      </c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105"/>
      <c r="X172" s="58" t="s">
        <v>2118</v>
      </c>
      <c r="Y172" s="52"/>
      <c r="Z172" s="52"/>
      <c r="AA172" s="52"/>
      <c r="AB172" s="52"/>
      <c r="AC172" s="52"/>
    </row>
    <row r="173" customHeight="1" ht="48.6">
      <c r="A173" s="73">
        <v>161</v>
      </c>
      <c r="B173" s="108"/>
      <c r="C173" s="108"/>
      <c r="D173" s="108"/>
      <c r="E173" s="58" t="s">
        <v>3024</v>
      </c>
      <c r="F173" s="58" t="s">
        <v>210</v>
      </c>
      <c r="G173" s="58" t="s">
        <v>3022</v>
      </c>
      <c r="H173" s="58" t="s">
        <v>3026</v>
      </c>
      <c r="I173" s="58" t="s">
        <v>1835</v>
      </c>
      <c r="J173" s="58" t="s">
        <v>1821</v>
      </c>
      <c r="K173" s="74" t="s">
        <v>1822</v>
      </c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105"/>
      <c r="X173" s="58" t="s">
        <v>2118</v>
      </c>
      <c r="Y173" s="52"/>
      <c r="Z173" s="52"/>
      <c r="AA173" s="52"/>
      <c r="AB173" s="52"/>
      <c r="AC173" s="52"/>
    </row>
    <row r="174" customHeight="1" ht="48.6">
      <c r="A174" s="73">
        <v>162</v>
      </c>
      <c r="B174" s="108"/>
      <c r="C174" s="108"/>
      <c r="D174" s="108"/>
      <c r="E174" s="58" t="s">
        <v>3027</v>
      </c>
      <c r="F174" s="58" t="s">
        <v>210</v>
      </c>
      <c r="G174" s="58" t="s">
        <v>3025</v>
      </c>
      <c r="H174" s="58" t="s">
        <v>3029</v>
      </c>
      <c r="I174" s="58" t="s">
        <v>1211</v>
      </c>
      <c r="J174" s="58" t="s">
        <v>1821</v>
      </c>
      <c r="K174" s="74" t="s">
        <v>1822</v>
      </c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105"/>
      <c r="X174" s="58" t="s">
        <v>2118</v>
      </c>
      <c r="Y174" s="52"/>
      <c r="Z174" s="52"/>
      <c r="AA174" s="52"/>
      <c r="AB174" s="52"/>
      <c r="AC174" s="52"/>
    </row>
    <row r="175" customHeight="1" ht="100.5">
      <c r="A175" s="73">
        <v>163</v>
      </c>
      <c r="B175" s="110"/>
      <c r="C175" s="110"/>
      <c r="D175" s="110"/>
      <c r="E175" s="58" t="s">
        <v>3030</v>
      </c>
      <c r="F175" s="58" t="s">
        <v>203</v>
      </c>
      <c r="G175" s="58" t="s">
        <v>3028</v>
      </c>
      <c r="H175" s="58" t="s">
        <v>3032</v>
      </c>
      <c r="I175" s="58" t="s">
        <v>504</v>
      </c>
      <c r="J175" s="58" t="s">
        <v>2352</v>
      </c>
      <c r="K175" s="74" t="s">
        <v>3033</v>
      </c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105"/>
      <c r="X175" s="58" t="s">
        <v>2118</v>
      </c>
      <c r="Y175" s="52"/>
      <c r="Z175" s="52"/>
      <c r="AA175" s="52"/>
      <c r="AB175" s="52"/>
      <c r="AC175" s="52"/>
    </row>
    <row r="176" customHeight="1" ht="87.0">
      <c r="A176" s="73">
        <v>164</v>
      </c>
      <c r="B176" s="108" t="s">
        <v>89</v>
      </c>
      <c r="C176" s="108" t="s">
        <v>3034</v>
      </c>
      <c r="D176" s="109" t="s">
        <v>1241</v>
      </c>
      <c r="E176" s="58" t="s">
        <v>3035</v>
      </c>
      <c r="F176" s="58" t="s">
        <v>203</v>
      </c>
      <c r="G176" s="58" t="s">
        <v>3031</v>
      </c>
      <c r="H176" s="58" t="s">
        <v>3037</v>
      </c>
      <c r="I176" s="58" t="s">
        <v>1259</v>
      </c>
      <c r="J176" s="58" t="s">
        <v>3038</v>
      </c>
      <c r="K176" s="74" t="s">
        <v>3039</v>
      </c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77" t="s">
        <v>3040</v>
      </c>
      <c r="X176" s="58" t="s">
        <v>2378</v>
      </c>
      <c r="Y176" s="52"/>
      <c r="Z176" s="52"/>
      <c r="AA176" s="52"/>
      <c r="AB176" s="52"/>
      <c r="AC176" s="52"/>
    </row>
    <row r="177" customHeight="1" ht="60.0">
      <c r="A177" s="73">
        <v>165</v>
      </c>
      <c r="B177" s="108"/>
      <c r="C177" s="110"/>
      <c r="D177" s="109" t="s">
        <v>3041</v>
      </c>
      <c r="E177" s="58" t="s">
        <v>3042</v>
      </c>
      <c r="F177" s="58" t="s">
        <v>203</v>
      </c>
      <c r="G177" s="58" t="s">
        <v>3036</v>
      </c>
      <c r="H177" s="58" t="s">
        <v>3044</v>
      </c>
      <c r="I177" s="58" t="s">
        <v>1259</v>
      </c>
      <c r="J177" s="58" t="s">
        <v>3045</v>
      </c>
      <c r="K177" s="74" t="s">
        <v>3046</v>
      </c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77" t="s">
        <v>3047</v>
      </c>
      <c r="X177" s="58" t="s">
        <v>2378</v>
      </c>
      <c r="Y177" s="52"/>
      <c r="Z177" s="52"/>
      <c r="AA177" s="52"/>
      <c r="AB177" s="52"/>
      <c r="AC177" s="52"/>
    </row>
    <row r="178" customHeight="1" ht="87.0">
      <c r="A178" s="73">
        <v>166</v>
      </c>
      <c r="B178" s="110"/>
      <c r="C178" s="109" t="s">
        <v>116</v>
      </c>
      <c r="D178" s="109" t="s">
        <v>1247</v>
      </c>
      <c r="E178" s="58" t="s">
        <v>3048</v>
      </c>
      <c r="F178" s="58" t="s">
        <v>210</v>
      </c>
      <c r="G178" s="58" t="s">
        <v>3043</v>
      </c>
      <c r="H178" s="58" t="s">
        <v>3050</v>
      </c>
      <c r="I178" s="58" t="s">
        <v>1259</v>
      </c>
      <c r="J178" s="58" t="s">
        <v>3051</v>
      </c>
      <c r="K178" s="104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77" t="s">
        <v>3052</v>
      </c>
      <c r="X178" s="58" t="s">
        <v>2170</v>
      </c>
      <c r="Y178" s="52"/>
      <c r="Z178" s="52"/>
      <c r="AA178" s="52"/>
      <c r="AB178" s="52"/>
      <c r="AC178" s="52"/>
    </row>
  </sheetData>
  <mergeCells count="88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8"/>
    <mergeCell ref="B19:B101"/>
    <mergeCell ref="B102:B128"/>
    <mergeCell ref="B129:B164"/>
    <mergeCell ref="B165:B175"/>
    <mergeCell ref="B176:B178"/>
    <mergeCell ref="C13:C14"/>
    <mergeCell ref="C15:C18"/>
    <mergeCell ref="C20:C64"/>
    <mergeCell ref="C65:C77"/>
    <mergeCell ref="C78:C96"/>
    <mergeCell ref="C97:C101"/>
    <mergeCell ref="C102:C103"/>
    <mergeCell ref="C104:C106"/>
    <mergeCell ref="C107:C111"/>
    <mergeCell ref="C112:C113"/>
    <mergeCell ref="C114:C118"/>
    <mergeCell ref="C119:C128"/>
    <mergeCell ref="C129:C132"/>
    <mergeCell ref="C133:C134"/>
    <mergeCell ref="C135:C147"/>
    <mergeCell ref="C148:C164"/>
    <mergeCell ref="C165:C167"/>
    <mergeCell ref="C168:C169"/>
    <mergeCell ref="C170:C171"/>
    <mergeCell ref="C172:C175"/>
    <mergeCell ref="C176:C177"/>
    <mergeCell ref="D15:D16"/>
    <mergeCell ref="D17:D18"/>
    <mergeCell ref="D20:D21"/>
    <mergeCell ref="D22:D24"/>
    <mergeCell ref="D25:D27"/>
    <mergeCell ref="D28:D32"/>
    <mergeCell ref="D33:D56"/>
    <mergeCell ref="D57:D62"/>
    <mergeCell ref="D63:D64"/>
    <mergeCell ref="D66:D77"/>
    <mergeCell ref="D78:D87"/>
    <mergeCell ref="D88:D94"/>
    <mergeCell ref="D95:D96"/>
    <mergeCell ref="D97:D98"/>
    <mergeCell ref="D100:D101"/>
    <mergeCell ref="D104:D105"/>
    <mergeCell ref="D107:D108"/>
    <mergeCell ref="D110:D111"/>
    <mergeCell ref="D112:D113"/>
    <mergeCell ref="D115:D117"/>
    <mergeCell ref="D119:D120"/>
    <mergeCell ref="D121:D124"/>
    <mergeCell ref="D125:D128"/>
    <mergeCell ref="D131:D132"/>
    <mergeCell ref="D135:D139"/>
    <mergeCell ref="D140:D146"/>
    <mergeCell ref="D148:D150"/>
    <mergeCell ref="D151:D155"/>
    <mergeCell ref="D157:D159"/>
    <mergeCell ref="D160:D164"/>
    <mergeCell ref="D165:D166"/>
    <mergeCell ref="D168:D169"/>
    <mergeCell ref="D170:D171"/>
    <mergeCell ref="D172:D175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DD54DBA5-3897-414A-B71A-E217BE86FB63}" type="list" allowBlank="1" errorStyle="stop" imeMode="noControl" operator="between" showDropDown="0" showErrorMessage="0" showInputMessage="0">
          <x14:formula1>
            <xm:f>"High,Medium,Low,Critical"</xm:f>
          </x14:formula1>
          <xm:sqref>F13:F178 F118:F148</xm:sqref>
        </x14:dataValidation>
        <x14:dataValidation xr:uid="{6280332F-F832-40F6-BF42-11AA4C74E636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M13:M178 R13:R178</xm:sqref>
        </x14:dataValidation>
        <x14:dataValidation xr:uid="{B95C9A56-FEF1-4C53-90E1-F063163CF8D5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13</cp:revision>
  <dcterms:created xsi:type="dcterms:W3CDTF">2026-10-01T04:51:11Z</dcterms:created>
  <dcterms:modified xsi:type="dcterms:W3CDTF">2026-10-08T08:15:18Z</dcterms:modified>
</cp:coreProperties>
</file>