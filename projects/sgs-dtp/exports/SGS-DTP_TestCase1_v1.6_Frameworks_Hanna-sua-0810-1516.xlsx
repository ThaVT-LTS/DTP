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4"/>
  </bookViews>
  <sheets>
    <sheet name="Cover" sheetId="1" state="visible" r:id="rId1"/>
    <sheet name="Test_Report" sheetId="2" state="visible" r:id="rId2"/>
    <sheet name="Login" sheetId="3" state="visible" r:id="rId3"/>
    <sheet name="Scopes" sheetId="4" state="visible" r:id="rId4"/>
    <sheet name="Frameworks" sheetId="5" state="visible" r:id="rId5"/>
    <sheet name="Users" sheetId="6" state="visible" r:id="rId6"/>
    <sheet name="Profile" sheetId="7" state="visible" r:id="rId7"/>
    <sheet name="Cần xác nhận" sheetId="8" state="visible" r:id="rId8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<sst xmlns="http://schemas.openxmlformats.org/spreadsheetml/2006/main" count="2350" uniqueCount="2350">
  <si>
    <t xml:space="preserve">TEST CASE</t>
  </si>
  <si>
    <t xml:space="preserve">Project Name</t>
  </si>
  <si>
    <t>DTP</t>
  </si>
  <si>
    <t>Creator</t>
  </si>
  <si>
    <t xml:space="preserve">Project Code</t>
  </si>
  <si>
    <t>Reviewer/Approver</t>
  </si>
  <si>
    <t xml:space="preserve">Document Code</t>
  </si>
  <si>
    <t xml:space="preserve">Issue Date</t>
  </si>
  <si>
    <t>Version</t>
  </si>
  <si>
    <t xml:space="preserve">Version 1.6</t>
  </si>
  <si>
    <t xml:space="preserve">Purpose of document</t>
  </si>
  <si>
    <t xml:space="preserve">Test environment</t>
  </si>
  <si>
    <t xml:space="preserve">Record of change</t>
  </si>
  <si>
    <t xml:space="preserve">Effective Date</t>
  </si>
  <si>
    <t xml:space="preserve">Change Item</t>
  </si>
  <si>
    <t>*A,D,M</t>
  </si>
  <si>
    <t xml:space="preserve">Change description</t>
  </si>
  <si>
    <t>Reference</t>
  </si>
  <si>
    <t>01/10/2026</t>
  </si>
  <si>
    <t>1.0</t>
  </si>
  <si>
    <t xml:space="preserve">Login, Scopes</t>
  </si>
  <si>
    <t>A</t>
  </si>
  <si>
    <t xml:space="preserve">Tạo mới</t>
  </si>
  <si>
    <t xml:space="preserve">UC List v2.1, Figma</t>
  </si>
  <si>
    <t>02/10/2026</t>
  </si>
  <si>
    <t>1.1</t>
  </si>
  <si>
    <t xml:space="preserve">Tất cả sheet</t>
  </si>
  <si>
    <t>M</t>
  </si>
  <si>
    <t xml:space="preserve">Một màu, một phông</t>
  </si>
  <si>
    <t xml:space="preserve">FB-016, FB-019</t>
  </si>
  <si>
    <t>Login</t>
  </si>
  <si>
    <t xml:space="preserve">Sửa vùng đếm tổng kết</t>
  </si>
  <si>
    <t>FB-019</t>
  </si>
  <si>
    <t>05/10/2026</t>
  </si>
  <si>
    <t>1.2</t>
  </si>
  <si>
    <t xml:space="preserve">Users, Profile, Cần xác nhận</t>
  </si>
  <si>
    <t xml:space="preserve">Tạo mới từ UC List v4; nhãn, bố cục chờ Figma trang 02</t>
  </si>
  <si>
    <t xml:space="preserve">UC List v4</t>
  </si>
  <si>
    <t>06/10/2026</t>
  </si>
  <si>
    <t>1.3</t>
  </si>
  <si>
    <t xml:space="preserve">Scopes, Login, Users</t>
  </si>
  <si>
    <t xml:space="preserve">Pre-condition chỉ ghi trạng thái trước khi vào màn đang test, mở màn là Step 1; đổi Name sang giá trị cụ thể ở các case tạo scope</t>
  </si>
  <si>
    <t>FB-040</t>
  </si>
  <si>
    <t>Scopes</t>
  </si>
  <si>
    <t xml:space="preserve">Thêm Scope_130–132; viết lại Scope_021, 022, 025, 026 kiểm tra đủ Type, Name, In scope, Out of scope; thêm Q-S-28</t>
  </si>
  <si>
    <t>FB-041</t>
  </si>
  <si>
    <t>07/10/2026</t>
  </si>
  <si>
    <t>1.4</t>
  </si>
  <si>
    <t xml:space="preserve">Hanna viết lại khu vực Điều hướng và Danh sách scope (No. 1–67)</t>
  </si>
  <si>
    <t xml:space="preserve">FB-042 → FB-046</t>
  </si>
  <si>
    <t>1.5</t>
  </si>
  <si>
    <t xml:space="preserve">Viết lại từ Chi tiết scope trở xuống theo cách viết của bản 1.4; thêm case biên cho Evidence coverage, Coverage; đánh lại No. và TVP_ID</t>
  </si>
  <si>
    <t xml:space="preserve">FB-042 → FB-048</t>
  </si>
  <si>
    <t xml:space="preserve">Mọi ô Times New Roman 10; ô bắt đầu bằng dấu - có dấu nháy đơn ở đầu</t>
  </si>
  <si>
    <t xml:space="preserve">FB-016, FB-049</t>
  </si>
  <si>
    <t>08/10/2026</t>
  </si>
  <si>
    <t>1.6</t>
  </si>
  <si>
    <t>Frameworks</t>
  </si>
  <si>
    <t xml:space="preserve">Thêm sheet Frameworks (118 case; Expected để trống ở case còn câu hỏi Q-F)</t>
  </si>
  <si>
    <t xml:space="preserve">UC v4 FWK-01…07</t>
  </si>
  <si>
    <t>Annotation:</t>
  </si>
  <si>
    <t xml:space="preserve">A: Add</t>
  </si>
  <si>
    <t xml:space="preserve">D: Delete</t>
  </si>
  <si>
    <t xml:space="preserve">M: Modify</t>
  </si>
  <si>
    <t xml:space="preserve">Test Round 1</t>
  </si>
  <si>
    <t xml:space="preserve">Test Round 2 (After fixed bug)</t>
  </si>
  <si>
    <t xml:space="preserve">Sheet name</t>
  </si>
  <si>
    <t xml:space="preserve">Classification I</t>
  </si>
  <si>
    <t xml:space="preserve">Classification II</t>
  </si>
  <si>
    <t xml:space="preserve">Executed rate</t>
  </si>
  <si>
    <t>Executed</t>
  </si>
  <si>
    <t>Total</t>
  </si>
  <si>
    <t>Passed</t>
  </si>
  <si>
    <t>Failed</t>
  </si>
  <si>
    <t>Pending</t>
  </si>
  <si>
    <t>Blocked</t>
  </si>
  <si>
    <t>NA</t>
  </si>
  <si>
    <t xml:space="preserve">Not execute</t>
  </si>
  <si>
    <t xml:space="preserve">Executed 
rate</t>
  </si>
  <si>
    <t xml:space="preserve">Đăng nhập - Login</t>
  </si>
  <si>
    <t xml:space="preserve">Điều hướng - Redirect</t>
  </si>
  <si>
    <t xml:space="preserve">Hiển thị - Display</t>
  </si>
  <si>
    <t xml:space="preserve">Ngôn ngữ - Language</t>
  </si>
  <si>
    <t>Email</t>
  </si>
  <si>
    <t xml:space="preserve">Mật khẩu - Password</t>
  </si>
  <si>
    <t xml:space="preserve">Ghi nhớ đăng nhập</t>
  </si>
  <si>
    <t xml:space="preserve">Đăng nhập - Sign in</t>
  </si>
  <si>
    <t xml:space="preserve">Nút Sign in</t>
  </si>
  <si>
    <t xml:space="preserve">Hỗ trợ - Support</t>
  </si>
  <si>
    <t xml:space="preserve">Bảo mật - Security</t>
  </si>
  <si>
    <t xml:space="preserve">Vào danh sách - Scope list</t>
  </si>
  <si>
    <t xml:space="preserve">Vào chi tiết - Scope detail</t>
  </si>
  <si>
    <t xml:space="preserve">Danh sách scope - Scope list</t>
  </si>
  <si>
    <t xml:space="preserve">Tiêu đề trang - Title</t>
  </si>
  <si>
    <t xml:space="preserve">Trạng thái rỗng - Empty</t>
  </si>
  <si>
    <t xml:space="preserve">Tạo scope - Create scope</t>
  </si>
  <si>
    <t xml:space="preserve">Thanh công cụ - Toolbar</t>
  </si>
  <si>
    <t xml:space="preserve">Bảng danh sách - Table</t>
  </si>
  <si>
    <t xml:space="preserve">Phân trang - Paging</t>
  </si>
  <si>
    <t xml:space="preserve">Chi tiết scope - Scope detail</t>
  </si>
  <si>
    <t xml:space="preserve">Phần đầu - Header</t>
  </si>
  <si>
    <t xml:space="preserve">Điều hướng trong màn - Section nav</t>
  </si>
  <si>
    <t xml:space="preserve">Tổng quan - Overview</t>
  </si>
  <si>
    <t xml:space="preserve">Sửa scope - Edit scope</t>
  </si>
  <si>
    <t xml:space="preserve">Khối Frameworks - Frameworks</t>
  </si>
  <si>
    <t xml:space="preserve">Gắn framework - Link framework</t>
  </si>
  <si>
    <t xml:space="preserve">Đổi tier - Change tier</t>
  </si>
  <si>
    <t xml:space="preserve">Khối Users - Users</t>
  </si>
  <si>
    <t xml:space="preserve">Gán người dùng - Assign users</t>
  </si>
  <si>
    <t xml:space="preserve">Tổng hợp - Summary</t>
  </si>
  <si>
    <t xml:space="preserve">Phân quyền - Permission</t>
  </si>
  <si>
    <t xml:space="preserve">Customer User</t>
  </si>
  <si>
    <t xml:space="preserve">Customer Viewer</t>
  </si>
  <si>
    <t xml:space="preserve">Vai trò SGS - SGS roles</t>
  </si>
  <si>
    <t xml:space="preserve">Cách ly tenant - Tenant isolation</t>
  </si>
  <si>
    <t xml:space="preserve">Dữ liệu nhập - Input</t>
  </si>
  <si>
    <t xml:space="preserve">Ghi vết - Audit log</t>
  </si>
  <si>
    <t xml:space="preserve">Vào danh sách - Framework list</t>
  </si>
  <si>
    <t xml:space="preserve">Vào chi tiết - Framework detail</t>
  </si>
  <si>
    <t xml:space="preserve">Quay lại - Back</t>
  </si>
  <si>
    <t xml:space="preserve">Danh sách framework - Framework list</t>
  </si>
  <si>
    <t xml:space="preserve">Tiêu đề trang - Page header</t>
  </si>
  <si>
    <t xml:space="preserve">Phân trang - Pagination</t>
  </si>
  <si>
    <t xml:space="preserve">Chi tiết framework - Framework detail</t>
  </si>
  <si>
    <t xml:space="preserve">Menu ba chấm - More menu</t>
  </si>
  <si>
    <t xml:space="preserve">Điều hướng trong màn - In-page tabs</t>
  </si>
  <si>
    <t xml:space="preserve">Yêu cầu - Requirements</t>
  </si>
  <si>
    <t xml:space="preserve">Nhập framework - Import framework</t>
  </si>
  <si>
    <t xml:space="preserve">Hộp thoại Import - Import dialog</t>
  </si>
  <si>
    <t xml:space="preserve">Chọn file - File picker</t>
  </si>
  <si>
    <t xml:space="preserve">Kiểm tra file - Check file</t>
  </si>
  <si>
    <t xml:space="preserve">Bản nháp - Draft preview</t>
  </si>
  <si>
    <t xml:space="preserve">Nội dung bản nháp - Draft content</t>
  </si>
  <si>
    <t xml:space="preserve">Khung Import bên phải - Import panel</t>
  </si>
  <si>
    <t xml:space="preserve">Huỷ bản nháp - Discard draft</t>
  </si>
  <si>
    <t xml:space="preserve">Kích hoạt framework - Activate framework</t>
  </si>
  <si>
    <t xml:space="preserve">Hộp thoại Activate - Activate dialog</t>
  </si>
  <si>
    <t xml:space="preserve">Hiển thị với khách hàng - Customer view</t>
  </si>
  <si>
    <t xml:space="preserve">SGS Admin</t>
  </si>
  <si>
    <t xml:space="preserve">SGS User</t>
  </si>
  <si>
    <t xml:space="preserve">SGS Consultant</t>
  </si>
  <si>
    <t xml:space="preserve">SGS Auditor/Certification</t>
  </si>
  <si>
    <t xml:space="preserve">Vai trò Customer</t>
  </si>
  <si>
    <t xml:space="preserve">Dữ liệu trong file import - Imported data</t>
  </si>
  <si>
    <t>Users</t>
  </si>
  <si>
    <t xml:space="preserve">Vào danh sách - User list</t>
  </si>
  <si>
    <t xml:space="preserve">Vào chi tiết - User detail</t>
  </si>
  <si>
    <t xml:space="preserve">Danh sách người dùng - User list</t>
  </si>
  <si>
    <t xml:space="preserve">Phạm vi dữ liệu - Boundary</t>
  </si>
  <si>
    <t xml:space="preserve">Người được mời - Invited user</t>
  </si>
  <si>
    <t xml:space="preserve">Chi tiết người dùng - User detail</t>
  </si>
  <si>
    <t xml:space="preserve">Nội dung - Content</t>
  </si>
  <si>
    <t xml:space="preserve">Mời người dùng - Invite user</t>
  </si>
  <si>
    <t xml:space="preserve">Vai trò được chọn - Role options</t>
  </si>
  <si>
    <t xml:space="preserve">Gửi lời mời - Send invitation</t>
  </si>
  <si>
    <t xml:space="preserve">Lời mời đang chờ - Pending invitation</t>
  </si>
  <si>
    <t xml:space="preserve">Đổi vai trò - Change role</t>
  </si>
  <si>
    <t xml:space="preserve">Quyền theo scope - Scope access</t>
  </si>
  <si>
    <t xml:space="preserve">Cấp quyền - Grant</t>
  </si>
  <si>
    <t xml:space="preserve">Gỡ quyền - Remove</t>
  </si>
  <si>
    <t xml:space="preserve">Đối tượng được cấp - Who can be granted</t>
  </si>
  <si>
    <t xml:space="preserve">Ma trận quyền - Role permissions</t>
  </si>
  <si>
    <t xml:space="preserve">Xem ma trận - View</t>
  </si>
  <si>
    <t xml:space="preserve">Phạm vi affiliate - Affiliate boundary</t>
  </si>
  <si>
    <t>Profile</t>
  </si>
  <si>
    <t xml:space="preserve">Chỗ đổi ngôn ngữ - Language setting</t>
  </si>
  <si>
    <t xml:space="preserve">Đổi ngôn ngữ - Switch language</t>
  </si>
  <si>
    <t xml:space="preserve">Giao diện - Interface</t>
  </si>
  <si>
    <t xml:space="preserve">Nội dung framework - Framework content</t>
  </si>
  <si>
    <t xml:space="preserve">Lưu lựa chọn - Persistence</t>
  </si>
  <si>
    <t xml:space="preserve">Theo người dùng - Per user</t>
  </si>
  <si>
    <t xml:space="preserve">Function Name</t>
  </si>
  <si>
    <t xml:space="preserve">AUTH-L0001_Đăng nhập</t>
  </si>
  <si>
    <t xml:space="preserve">Round </t>
  </si>
  <si>
    <t xml:space="preserve">Screen Name</t>
  </si>
  <si>
    <t xml:space="preserve">Login · Customer Portal</t>
  </si>
  <si>
    <t xml:space="preserve">Round 1</t>
  </si>
  <si>
    <t>Hanna</t>
  </si>
  <si>
    <t xml:space="preserve">Created date</t>
  </si>
  <si>
    <t xml:space="preserve">Round 2</t>
  </si>
  <si>
    <t xml:space="preserve">Figma SGS-DTP-DS · Screens 01 Authentication · Customer / Sign in</t>
  </si>
  <si>
    <t>Classification</t>
  </si>
  <si>
    <t>Priority</t>
  </si>
  <si>
    <t>TVP_ID</t>
  </si>
  <si>
    <t xml:space="preserve">Test case name/ Test view point</t>
  </si>
  <si>
    <t>Pre-condition</t>
  </si>
  <si>
    <t>Step</t>
  </si>
  <si>
    <t xml:space="preserve">Expected result</t>
  </si>
  <si>
    <t xml:space="preserve">Dev test</t>
  </si>
  <si>
    <t>Result</t>
  </si>
  <si>
    <t xml:space="preserve">Test person</t>
  </si>
  <si>
    <t xml:space="preserve">Test date</t>
  </si>
  <si>
    <t>Bug_ID</t>
  </si>
  <si>
    <t>Remark</t>
  </si>
  <si>
    <t xml:space="preserve">Open question</t>
  </si>
  <si>
    <t>UC</t>
  </si>
  <si>
    <t>No.</t>
  </si>
  <si>
    <t>I</t>
  </si>
  <si>
    <t>II</t>
  </si>
  <si>
    <t>III</t>
  </si>
  <si>
    <t>IV</t>
  </si>
  <si>
    <t xml:space="preserve">Vào màn hình</t>
  </si>
  <si>
    <t xml:space="preserve">Chưa đăng nhập</t>
  </si>
  <si>
    <t>High</t>
  </si>
  <si>
    <t>TC_001</t>
  </si>
  <si>
    <t xml:space="preserve">Kiểm tra đường dẫn vào màn hình đăng nhập</t>
  </si>
  <si>
    <t xml:space="preserve">1. Mở {{url.customer}}</t>
  </si>
  <si>
    <t xml:space="preserve">- Chuyển sang màn hình Đăng nhập
- Hiển thị đủ: logo SGS, tiêu đề Digital Trust Platform, phụ đề Customer Portal</t>
  </si>
  <si>
    <t>UC-AUTH-001</t>
  </si>
  <si>
    <t xml:space="preserve">Đã đăng nhập</t>
  </si>
  <si>
    <t>Medium</t>
  </si>
  <si>
    <t>TC_002</t>
  </si>
  <si>
    <t xml:space="preserve">Kiểm tra khi đã đăng nhập mà mở lại màn đăng nhập</t>
  </si>
  <si>
    <t xml:space="preserve">Đã đăng nhập bằng {{user.cust_admin}}</t>
  </si>
  <si>
    <t xml:space="preserve">1. Mở lại {{url.customer}}/login</t>
  </si>
  <si>
    <t xml:space="preserve">Chưa rõ: vào thẳng Home hay vẫn hiện màn đăng nhập → Q-L-12</t>
  </si>
  <si>
    <t xml:space="preserve">Mở link sâu khi chưa đăng nhập</t>
  </si>
  <si>
    <t>TC_003</t>
  </si>
  <si>
    <t xml:space="preserve">Kiểm tra mở trang nội bộ bằng URL khi chưa đăng nhập</t>
  </si>
  <si>
    <t xml:space="preserve">1. Dán URL một trang nội bộ, ví dụ {{url.customer}}/scopes
2. Enter</t>
  </si>
  <si>
    <t xml:space="preserve">- Chuyển sang màn hình Đăng nhập, không hiển thị nội dung trang nội bộ</t>
  </si>
  <si>
    <t xml:space="preserve">Sau khi đăng nhập có quay lại đúng trang vừa mở không → Q-L-12</t>
  </si>
  <si>
    <t>UC-ROL-001</t>
  </si>
  <si>
    <t xml:space="preserve">Khối bên trái</t>
  </si>
  <si>
    <t xml:space="preserve">Thương hiệu</t>
  </si>
  <si>
    <t>Low</t>
  </si>
  <si>
    <t>TC_004</t>
  </si>
  <si>
    <t xml:space="preserve">Kiểm tra hiển thị khối thương hiệu bên trái</t>
  </si>
  <si>
    <t xml:space="preserve">1. Mở {{url.customer}}
2. Kiểm tra khối bên trái</t>
  </si>
  <si>
    <t xml:space="preserve">- Hiển thị hoạ tiết thương hiệu SGS
- Tiêu đề: Digital Trust Platform
- Phụ đề: Customer Portal</t>
  </si>
  <si>
    <t xml:space="preserve">Khối bên phải</t>
  </si>
  <si>
    <t xml:space="preserve">Logo và tiêu đề</t>
  </si>
  <si>
    <t>TC_005</t>
  </si>
  <si>
    <t xml:space="preserve">Kiểm tra hiển thị logo và tiêu đề khối đăng nhập</t>
  </si>
  <si>
    <t xml:space="preserve">1. Mở {{url.customer}}
2. Kiểm tra phần đầu khối bên phải</t>
  </si>
  <si>
    <t xml:space="preserve">- Logo SGS
- Tiêu đề: Digital Trust Platform
- Phụ đề: Customer Portal</t>
  </si>
  <si>
    <t xml:space="preserve">Tiêu đề trình duyệt</t>
  </si>
  <si>
    <t>TC_006</t>
  </si>
  <si>
    <t xml:space="preserve">Kiểm tra tiêu đề tab trình duyệt</t>
  </si>
  <si>
    <t xml:space="preserve">1. Mở {{url.customer}}
2. Kiểm tra tiêu đề tab</t>
  </si>
  <si>
    <t xml:space="preserve">Chưa có text tiêu đề tab trong thiết kế</t>
  </si>
  <si>
    <t xml:space="preserve">Màn hình hẹp</t>
  </si>
  <si>
    <t>TC_007</t>
  </si>
  <si>
    <t xml:space="preserve">Kiểm tra hiển thị ở màn hình hẹp</t>
  </si>
  <si>
    <t xml:space="preserve">1. Mở {{url.customer}}
2. Thu nhỏ cửa sổ xuống dưới 768px
3. Kiểm tra bố cục</t>
  </si>
  <si>
    <t xml:space="preserve">Thiết kế chưa có bản màn hình hẹp</t>
  </si>
  <si>
    <t xml:space="preserve">Bộ chọn ngôn ngữ</t>
  </si>
  <si>
    <t xml:space="preserve">Hiển thị mặc định</t>
  </si>
  <si>
    <t>TC_008</t>
  </si>
  <si>
    <t xml:space="preserve">Kiểm tra hiển thị mặc định của bộ chọn ngôn ngữ</t>
  </si>
  <si>
    <t xml:space="preserve">1. Mở {{url.customer}}
2. Kiểm tra góc trên bên phải</t>
  </si>
  <si>
    <t xml:space="preserve">- Hiển thị icon quả địa cầu
- Giá trị mặc định: EN
- Có mũi tên mở danh sách</t>
  </si>
  <si>
    <t xml:space="preserve">Mặc định lấy theo trình duyệt hay cố định EN → Q-L-08</t>
  </si>
  <si>
    <t xml:space="preserve">Mở danh sách</t>
  </si>
  <si>
    <t>TC_009</t>
  </si>
  <si>
    <t xml:space="preserve">Kiểm tra hiển thị khi mở danh sách ngôn ngữ</t>
  </si>
  <si>
    <t xml:space="preserve">1. Mở {{url.customer}}
2. Bấm vào bộ chọn ngôn ngữ</t>
  </si>
  <si>
    <t xml:space="preserve">Danh sách ngôn ngữ gồm những gì → Q-L-08</t>
  </si>
  <si>
    <t xml:space="preserve">Chọn ngôn ngữ khác</t>
  </si>
  <si>
    <t>TC_010</t>
  </si>
  <si>
    <t xml:space="preserve">Kiểm tra khi chọn một ngôn ngữ khác</t>
  </si>
  <si>
    <t xml:space="preserve">1. Mở {{url.customer}}
2. Mở danh sách
3. Chọn một ngôn ngữ khác EN</t>
  </si>
  <si>
    <t xml:space="preserve">Bản dịch của màn đăng nhập chưa có → Q-L-08</t>
  </si>
  <si>
    <t xml:space="preserve">Giữ lựa chọn</t>
  </si>
  <si>
    <t>TC_011</t>
  </si>
  <si>
    <t xml:space="preserve">Kiểm tra giữ ngôn ngữ đã chọn sau khi tải lại trang</t>
  </si>
  <si>
    <t xml:space="preserve">1. Mở {{url.customer}}
2. Chọn ngôn ngữ khác
3. Tải lại trang</t>
  </si>
  <si>
    <t xml:space="preserve">Có lưu lựa chọn không → Q-L-08</t>
  </si>
  <si>
    <t xml:space="preserve">Hiển thị</t>
  </si>
  <si>
    <t xml:space="preserve">Mặc định</t>
  </si>
  <si>
    <t>TC_012</t>
  </si>
  <si>
    <t xml:space="preserve">Kiểm tra hiển thị mặc định của trường Email</t>
  </si>
  <si>
    <t xml:space="preserve">1. Mở {{url.customer}}
2. Kiểm tra trường Email</t>
  </si>
  <si>
    <t xml:space="preserve">- Nhãn: Email kèm dấu * đỏ
- Placeholder: name@company.com
- Ô rỗng, không có thông báo lỗi</t>
  </si>
  <si>
    <t xml:space="preserve">Khi focus</t>
  </si>
  <si>
    <t>TC_013</t>
  </si>
  <si>
    <t xml:space="preserve">Kiểm tra hiển thị khi đặt con trỏ vào trường Email</t>
  </si>
  <si>
    <t xml:space="preserve">1. Mở {{url.customer}}
2. Bấm vào trường Email</t>
  </si>
  <si>
    <t xml:space="preserve">- Trường được làm nổi
- Placeholder vẫn hiển thị khi chưa gõ</t>
  </si>
  <si>
    <t xml:space="preserve">Nhập liệu</t>
  </si>
  <si>
    <t xml:space="preserve">Nhập hợp lệ</t>
  </si>
  <si>
    <t>TC_014</t>
  </si>
  <si>
    <t xml:space="preserve">Kiểm tra nhập email đúng định dạng</t>
  </si>
  <si>
    <t xml:space="preserve">1. Mở {{url.customer}}
2. Nhập {{user.cust_admin}}</t>
  </si>
  <si>
    <t xml:space="preserve">- Hiển thị đúng text đã nhập
- Không có thông báo lỗi</t>
  </si>
  <si>
    <t xml:space="preserve">Giới hạn ký tự</t>
  </si>
  <si>
    <t>TC_015</t>
  </si>
  <si>
    <t xml:space="preserve">Kiểm tra nhập quá giới hạn ký tự</t>
  </si>
  <si>
    <t xml:space="preserve">1. Mở {{url.customer}}
2. Nhập chuỗi dài hơn giới hạn cho phép</t>
  </si>
  <si>
    <t xml:space="preserve">Giới hạn ký tự của Email là bao nhiêu → Q-L-10</t>
  </si>
  <si>
    <t xml:space="preserve">Ký tự đặc biệt và câu lệnh SQL</t>
  </si>
  <si>
    <t>TC_016</t>
  </si>
  <si>
    <t xml:space="preserve">Kiểm tra nhập ký tự đặc biệt và câu lệnh SQL</t>
  </si>
  <si>
    <t xml:space="preserve">1. Mở {{url.customer}}
2. Nhập chuỗi chứa ' OR 1=1 -- và thẻ &lt;script&gt;
3. Bấm Sign in</t>
  </si>
  <si>
    <t xml:space="preserve">- Không đăng nhập được
- Không có lỗi hệ thống, không lộ thông tin kỹ thuật</t>
  </si>
  <si>
    <t xml:space="preserve">Text lỗi hiển thị là gì → Q-L-02</t>
  </si>
  <si>
    <t xml:space="preserve">Khoảng trắng đầu cuối</t>
  </si>
  <si>
    <t>TC_017</t>
  </si>
  <si>
    <t xml:space="preserve">Kiểm tra nhập email có khoảng trắng ở đầu và cuối</t>
  </si>
  <si>
    <t xml:space="preserve">1. Mở {{url.customer}}
2. Nhập ' {{user.cust_admin}} '
3. Bấm Sign in</t>
  </si>
  <si>
    <t xml:space="preserve">Có tự cắt khoảng trắng không → Q-L-02</t>
  </si>
  <si>
    <t xml:space="preserve">Chữ hoa chữ thường</t>
  </si>
  <si>
    <t>TC_018</t>
  </si>
  <si>
    <t xml:space="preserve">Kiểm tra nhập email viết hoa</t>
  </si>
  <si>
    <t xml:space="preserve">1. Mở {{url.customer}}
2. Nhập email đúng nhưng viết hoa toàn bộ
3. Bấm Sign in</t>
  </si>
  <si>
    <t xml:space="preserve">Email có phân biệt hoa thường không → Q-L-02</t>
  </si>
  <si>
    <t xml:space="preserve">Kiểm tra dữ liệu</t>
  </si>
  <si>
    <t xml:space="preserve">Bỏ trống</t>
  </si>
  <si>
    <t>TC_019</t>
  </si>
  <si>
    <t xml:space="preserve">Kiểm tra bỏ trống Email rồi đăng nhập</t>
  </si>
  <si>
    <t xml:space="preserve">1. Mở {{url.customer}}
2. Để trống Email
3. Nhập mật khẩu hợp lệ
4. Bấm Sign in</t>
  </si>
  <si>
    <t xml:space="preserve">- Không gọi đăng nhập
- Hiển thị thông báo lỗi ngay dưới trường Email</t>
  </si>
  <si>
    <t xml:space="preserve">Text lỗi nguyên văn → Q-L-01</t>
  </si>
  <si>
    <t xml:space="preserve">Sai định dạng</t>
  </si>
  <si>
    <t>TC_020</t>
  </si>
  <si>
    <t xml:space="preserve">Kiểm tra nhập email sai định dạng</t>
  </si>
  <si>
    <t xml:space="preserve">1. Mở {{url.customer}}
2. Nhập 'abc@' 
3. Nhập mật khẩu hợp lệ
4. Bấm Sign in</t>
  </si>
  <si>
    <t xml:space="preserve">Text lỗi nguyên văn → Q-L-02</t>
  </si>
  <si>
    <t>TC_021</t>
  </si>
  <si>
    <t xml:space="preserve">Kiểm tra hiển thị mặc định của trường Mật khẩu</t>
  </si>
  <si>
    <t xml:space="preserve">1. Mở {{url.customer}}
2. Kiểm tra trường Password</t>
  </si>
  <si>
    <t xml:space="preserve">- Nhãn: Password kèm dấu * đỏ
- Placeholder: Enter your password
- Ô rỗng, không có thông báo lỗi</t>
  </si>
  <si>
    <t xml:space="preserve">Che ký tự</t>
  </si>
  <si>
    <t>TC_022</t>
  </si>
  <si>
    <t xml:space="preserve">Kiểm tra ký tự mật khẩu được che</t>
  </si>
  <si>
    <t xml:space="preserve">1. Mở {{url.customer}}
2. Nhập mật khẩu bất kỳ</t>
  </si>
  <si>
    <t xml:space="preserve">- Mọi ký tự hiển thị dạng chấm tròn, không hiện text gốc</t>
  </si>
  <si>
    <t xml:space="preserve">Nút hiện mật khẩu</t>
  </si>
  <si>
    <t>TC_023</t>
  </si>
  <si>
    <t xml:space="preserve">Kiểm tra nút hiện/ẩn mật khẩu</t>
  </si>
  <si>
    <t xml:space="preserve">1. Mở {{url.customer}}
2. Kiểm tra bên trong trường Password</t>
  </si>
  <si>
    <t xml:space="preserve">Thiết kế không có nút hiện/ẩn mật khẩu — có hay không → Q-L-11</t>
  </si>
  <si>
    <t>TC_024</t>
  </si>
  <si>
    <t xml:space="preserve">Giới hạn ký tự của Password là bao nhiêu → Q-L-10</t>
  </si>
  <si>
    <t xml:space="preserve">Dán nội dung</t>
  </si>
  <si>
    <t>TC_025</t>
  </si>
  <si>
    <t xml:space="preserve">Kiểm tra dán mật khẩu từ bộ nhớ tạm</t>
  </si>
  <si>
    <t xml:space="preserve">1. Mở {{url.customer}}
2. Dán chuỗi vào trường Password</t>
  </si>
  <si>
    <t xml:space="preserve">- Cho phép dán
- Ký tự vẫn được che</t>
  </si>
  <si>
    <t>TC_026</t>
  </si>
  <si>
    <t xml:space="preserve">Kiểm tra bỏ trống Mật khẩu rồi đăng nhập</t>
  </si>
  <si>
    <t xml:space="preserve">1. Mở {{url.customer}}
2. Nhập Email hợp lệ
3. Để trống Password
4. Bấm Sign in</t>
  </si>
  <si>
    <t xml:space="preserve">- Không gọi đăng nhập
- Hiển thị thông báo lỗi ngay dưới trường Password</t>
  </si>
  <si>
    <t xml:space="preserve">Bỏ trống cả hai</t>
  </si>
  <si>
    <t>TC_027</t>
  </si>
  <si>
    <t xml:space="preserve">Kiểm tra bỏ trống cả hai trường rồi đăng nhập</t>
  </si>
  <si>
    <t xml:space="preserve">1. Mở {{url.customer}}
2. Để trống cả hai
3. Bấm Sign in</t>
  </si>
  <si>
    <t xml:space="preserve">- Không gọi đăng nhập
- Hiển thị lỗi ở cả hai trường</t>
  </si>
  <si>
    <t>Checkbox</t>
  </si>
  <si>
    <t>TC_028</t>
  </si>
  <si>
    <t xml:space="preserve">Kiểm tra trạng thái mặc định của checkbox</t>
  </si>
  <si>
    <t xml:space="preserve">1. Mở {{url.customer}}
2. Kiểm tra checkbox Keep me signed in</t>
  </si>
  <si>
    <t xml:space="preserve">- Checkbox ở trạng thái chưa tích
- Nhãn: Keep me signed in</t>
  </si>
  <si>
    <t xml:space="preserve">Tích và bỏ tích</t>
  </si>
  <si>
    <t>TC_029</t>
  </si>
  <si>
    <t xml:space="preserve">Kiểm tra tích và bỏ tích checkbox</t>
  </si>
  <si>
    <t xml:space="preserve">1. Mở {{url.customer}}
2. Tích checkbox
3. Bỏ tích</t>
  </si>
  <si>
    <t xml:space="preserve">- Trạng thái đổi theo thao tác</t>
  </si>
  <si>
    <t xml:space="preserve">Phiên đăng nhập</t>
  </si>
  <si>
    <t xml:space="preserve">Có tích</t>
  </si>
  <si>
    <t>TC_030</t>
  </si>
  <si>
    <t xml:space="preserve">Kiểm tra thời hạn phiên khi có tích</t>
  </si>
  <si>
    <t xml:space="preserve">1. Mở {{url.customer}}
2. Tích checkbox
3. Đăng nhập thành công
4. Đóng trình duyệt rồi mở lại</t>
  </si>
  <si>
    <t xml:space="preserve">Thời hạn phiên khi có tích là bao lâu → Q-L-06</t>
  </si>
  <si>
    <t xml:space="preserve">Không tích</t>
  </si>
  <si>
    <t>TC_031</t>
  </si>
  <si>
    <t xml:space="preserve">Kiểm tra thời hạn phiên khi không tích</t>
  </si>
  <si>
    <t xml:space="preserve">1. Mở {{url.customer}}
2. Không tích checkbox
3. Đăng nhập thành công
4. Đóng trình duyệt rồi mở lại</t>
  </si>
  <si>
    <t xml:space="preserve">Thời hạn phiên khi không tích là bao lâu → Q-L-06</t>
  </si>
  <si>
    <t xml:space="preserve">Thành công</t>
  </si>
  <si>
    <t xml:space="preserve">Đúng cặp email và mật khẩu</t>
  </si>
  <si>
    <t>TC_032</t>
  </si>
  <si>
    <t xml:space="preserve">Kiểm tra đăng nhập với thông tin hợp lệ</t>
  </si>
  <si>
    <t xml:space="preserve">Chưa đăng nhập; có tài khoản {{user.cust_admin}} đang hoạt động</t>
  </si>
  <si>
    <t xml:space="preserve">1. Mở {{url.customer}}
2. Nhập {{user.cust_admin}}
3. Nhập mật khẩu đúng
4. Bấm Sign in</t>
  </si>
  <si>
    <t xml:space="preserve">- Đăng nhập thành công, không có thông báo lỗi
- Rời khỏi màn hình đăng nhập</t>
  </si>
  <si>
    <t xml:space="preserve">Màn hình sau khi đăng nhập</t>
  </si>
  <si>
    <t>TC_033</t>
  </si>
  <si>
    <t xml:space="preserve">Kiểm tra màn hình hiển thị sau khi đăng nhập</t>
  </si>
  <si>
    <t xml:space="preserve">1. Mở {{url.customer}}
2. Đăng nhập thành công
3. Kiểm tra màn hình</t>
  </si>
  <si>
    <t xml:space="preserve">- Hiển thị màn hình Home của Customer Portal
- Menu trái hiện đúng các mục theo vai trò</t>
  </si>
  <si>
    <t xml:space="preserve">Xác nhận màn hình đích là Home → Q-L-12</t>
  </si>
  <si>
    <t xml:space="preserve">Nhấn Enter để gửi</t>
  </si>
  <si>
    <t>TC_034</t>
  </si>
  <si>
    <t xml:space="preserve">Kiểm tra đăng nhập bằng phím Enter</t>
  </si>
  <si>
    <t xml:space="preserve">1. Mở {{url.customer}}
2. Nhập đủ email và mật khẩu
3. Nhấn phím Enter</t>
  </si>
  <si>
    <t xml:space="preserve">- Gửi biểu mẫu, kết quả giống khi bấm Sign in</t>
  </si>
  <si>
    <t xml:space="preserve">Vai trò khác</t>
  </si>
  <si>
    <t>TC_035</t>
  </si>
  <si>
    <t xml:space="preserve">Kiểm tra đăng nhập bằng vai trò chỉ đọc</t>
  </si>
  <si>
    <t xml:space="preserve">Chưa đăng nhập; có tài khoản {{user.cust_viewer}} đang hoạt động</t>
  </si>
  <si>
    <t xml:space="preserve">1. Mở {{url.customer}}
2. Đăng nhập bằng {{user.cust_viewer}}</t>
  </si>
  <si>
    <t xml:space="preserve">- Đăng nhập thành công
- Menu và nút hành động hiển thị theo đúng quyền của vai trò</t>
  </si>
  <si>
    <t xml:space="preserve">Không thành công</t>
  </si>
  <si>
    <t xml:space="preserve">Sai mật khẩu</t>
  </si>
  <si>
    <t>TC_036</t>
  </si>
  <si>
    <t xml:space="preserve">Kiểm tra đăng nhập với mật khẩu sai</t>
  </si>
  <si>
    <t xml:space="preserve">1. Mở {{url.customer}}
2. Nhập email đúng
3. Nhập mật khẩu sai
4. Bấm Sign in</t>
  </si>
  <si>
    <t xml:space="preserve">- Không đăng nhập được, vẫn ở màn hình đăng nhập
- Hiển thị thông báo lỗi</t>
  </si>
  <si>
    <t xml:space="preserve">Text lỗi nguyên văn → Q-L-03</t>
  </si>
  <si>
    <t xml:space="preserve">Email không tồn tại</t>
  </si>
  <si>
    <t>TC_037</t>
  </si>
  <si>
    <t xml:space="preserve">Kiểm tra đăng nhập với email không tồn tại</t>
  </si>
  <si>
    <t xml:space="preserve">1. Mở {{url.customer}}
2. Nhập email chưa đăng ký
3. Nhập mật khẩu bất kỳ
4. Bấm Sign in</t>
  </si>
  <si>
    <t xml:space="preserve">- Không đăng nhập được
- Thông báo lỗi KHÔNG được tiết lộ email có tồn tại trên hệ thống hay không</t>
  </si>
  <si>
    <t xml:space="preserve">Text lỗi nguyên văn, và có dùng chung text với sai mật khẩu không → Q-L-03</t>
  </si>
  <si>
    <t xml:space="preserve">Tài khoản chưa kích hoạt</t>
  </si>
  <si>
    <t>TC_038</t>
  </si>
  <si>
    <t xml:space="preserve">Kiểm tra đăng nhập bằng tài khoản chưa kích hoạt</t>
  </si>
  <si>
    <t xml:space="preserve">Chưa đăng nhập; có tài khoản ở trạng thái chưa kích hoạt</t>
  </si>
  <si>
    <t xml:space="preserve">1. Mở {{url.customer}}
2. Nhập email của tài khoản chưa kích hoạt
3. Nhập mật khẩu
4. Bấm Sign in</t>
  </si>
  <si>
    <t xml:space="preserve">- Không đăng nhập được</t>
  </si>
  <si>
    <t xml:space="preserve">Điều kiện và text của trạng thái Inactive → Q-L-05</t>
  </si>
  <si>
    <t>UC-AUTH-005</t>
  </si>
  <si>
    <t xml:space="preserve">Tài khoản bị khoá</t>
  </si>
  <si>
    <t>TC_039</t>
  </si>
  <si>
    <t xml:space="preserve">Kiểm tra đăng nhập bằng tài khoản bị khoá</t>
  </si>
  <si>
    <t xml:space="preserve">Chưa đăng nhập; có tài khoản ở trạng thái bị khoá</t>
  </si>
  <si>
    <t xml:space="preserve">1. Mở {{url.customer}}
2. Nhập email của tài khoản bị khoá
3. Nhập mật khẩu đúng
4. Bấm Sign in</t>
  </si>
  <si>
    <t xml:space="preserve">Điều kiện khoá và text → Q-L-04</t>
  </si>
  <si>
    <t xml:space="preserve">Sai nhiều lần liên tiếp</t>
  </si>
  <si>
    <t>TC_040</t>
  </si>
  <si>
    <t xml:space="preserve">Kiểm tra nhập sai mật khẩu nhiều lần liên tiếp</t>
  </si>
  <si>
    <t xml:space="preserve">1. Mở {{url.customer}}
2. Nhập sai mật khẩu nhiều lần liên tiếp
3. Kiểm tra sau mỗi lần</t>
  </si>
  <si>
    <t xml:space="preserve">Sai bao nhiêu lần thì khoá, khoá bao lâu, có CAPTCHA không → Q-L-04, Q-L-13</t>
  </si>
  <si>
    <t xml:space="preserve">Tài khoản bị tạm ngừng</t>
  </si>
  <si>
    <t>TC_041</t>
  </si>
  <si>
    <t xml:space="preserve">Kiểm tra đăng nhập khi tài khoản khách hàng bị tạm ngừng</t>
  </si>
  <si>
    <t xml:space="preserve">Chưa đăng nhập; tài khoản khách hàng ở trạng thái tạm ngừng (UC-ACC-009)</t>
  </si>
  <si>
    <t xml:space="preserve">1. Mở {{url.customer}}
2. Đăng nhập bằng người dùng thuộc tenant đó</t>
  </si>
  <si>
    <t xml:space="preserve">- Không truy cập được nền tảng</t>
  </si>
  <si>
    <t xml:space="preserve">Hiển thị thông báo gì → Q-L-05</t>
  </si>
  <si>
    <t>UC-ACC-009</t>
  </si>
  <si>
    <t xml:space="preserve">Trạng thái nút</t>
  </si>
  <si>
    <t>TC_042</t>
  </si>
  <si>
    <t xml:space="preserve">Kiểm tra trạng thái mặc định của nút Sign in</t>
  </si>
  <si>
    <t xml:space="preserve">1. Mở {{url.customer}}
2. Kiểm tra nút Sign in khi hai trường còn rỗng</t>
  </si>
  <si>
    <t xml:space="preserve">Nút bật hay tắt khi chưa nhập gì → Q-L-01</t>
  </si>
  <si>
    <t xml:space="preserve">Đang xử lý</t>
  </si>
  <si>
    <t>TC_043</t>
  </si>
  <si>
    <t xml:space="preserve">Kiểm tra trạng thái nút khi đang gửi</t>
  </si>
  <si>
    <t xml:space="preserve">1. Mở {{url.customer}}
2. Nhập đủ thông tin
3. Bấm Sign in
4. Quan sát nút trong lúc chờ</t>
  </si>
  <si>
    <t xml:space="preserve">Thiết kế chưa có trạng thái đang xử lý</t>
  </si>
  <si>
    <t xml:space="preserve">Bấm nhiều lần</t>
  </si>
  <si>
    <t>TC_044</t>
  </si>
  <si>
    <t xml:space="preserve">Kiểm tra bấm Sign in nhiều lần liên tiếp</t>
  </si>
  <si>
    <t xml:space="preserve">1. Mở {{url.customer}}
2. Nhập đủ thông tin
3. Bấm Sign in liên tiếp nhiều lần</t>
  </si>
  <si>
    <t xml:space="preserve">- Chỉ tạo một phiên đăng nhập, không gửi trùng yêu cầu</t>
  </si>
  <si>
    <t xml:space="preserve">Liên kết</t>
  </si>
  <si>
    <t xml:space="preserve">Contact SGS support</t>
  </si>
  <si>
    <t>TC_045</t>
  </si>
  <si>
    <t xml:space="preserve">Kiểm tra hiển thị dòng hỗ trợ</t>
  </si>
  <si>
    <t xml:space="preserve">1. Mở {{url.customer}}
2. Kiểm tra dòng dưới nút Sign in</t>
  </si>
  <si>
    <t xml:space="preserve">- Text: Need help?
- Liên kết: Contact SGS support, có gạch chân</t>
  </si>
  <si>
    <t xml:space="preserve">Bấm vào liên kết</t>
  </si>
  <si>
    <t>TC_046</t>
  </si>
  <si>
    <t xml:space="preserve">Kiểm tra khi bấm Contact SGS support</t>
  </si>
  <si>
    <t xml:space="preserve">1. Mở {{url.customer}}
2. Bấm Contact SGS support</t>
  </si>
  <si>
    <t xml:space="preserve">Liên kết dẫn tới đâu: email, trang hỗ trợ hay cửa sổ chat → Q-L-09</t>
  </si>
  <si>
    <t xml:space="preserve">Quên mật khẩu</t>
  </si>
  <si>
    <t xml:space="preserve">Lối vào</t>
  </si>
  <si>
    <t>TC_047</t>
  </si>
  <si>
    <t xml:space="preserve">Kiểm tra lối vào chức năng quên mật khẩu</t>
  </si>
  <si>
    <t xml:space="preserve">1. Mở {{url.customer}}
2. Tìm liên kết quên mật khẩu trên màn hình đăng nhập</t>
  </si>
  <si>
    <t xml:space="preserve">Màn hình không có liên kết quên mật khẩu, trong khi UC-AUTH-003 có chức năng này. Vào từ đâu → Q-L-07</t>
  </si>
  <si>
    <t>UC-AUTH-003</t>
  </si>
  <si>
    <t xml:space="preserve">Lộ thông tin</t>
  </si>
  <si>
    <t xml:space="preserve">Mật khẩu trong DOM</t>
  </si>
  <si>
    <t>TC_048</t>
  </si>
  <si>
    <t xml:space="preserve">Kiểm tra mật khẩu không bị lộ trong mã trang</t>
  </si>
  <si>
    <t xml:space="preserve">1. Mở {{url.customer}}
2. Nhập mật khẩu
3. Mở công cụ nhà phát triển, xem phần tử trường Password</t>
  </si>
  <si>
    <t xml:space="preserve">- Thuộc tính type là password
- Giá trị không hiển thị dạng text thường</t>
  </si>
  <si>
    <t xml:space="preserve">Mật khẩu trong yêu cầu mạng</t>
  </si>
  <si>
    <t>TC_049</t>
  </si>
  <si>
    <t xml:space="preserve">Kiểm tra mật khẩu không nằm trên URL</t>
  </si>
  <si>
    <t xml:space="preserve">1. Mở {{url.customer}}
2. Mở tab Network
3. Đăng nhập
4. Kiểm tra yêu cầu đăng nhập</t>
  </si>
  <si>
    <t xml:space="preserve">- Gửi bằng phương thức POST qua HTTPS
- Mật khẩu không nằm trong chuỗi truy vấn của URL</t>
  </si>
  <si>
    <t xml:space="preserve">Phiên làm việc</t>
  </si>
  <si>
    <t xml:space="preserve">Quay lại sau khi đăng xuất</t>
  </si>
  <si>
    <t>TC_050</t>
  </si>
  <si>
    <t xml:space="preserve">Kiểm tra dùng nút Quay lại sau khi đăng xuất</t>
  </si>
  <si>
    <t xml:space="preserve">Đã đăng nhập rồi đăng xuất</t>
  </si>
  <si>
    <t xml:space="preserve">1. Bấm nút Quay lại của trình duyệt
2. Kiểm tra hiển thị</t>
  </si>
  <si>
    <t xml:space="preserve">- Không hiển thị nội dung trang nội bộ
- Chuyển về màn hình đăng nhập</t>
  </si>
  <si>
    <t xml:space="preserve">Gọi thẳng API khi chưa đăng nhập</t>
  </si>
  <si>
    <t>TC_051</t>
  </si>
  <si>
    <t xml:space="preserve">Kiểm tra gọi API khi chưa có phiên</t>
  </si>
  <si>
    <t xml:space="preserve">1. Gọi thẳng một API nội bộ không kèm token</t>
  </si>
  <si>
    <t xml:space="preserve">- Trả về 401, không trả dữ liệu</t>
  </si>
  <si>
    <t xml:space="preserve">Ghi vết</t>
  </si>
  <si>
    <t xml:space="preserve">Ghi nhận lần đăng nhập</t>
  </si>
  <si>
    <t>TC_052</t>
  </si>
  <si>
    <t xml:space="preserve">Kiểm tra ghi vết đăng nhập thành công và thất bại</t>
  </si>
  <si>
    <t xml:space="preserve">1. Mở {{url.customer}}
2. Đăng nhập sai một lần
3. Đăng nhập đúng một lần
4. Mở Audit Trail bằng {{user.sgs_admin}}</t>
  </si>
  <si>
    <t xml:space="preserve">- Có bản ghi cho cả lần thất bại và lần thành công, đúng người, đúng thời điểm</t>
  </si>
  <si>
    <t xml:space="preserve">MVP có ghi vết lần đăng nhập thất bại không</t>
  </si>
  <si>
    <t>UC-AUD-001</t>
  </si>
  <si>
    <t xml:space="preserve">SCP-L0001_Quản lý scope</t>
  </si>
  <si>
    <t xml:space="preserve">Scopes · Customer Portal</t>
  </si>
  <si>
    <t xml:space="preserve">Figma SGS-DTP-DS · Screens 05 Scopes · prototype</t>
  </si>
  <si>
    <t xml:space="preserve">Từ menu</t>
  </si>
  <si>
    <t xml:space="preserve">Bấm Scopes ở menu trái</t>
  </si>
  <si>
    <t>Scope_001</t>
  </si>
  <si>
    <t xml:space="preserve">Kiểm tra vào màn Scopes từ menu trái</t>
  </si>
  <si>
    <t xml:space="preserve">Đăng nhập account Customer Admin</t>
  </si>
  <si>
    <t xml:space="preserve">1. Bấm mục Scopes ở menu trái</t>
  </si>
  <si>
    <t xml:space="preserve">- Chuyển sang màn Scopes
- Breadcrumb: Scopes
- Mục Scopes ở menu trái được tô nền</t>
  </si>
  <si>
    <t>UC-SCP-001</t>
  </si>
  <si>
    <t xml:space="preserve">Bằng URL</t>
  </si>
  <si>
    <t>Scope_002</t>
  </si>
  <si>
    <t xml:space="preserve">Kiểm tra mở màn Scopes bằng URL</t>
  </si>
  <si>
    <t xml:space="preserve">1. Mở thẳng vào scopes</t>
  </si>
  <si>
    <t xml:space="preserve">- Hiển thị màn Scopes
- Mục Scopes ở menu trái được tô nền</t>
  </si>
  <si>
    <t xml:space="preserve">Từ danh sách</t>
  </si>
  <si>
    <t xml:space="preserve">Bấm tên scope</t>
  </si>
  <si>
    <t>Scope_003</t>
  </si>
  <si>
    <t xml:space="preserve">Kiểm tra mở chi tiết scope từ danh sách</t>
  </si>
  <si>
    <t xml:space="preserve">1. Vào màn hình Scopes</t>
  </si>
  <si>
    <t xml:space="preserve">- Chuyển sang màn chi tiết, đúng dạng URL
- Tiêu đề trang đúng định dạng</t>
  </si>
  <si>
    <t>UC-SCP-002</t>
  </si>
  <si>
    <t xml:space="preserve">Mã scope hợp lệ</t>
  </si>
  <si>
    <t>Scope_004</t>
  </si>
  <si>
    <t xml:space="preserve">Kiểm tra mở chi tiết scope bằng URL</t>
  </si>
  <si>
    <t xml:space="preserve">1. Mở url đúng định dạng</t>
  </si>
  <si>
    <t xml:space="preserve">- Hiển thị màn chi tiết của màn hình scope</t>
  </si>
  <si>
    <t xml:space="preserve">Mã scope không tồn tại</t>
  </si>
  <si>
    <t>Scope_005</t>
  </si>
  <si>
    <t xml:space="preserve">Kiểm tra mở chi tiết bằng mã scope không tồn tại</t>
  </si>
  <si>
    <t xml:space="preserve">1. Mở url sai định dạng</t>
  </si>
  <si>
    <t xml:space="preserve">- Hiển thị lỗi:
"This scope doesn’t exist
It may have been removed, or it belongs to an organisation you can’t see."</t>
  </si>
  <si>
    <t xml:space="preserve">Hiện trang lỗi, thông báo, hay quay về danh sách → Q-S-26</t>
  </si>
  <si>
    <t xml:space="preserve">Breadcrumb, tiêu đề, mô tả</t>
  </si>
  <si>
    <t>Scope_006</t>
  </si>
  <si>
    <t xml:space="preserve">Kiểm tra phần đầu màn Scopes</t>
  </si>
  <si>
    <t xml:space="preserve">1. Mở màn Scopes
2. Kiểm tra phần đầu trang</t>
  </si>
  <si>
    <t xml:space="preserve">- Breadcrumb: Scopes
- Tiêu đề: Scopes
- Mô tả: The parts of [tenant.short] you prepare for a framework: the organisation, a product or a system.</t>
  </si>
  <si>
    <t xml:space="preserve">Mô tả dùng tên ngắn (ABC Trading), màn chi tiết dùng tên đầy đủ (ABC Trading Co., Ltd.) → Q-S-02</t>
  </si>
  <si>
    <t xml:space="preserve">Chưa có scope</t>
  </si>
  <si>
    <t xml:space="preserve">Customer Admin</t>
  </si>
  <si>
    <t>Scope_007</t>
  </si>
  <si>
    <t xml:space="preserve">Kiểm tra màn Scopes khi tenant chưa có scope nào</t>
  </si>
  <si>
    <t xml:space="preserve">Đăng nhập Customer Admin của tenant chưa có scope nào</t>
  </si>
  <si>
    <t xml:space="preserve">1. Mở màn Scopes</t>
  </si>
  <si>
    <t xml:space="preserve">- Hiển thị thông tin:
"Create your first scope
A scope is the part of your organisation you want to prepare: the whole organisation, a product, or one system. Link a framework to it to start collecting evidence."</t>
  </si>
  <si>
    <t xml:space="preserve">Figma có frame Scopes / Empty, chưa đối chiếu được text → Q-S-10</t>
  </si>
  <si>
    <t xml:space="preserve">Nút tạo scope</t>
  </si>
  <si>
    <t>Scope_008</t>
  </si>
  <si>
    <t xml:space="preserve">Kiểm tra hiển thị nút tạo scope</t>
  </si>
  <si>
    <t xml:space="preserve">1. Mở màn Scopes
2. Kiểm tra góc trên bên phải</t>
  </si>
  <si>
    <t xml:space="preserve">- Có nút tạo scope ở góc trên bên phải</t>
  </si>
  <si>
    <t xml:space="preserve">Nhãn: Figma 'Create scope', prototype '+ Create scope' → Q-S-03</t>
  </si>
  <si>
    <t>UC-SCP-003</t>
  </si>
  <si>
    <t xml:space="preserve">Mở hộp thoại</t>
  </si>
  <si>
    <t xml:space="preserve">Bấm nút tạo scope</t>
  </si>
  <si>
    <t>Scope_009</t>
  </si>
  <si>
    <t xml:space="preserve">Kiểm tra mở hộp thoại Create scope</t>
  </si>
  <si>
    <t xml:space="preserve">1. Mở màn Scopes
2. Bấm nút tạo scope</t>
  </si>
  <si>
    <t xml:space="preserve">- Mở hộp thoại tiêu đề Create scope, có nút đóng ×
- Có nút Cancel và nút Create scope</t>
  </si>
  <si>
    <t xml:space="preserve">Trạng thái mặc định</t>
  </si>
  <si>
    <t>Scope_010</t>
  </si>
  <si>
    <t xml:space="preserve">Kiểm tra các trường mặc định của hộp thoại Create scope</t>
  </si>
  <si>
    <t xml:space="preserve">1. Mở màn Scopes
2. Mở hộp thoại Create scope
3. Kiểm tra từ trên xuống</t>
  </si>
  <si>
    <t xml:space="preserve">- Type * gồm 3 lựa chọn, chưa chọn sẵn lựa chọn nào:
  Organization — The whole company or one legal entity
  Product — A product or service you offer
  System — One information system; can belong to an organisation and a product
- Name * rỗng
- What is in scope * rỗng
- What is out of scope (optional) rỗng, placeholder: e.g. Marketing email tool run by a supplier</t>
  </si>
  <si>
    <t xml:space="preserve">Chọn loại</t>
  </si>
  <si>
    <t xml:space="preserve">Chọn System</t>
  </si>
  <si>
    <t>Scope_011</t>
  </si>
  <si>
    <t xml:space="preserve">Kiểm tra các trường hiện thêm khi chọn System</t>
  </si>
  <si>
    <t xml:space="preserve">1. Mở màn Scopes
2. Mở hộp thoại Create scope
3. Chọn System</t>
  </si>
  <si>
    <t xml:space="preserve">- Lựa chọn System được đánh dấu
- Hiện thêm hai trường: Belongs to organisation (placeholder Choose) và Belongs to product (optional) (mặc định None)</t>
  </si>
  <si>
    <t xml:space="preserve">Belongs to organisation không có * cũng không ghi (optional) → Q-S-04</t>
  </si>
  <si>
    <t xml:space="preserve">Đổi từ System sang loại khác</t>
  </si>
  <si>
    <t>Scope_012</t>
  </si>
  <si>
    <t xml:space="preserve">Kiểm tra đổi loại sau khi đã chọn System</t>
  </si>
  <si>
    <t xml:space="preserve">1. Mở màn Scopes
2. Mở hộp thoại, chọn System, chọn một giá trị Belongs to organisation
3. Đổi sang Organization
4. Đổi sang Product</t>
  </si>
  <si>
    <t xml:space="preserve">- Ở bước 2 và 3 không còn hai trường Belongs to organisation, Belongs to product (optional)</t>
  </si>
  <si>
    <t xml:space="preserve">Giá trị Belongs to đã chọn có bị bỏ khi đổi loại → Q-S-04</t>
  </si>
  <si>
    <t xml:space="preserve">Danh sách chọn</t>
  </si>
  <si>
    <t xml:space="preserve">Belongs to organisation</t>
  </si>
  <si>
    <t>Scope_013</t>
  </si>
  <si>
    <t xml:space="preserve">Kiểm tra danh sách chọn của Belongs to organisation</t>
  </si>
  <si>
    <t xml:space="preserve">1. Mở màn Scopes
2. Mở hộp thoại, chọn System
3. Mở danh sách Belongs to organisation</t>
  </si>
  <si>
    <t xml:space="preserve">- Chỉ liệt kê scope loại Organization của tenant
- Không có scope loại Product, System</t>
  </si>
  <si>
    <t xml:space="preserve">Belongs to product</t>
  </si>
  <si>
    <t>Scope_014</t>
  </si>
  <si>
    <t xml:space="preserve">Kiểm tra danh sách chọn của Belongs to product (optional)</t>
  </si>
  <si>
    <t xml:space="preserve">1. Mở màn Scopes
2. Mở hộp thoại, chọn System
3. Mở danh sách Belongs to product (optional)</t>
  </si>
  <si>
    <t xml:space="preserve">- Có lựa chọn None
- Liệt kê scope loại Product của tenant
- Không có scope loại Organization, System</t>
  </si>
  <si>
    <t xml:space="preserve">Không chọn Type</t>
  </si>
  <si>
    <t>Scope_015</t>
  </si>
  <si>
    <t xml:space="preserve">Kiểm tra tạo scope khi chưa chọn Type</t>
  </si>
  <si>
    <t xml:space="preserve">1. Mở màn Scopes
2. Mở hộp thoại
3. Nhập Name, What is in scope; không chọn Type
4. Bấm Create scope</t>
  </si>
  <si>
    <t xml:space="preserve">- Không tạo scope, hộp thoại vẫn mở
- Hiện lỗi tại Type:
"Choose the type of scope."</t>
  </si>
  <si>
    <t xml:space="preserve">Text lỗi nguyên văn → Q-S-05</t>
  </si>
  <si>
    <t xml:space="preserve">Bỏ trống Name</t>
  </si>
  <si>
    <t>Scope_016</t>
  </si>
  <si>
    <t xml:space="preserve">Kiểm tra tạo scope khi bỏ trống Name</t>
  </si>
  <si>
    <t xml:space="preserve">1. Mở màn Scopes
2. Mở hộp thoại
3. Chọn Organization, nhập What is in scope, để trống Name
4. Bấm Create scope</t>
  </si>
  <si>
    <t xml:space="preserve">- Không tạo scope, hộp thoại vẫn mở
- Hiện lỗi tại Name:
"Enter a name."</t>
  </si>
  <si>
    <t xml:space="preserve">Name chỉ có khoảng trắng</t>
  </si>
  <si>
    <t>Scope_017</t>
  </si>
  <si>
    <t xml:space="preserve">Kiểm tra tạo scope khi Name chỉ có khoảng trắng</t>
  </si>
  <si>
    <t xml:space="preserve">1. Mở màn Scopes
2. Mở hộp thoại
3. Chọn Organization, nhập Name là ba dấu cách, nhập What is in scope
4. Bấm Create scope</t>
  </si>
  <si>
    <t xml:space="preserve">Khoảng trắng có bị coi là rỗng → Q-S-05</t>
  </si>
  <si>
    <t xml:space="preserve">Bỏ trống What is in scope</t>
  </si>
  <si>
    <t>Scope_018</t>
  </si>
  <si>
    <t xml:space="preserve">Kiểm tra tạo scope khi bỏ trống What is in scope</t>
  </si>
  <si>
    <t xml:space="preserve">1. Mở màn Scopes
2. Mở hộp thoại
3. Chọn Organization, nhập Name, để trống What is in scope
4. Bấm Create scope</t>
  </si>
  <si>
    <t xml:space="preserve">- Không tạo scope, hộp thoại vẫn mở
- Hiện lỗi tại What is in scope:
"Describe what is in scope."</t>
  </si>
  <si>
    <t xml:space="preserve">What is in scope chỉ có khoảng trắng</t>
  </si>
  <si>
    <t>Scope_019</t>
  </si>
  <si>
    <t xml:space="preserve">Kiểm tra tạo scope khi What is in scope chỉ có khoảng trắng</t>
  </si>
  <si>
    <t xml:space="preserve">1. Mở màn Scopes
2. Mở hộp thoại
3. Chọn Organization, nhập Name, nhập What is in scope là ba dấu cách
4. Bấm Create scope</t>
  </si>
  <si>
    <t xml:space="preserve">Trùng tên</t>
  </si>
  <si>
    <t>Scope_020</t>
  </si>
  <si>
    <t xml:space="preserve">Kiểm tra tạo scope trùng tên scope đang có</t>
  </si>
  <si>
    <t xml:space="preserve">1. Mở màn Scopes
2. Mở hộp thoại
3. Nhập Name trùng tên [Organization], nhập đủ trường bắt buộc
4. Bấm Create scope</t>
  </si>
  <si>
    <t xml:space="preserve">- Không tạo scope, hộp thoại vẫn mở
- Hiện lỗi tại Name:
"A scope with this name already exists."</t>
  </si>
  <si>
    <t xml:space="preserve">Chặn hay cho phép trùng tên; có phân biệt hoa thường → Q-S-05</t>
  </si>
  <si>
    <t xml:space="preserve">Quá giới hạn ký tự</t>
  </si>
  <si>
    <t>Scope_021</t>
  </si>
  <si>
    <t xml:space="preserve">1. Mở màn Scopes
2. Nhập Name, What is in scope, What is out of scope dài hơn giới hạn</t>
  </si>
  <si>
    <t xml:space="preserve">Giới hạn ký tự từng trường → Q-S-05</t>
  </si>
  <si>
    <t xml:space="preserve">Bấm Cancel</t>
  </si>
  <si>
    <t>Scope_022</t>
  </si>
  <si>
    <t xml:space="preserve">Kiểm tra huỷ tạo scope bằng Cancel</t>
  </si>
  <si>
    <t xml:space="preserve">1. Mở màn Scopes
2. Mở hộp thoại, chọn loại, nhập Name
3. Bấm Cancel</t>
  </si>
  <si>
    <t xml:space="preserve">- Hộp thoại đóng
- Bảng không có dòng mới, dòng đếm giữ nguyên</t>
  </si>
  <si>
    <t xml:space="preserve">Đang nhập dở có hỏi xác nhận không → Q-S-06</t>
  </si>
  <si>
    <t xml:space="preserve">Bấm ×</t>
  </si>
  <si>
    <t>Scope_023</t>
  </si>
  <si>
    <t xml:space="preserve">Kiểm tra đóng hộp thoại tạo scope bằng nút ×</t>
  </si>
  <si>
    <t xml:space="preserve">1. Mở màn Scopes
2. Mở hộp thoại, nhập Name
3. Bấm ×</t>
  </si>
  <si>
    <t xml:space="preserve">- Hộp thoại đóng, không tạo scope</t>
  </si>
  <si>
    <t xml:space="preserve">Nhấn Esc</t>
  </si>
  <si>
    <t>Scope_024</t>
  </si>
  <si>
    <t xml:space="preserve">Kiểm tra nhấn Esc khi đang mở hộp thoại tạo scope</t>
  </si>
  <si>
    <t xml:space="preserve">1. Mở màn Scopes
2. Mở hộp thoại, nhập Name
3. Nhấn Esc</t>
  </si>
  <si>
    <t xml:space="preserve">Thiết kế không ghi; prototype đóng hộp thoại ngay → Q-S-06</t>
  </si>
  <si>
    <t xml:space="preserve">Organization — hiện ở danh sách</t>
  </si>
  <si>
    <t>Scope_025</t>
  </si>
  <si>
    <t xml:space="preserve">Kiểm tra thông tin vừa tạo</t>
  </si>
  <si>
    <t xml:space="preserve">1. Mở màn Scopes
2. Bấm nút tạo scope để mở hộp thoại Create scope
3. Chọn Type: Organization
4. Nhập
- Name: abc
- What is in scope: abc
- What is out of scope (optional): abc
5. Bấm Create scope, tạo thành công
6. Kiểm tra dòng vừa tạo trong danh sách</t>
  </si>
  <si>
    <t xml:space="preserve">- Hộp thoại đóng, tạo thành công
- Danh sách có dòng với Name: abc, nhãn loại Organization
- Cột Belongs to: —
- Dòng đếm tăng 1</t>
  </si>
  <si>
    <t xml:space="preserve">Danh sách scope có hiển thị What is in scope / What is out of scope không? Yêu cầu của Hanna: kiểm tra cả 4 thông tin trên Danh sách; Figma chỉ có các cột Scope, Belongs to, Frameworks, Users, Evidence coverage → Q-S-28</t>
  </si>
  <si>
    <t xml:space="preserve">Product — hiện ở danh sách</t>
  </si>
  <si>
    <t>Scope_026</t>
  </si>
  <si>
    <t xml:space="preserve">1. Mở màn Scopes
2. Bấm nút tạo scope để mở hộp thoại Create scope
3. Chọn Type: Product
4. Nhập
- Name: abc
- What is in scope: abc
- What is out of scope (optional): abc
5. Bấm Create scope, tạo thành công
6. Kiểm tra dòng vừa tạo trong danh sách</t>
  </si>
  <si>
    <t xml:space="preserve">- Hộp thoại đóng, tạo thành công
- Danh sách có dòng với
+ Name: abc
+ Nhãn loại: Product
- Cột Belongs to: —
- Dòng đếm tăng 1</t>
  </si>
  <si>
    <t xml:space="preserve">System — hiện ở danh sách</t>
  </si>
  <si>
    <t>Scope_027</t>
  </si>
  <si>
    <t xml:space="preserve">Kiểm tra scope System vừa tạo hiện ở danh sách</t>
  </si>
  <si>
    <t xml:space="preserve">1. Mở màn Scopes
2. Bấm nút tạo scope để mở hộp thoại Create scope
3. Chọn Type: System
4. Nhập
- Name: abc
- What is in scope: abc
- What is out of scope (optional): abc
5. Chọn
- Belongs to organisation: [Organization]
- Belongs to product (optional): [Product]
6. Bấm Create scope, tạo thành công
7. Kiểm tra dòng vừa tạo trong danh sách</t>
  </si>
  <si>
    <t xml:space="preserve">- Hộp thoại đóng, tạo thành công
- Danh sách có dòng với
+ Name: abc
+ Nhãn loại: System
- Cột Belongs to: [Organization], [Product]
- Dòng đếm tăng 1</t>
  </si>
  <si>
    <t xml:space="preserve">Dòng đếm</t>
  </si>
  <si>
    <t xml:space="preserve">Tổng số scope</t>
  </si>
  <si>
    <t>Scope_028</t>
  </si>
  <si>
    <t xml:space="preserve">Kiểm tra dòng đếm số scope</t>
  </si>
  <si>
    <t xml:space="preserve">1. Mở màn Scopes
2. Kiểm tra dòng phía trên bảng, bên trái</t>
  </si>
  <si>
    <t xml:space="preserve">- Hiển thị &lt;n&gt; scopes, n bằng tổng số scope trong bảng (cộng mọi trang)</t>
  </si>
  <si>
    <t xml:space="preserve">Tìm kiếm</t>
  </si>
  <si>
    <t xml:space="preserve">Hiển thị ô tìm kiếm</t>
  </si>
  <si>
    <t>Scope_029</t>
  </si>
  <si>
    <t xml:space="preserve">Kiểm tra ô tìm kiếm</t>
  </si>
  <si>
    <t xml:space="preserve">1. Mở màn Scopes
2. Kiểm tra phía trên bảng, bên phải</t>
  </si>
  <si>
    <t xml:space="preserve">- Ô tìm kiếm có icon kính lúp, placeholder: Search scopes</t>
  </si>
  <si>
    <t xml:space="preserve">Một phần tên</t>
  </si>
  <si>
    <t>Scope_030</t>
  </si>
  <si>
    <t xml:space="preserve">Kiểm tra tìm theo một phần tên scope</t>
  </si>
  <si>
    <t xml:space="preserve">1. Mở màn Scopes
2. Nhập [từ khóa] là một phần tên scope vào ô tìm kiếm</t>
  </si>
  <si>
    <t xml:space="preserve">- Bảng chỉ còn các scope có tên chứa [từ khóa]
- Dòng phân trang cập nhật theo số kết quả, ví dụ 1–2 of 2 items</t>
  </si>
  <si>
    <t xml:space="preserve">Dòng đếm có đổi theo kết quả không (prototype giữ nguyên tổng) → Q-S-07</t>
  </si>
  <si>
    <t xml:space="preserve">Chữ hoa</t>
  </si>
  <si>
    <t>Scope_031</t>
  </si>
  <si>
    <t xml:space="preserve">Kiểm tra tìm kiếm khi nhập chữ hoa</t>
  </si>
  <si>
    <t xml:space="preserve">1. Mở màn Scopes
2. Nhập [từ khóa] viết hoa vào ô tìm kiếm</t>
  </si>
  <si>
    <t xml:space="preserve">- Hệ thống hiển thị data đúng định dạng, không phân biệt chữ hoa hay không</t>
  </si>
  <si>
    <t xml:space="preserve">Có phân biệt hoa thường không (prototype không phân biệt) → Q-S-07</t>
  </si>
  <si>
    <t xml:space="preserve">Không có kết quả</t>
  </si>
  <si>
    <t>Scope_032</t>
  </si>
  <si>
    <t xml:space="preserve">Kiểm tra tìm kiếm không ra kết quả</t>
  </si>
  <si>
    <t xml:space="preserve">1. Mở màn Scopes
2. Nhập [từ khóa] không khớp tên scope nào vào ô tìm kiếm</t>
  </si>
  <si>
    <t xml:space="preserve">- Bảng và dòng phân trang ẩn
- Thông báo: No results for “[từ khóa]”
- Dòng phụ: Try a different search term.</t>
  </si>
  <si>
    <t xml:space="preserve">Text lấy từ prototype, Figma chưa có trạng thái này → Q-S-07</t>
  </si>
  <si>
    <t xml:space="preserve">Ký tự đặc biệt</t>
  </si>
  <si>
    <t>Scope_033</t>
  </si>
  <si>
    <t xml:space="preserve">Kiểm tra nhập ký tự đặc biệt vào ô tìm kiếm</t>
  </si>
  <si>
    <t xml:space="preserve">1. Mở màn Scopes
2. Nhập ' OR 1=1 -- vào ô tìm kiếm</t>
  </si>
  <si>
    <t xml:space="preserve">- Không có lỗi hệ thống, không lộ thông tin kỹ thuật
- Chuỗi được tìm như văn bản thường</t>
  </si>
  <si>
    <t xml:space="preserve">Xoá từ khoá</t>
  </si>
  <si>
    <t>Scope_034</t>
  </si>
  <si>
    <t xml:space="preserve">Kiểm tra xoá từ khoá tìm kiếm</t>
  </si>
  <si>
    <t xml:space="preserve">1. Mở màn Scopes
2. Nhập từ khóa
3. Xoá hết nội dung ô tìm kiếm</t>
  </si>
  <si>
    <t xml:space="preserve">- Bảng hiển thị lại toàn bộ scope
- Dòng phân trang trở về như lúc mở màn</t>
  </si>
  <si>
    <t xml:space="preserve">Tiêu đề cột</t>
  </si>
  <si>
    <t>Scope_035</t>
  </si>
  <si>
    <t xml:space="preserve">Kiểm tra tiêu đề các cột</t>
  </si>
  <si>
    <t xml:space="preserve">1. Mở màn Scopes
2. Kiểm tra hàng tiêu đề của bảng</t>
  </si>
  <si>
    <t xml:space="preserve">- 5 cột theo thứ tự: Scope · Belongs to · Frameworks · Users · Evidence coverage</t>
  </si>
  <si>
    <t xml:space="preserve">Cột Evidence coverage có trong MVP không → Q-S-11</t>
  </si>
  <si>
    <t xml:space="preserve">Cột Scope</t>
  </si>
  <si>
    <t>Scope_036</t>
  </si>
  <si>
    <t xml:space="preserve">Kiểm tra cột Scope</t>
  </si>
  <si>
    <t xml:space="preserve">1. Mở màn Scopes
2. Kiểm tra từng dòng ở cột Scope</t>
  </si>
  <si>
    <t xml:space="preserve">- Tên scope dạng liên kết
- Dưới tên có nhãn loại Organization, Product hoặc System, đúng loại của scope</t>
  </si>
  <si>
    <t xml:space="preserve">Cột Belongs to</t>
  </si>
  <si>
    <t>Scope_037</t>
  </si>
  <si>
    <t xml:space="preserve">Kiểm tra cột Belongs to với scope Organization</t>
  </si>
  <si>
    <t xml:space="preserve">1. Mở màn Scopes
2. Kiểm tra cột Belongs to của type: Organization</t>
  </si>
  <si>
    <t xml:space="preserve">- Hiển thị Belongs to: —</t>
  </si>
  <si>
    <t>Scope_038</t>
  </si>
  <si>
    <t xml:space="preserve">Kiểm tra cột Belongs to với scope Product</t>
  </si>
  <si>
    <t xml:space="preserve">1. Mở màn Scopes
2. Kiểm tra cột Belongs to của type: Product</t>
  </si>
  <si>
    <t>Scope_039</t>
  </si>
  <si>
    <t xml:space="preserve">Kiểm tra cột Belongs to với scope System</t>
  </si>
  <si>
    <t xml:space="preserve">1. Tạo scope với type: System chọn
- Belongs to organisation: [Organization]
- Belongs to product (optional): [Product]
2. Tạo thành công Scope
3. Kiểm tra cột Belongs to của type: System</t>
  </si>
  <si>
    <t xml:space="preserve">- Hiển thị Belongs to đúng thông tin đã chọn  Belongs to organisation và Belongs to product (optional), phân cách nhau bởi dấu phẩy</t>
  </si>
  <si>
    <t>Scope_040</t>
  </si>
  <si>
    <t xml:space="preserve">Kiểm tra cột Belongs to với scope System và bỏ trống lựa chọn Belongs to organisation và Belongs to product (optional)</t>
  </si>
  <si>
    <t xml:space="preserve">1. Tạo scope với type: System bỏ trống
- Belongs to organisation:
- Belongs to product (optional):
2. Tạo thành công Scope
3. Kiểm tra cột Belongs to của type: System</t>
  </si>
  <si>
    <t xml:space="preserve">Cột Frameworks — đã gắn</t>
  </si>
  <si>
    <t>Scope_041</t>
  </si>
  <si>
    <t xml:space="preserve">Kiểm tra cột Frameworks của scope đã gắn framework</t>
  </si>
  <si>
    <t xml:space="preserve">1. Mở màn Scopes
2. Đã gắn link Frameworks
3. Kiểm tra cột Frameworks</t>
  </si>
  <si>
    <t xml:space="preserve">- Mỗi framework một dòng dạng &lt;tên&gt; · &lt;phiên bản&gt;, ví dụ ISO/IEC 27001 · 2022
- Framework có tier thêm · &lt;tier&gt;, ví dụ Appendix 10 · 2022 · Medium</t>
  </si>
  <si>
    <t xml:space="preserve">Cột Frameworks — chưa gắn</t>
  </si>
  <si>
    <t>Scope_042</t>
  </si>
  <si>
    <t xml:space="preserve">Kiểm tra cột Frameworks của scope chưa gắn framework</t>
  </si>
  <si>
    <t xml:space="preserve">Đăng nhập account Customer Admin; trên Scopes đã tạo abc (Organization) chưa gắn framework</t>
  </si>
  <si>
    <t xml:space="preserve">1. Mở màn Scopes
2. Chưa gắn link Frameworks
3. Kiểm tra cột Frameworks của abc</t>
  </si>
  <si>
    <t xml:space="preserve">- Hiển thị: None linked yet</t>
  </si>
  <si>
    <t xml:space="preserve">Text theo Figma, prototype chưa có dữ liệu để đối chiếu → Q-S-13</t>
  </si>
  <si>
    <t xml:space="preserve">Cột Users</t>
  </si>
  <si>
    <t>Scope_043</t>
  </si>
  <si>
    <t xml:space="preserve">Kiểm tra cột Users khớp với màn chi tiết</t>
  </si>
  <si>
    <t xml:space="preserve">1. Mở màn Scopes
2. Ghi số ở cột Users
3. Mở chi tiết, đếm số dòng ở khối Users</t>
  </si>
  <si>
    <t xml:space="preserve">- Hai số bằng nhau</t>
  </si>
  <si>
    <t xml:space="preserve">Có tính Customer Admin không → Q-S-12</t>
  </si>
  <si>
    <t xml:space="preserve">Cột Evidence coverage</t>
  </si>
  <si>
    <t>Scope_044</t>
  </si>
  <si>
    <t xml:space="preserve"> Evidence coverage có nhiều framework</t>
  </si>
  <si>
    <t xml:space="preserve">1. Mở màn hình Scopes
2. Tạo Frameworks với:
- Framework A: 74/116;
- Framework B: 6/31;
- Framework C: 0/78</t>
  </si>
  <si>
    <t xml:space="preserve">- Hiển thị Evidence coverage = (74+6+0)/(116+31+78) × 100 = 35.56% → 36%</t>
  </si>
  <si>
    <t>UC-RDN-004</t>
  </si>
  <si>
    <t>Scope_045</t>
  </si>
  <si>
    <t xml:space="preserve"> Evidence coverage có 2 framework</t>
  </si>
  <si>
    <t xml:space="preserve">1. Mở màn hình Scopes
2. Tạo Frameworks với:
- Framework A: 16/40;
- Framework B: 38/61;</t>
  </si>
  <si>
    <t xml:space="preserve">- Hiển thị Evidence coverage = (16+38)/(40+61) × 100 = 53.47% → 53%</t>
  </si>
  <si>
    <t>Scope_046</t>
  </si>
  <si>
    <t xml:space="preserve">Tất cả requirement đều có mandatory evidence</t>
  </si>
  <si>
    <t xml:space="preserve">1. Mở màn hình Scopes
2. Tạo Frameworks với:
- Framework A: 40/40;
- Framework B: 61/61;</t>
  </si>
  <si>
    <t xml:space="preserve">- Hiển thị Evidence coverage = 101/101 × 100 = 100%</t>
  </si>
  <si>
    <t>Scope_047</t>
  </si>
  <si>
    <t xml:space="preserve">Không có requirement nào có mandatory evidence</t>
  </si>
  <si>
    <t xml:space="preserve">1. Mở màn hình Scopes
2. Tạo Frameworks với:
- Framework A: 0/116;
- Framework B: 0/31;</t>
  </si>
  <si>
    <t xml:space="preserve">- Hiển thị Evidence coverage = 0/147 × 100 = 0%</t>
  </si>
  <si>
    <t>Scope_048</t>
  </si>
  <si>
    <t xml:space="preserve">Chỉ có 1 framework được gắn link</t>
  </si>
  <si>
    <t xml:space="preserve">1. Mở màn hình Scopes
2. Tạo Frameworks với:
- Framework A: 16/40;</t>
  </si>
  <si>
    <t xml:space="preserve">- Hiển thị Evidence coverage = 16/40 × 100 = 40%</t>
  </si>
  <si>
    <t>Scope_049</t>
  </si>
  <si>
    <t xml:space="preserve">Một framework đạt 100%, một framework đạt 0%</t>
  </si>
  <si>
    <t xml:space="preserve">1. Mở màn hình Scopes
2. Tạo Frameworks với:
- Framework A: 40/40;
- Framework B: 0/60;</t>
  </si>
  <si>
    <t xml:space="preserve">- Hiển thị Evidence coverage = 40/100 × 100 = 40%</t>
  </si>
  <si>
    <t xml:space="preserve">[ĐỀ XUẤT LÙI] RDN-004 0 giờ, LTS đề xuất Phase 2. Prototype: 54% = (74+6)/(116+31) → Q-S-11</t>
  </si>
  <si>
    <t>Scope_050</t>
  </si>
  <si>
    <t xml:space="preserve">Kiểm tra Evidence coverage khi scope chưa gắn framework nào</t>
  </si>
  <si>
    <t xml:space="preserve">1. Mở màn hình Scopes
2. Kiểm tra cột Evidence coverage của scope chưa gắn framework</t>
  </si>
  <si>
    <t xml:space="preserve">- Hiển thị Evidence coverage:—</t>
  </si>
  <si>
    <t xml:space="preserve">Scope chưa gắn framework: cột Evidence coverage hiện —, 0% hay để trống → Q-S-13</t>
  </si>
  <si>
    <t>Scope_051</t>
  </si>
  <si>
    <t xml:space="preserve">Kiểm tra Evidence coverage khi phần thập phân đúng bằng .5</t>
  </si>
  <si>
    <t xml:space="preserve">1. Mở màn hình Scopes
2. Tạo Frameworks với:
- Framework A: 1/8</t>
  </si>
  <si>
    <t xml:space="preserve">- Hiển thị Evidence coverage = 1/8 × 100 = 12.5% → 13%</t>
  </si>
  <si>
    <t xml:space="preserve">1/8 × 100 = 12.5%: hiển thị 12% hay 13% (cách làm tròn khi phần thập phân đúng bằng .5) → Q-S-11</t>
  </si>
  <si>
    <t>Scope_052</t>
  </si>
  <si>
    <t xml:space="preserve">Kiểm tra Evidence coverage khi kết quả trên 0% và dưới 0.5%</t>
  </si>
  <si>
    <t xml:space="preserve">1. Mở màn hình Scopes
2. Tạo Frameworks với:
- Framework A: 1/250</t>
  </si>
  <si>
    <t xml:space="preserve">- Hiển thị Evidence coverage = 1/250 × 100 = 0.4% → 0%.</t>
  </si>
  <si>
    <t xml:space="preserve">1/250 × 100 = 0.4%: làm tròn như các case trên thì ra 0% dù đã có 1 requirement đủ evidence; hiển thị 0%, 1% hay &lt;1% → Q-S-11</t>
  </si>
  <si>
    <t>Scope_053</t>
  </si>
  <si>
    <t xml:space="preserve">Kiểm tra Evidence coverage khi kết quả từ 99.5% đến dưới 100%</t>
  </si>
  <si>
    <t xml:space="preserve">1. Mở màn hình Scopes
2. Tạo Frameworks với:
- Framework A: 249/250</t>
  </si>
  <si>
    <t xml:space="preserve">- Hiển thị Evidence coverage = 249/250 × 100 = 99.6% → 100%.</t>
  </si>
  <si>
    <t xml:space="preserve">249/250 × 100 = 99.6%: làm tròn như các case trên thì ra 100% dù còn 1 requirement chưa đủ evidence; hiển thị 100% hay 99% → Q-S-11</t>
  </si>
  <si>
    <t xml:space="preserve">Sắp xếp</t>
  </si>
  <si>
    <t xml:space="preserve">Thứ tự mặc định</t>
  </si>
  <si>
    <t>Scope_054</t>
  </si>
  <si>
    <t xml:space="preserve">Kiểm tra thứ tự mặc định của danh sách</t>
  </si>
  <si>
    <t xml:space="preserve">1. Mở màn Scopes, kiểm tra thứ tự các dòng</t>
  </si>
  <si>
    <t xml:space="preserve">- Hiển thị theo thứ tự thời gian cũ nhất xuống mới nhất</t>
  </si>
  <si>
    <t xml:space="preserve">Mặc định sắp theo gì (prototype không theo tên) → Q-S-08</t>
  </si>
  <si>
    <t xml:space="preserve">Bấm lần 1</t>
  </si>
  <si>
    <t>Scope_055</t>
  </si>
  <si>
    <t xml:space="preserve">Kiểm tra sắp xếp tăng dần theo tên</t>
  </si>
  <si>
    <t xml:space="preserve">1. Mở màn Scopes
2. Bấm tiêu đề cột Scope</t>
  </si>
  <si>
    <t xml:space="preserve">- Các dòng xếp theo tên từ A đến Z</t>
  </si>
  <si>
    <t xml:space="preserve">Figma không có icon sắp xếp → Q-S-08</t>
  </si>
  <si>
    <t xml:space="preserve">Bấm lần 2</t>
  </si>
  <si>
    <t>Scope_056</t>
  </si>
  <si>
    <t xml:space="preserve">Kiểm tra sắp xếp giảm dần theo tên</t>
  </si>
  <si>
    <t xml:space="preserve">1. Mở màn Scopes
2. Bấm tiêu đề cột Scope hai lần</t>
  </si>
  <si>
    <t xml:space="preserve">- Các dòng xếp theo tên từ Z đến A</t>
  </si>
  <si>
    <t>Scope_057</t>
  </si>
  <si>
    <t xml:space="preserve">Kiểm tra dòng phân trang mặc định</t>
  </si>
  <si>
    <t xml:space="preserve">1. Mở màn Scopes
2. Kiểm tra thông tin: Items per page</t>
  </si>
  <si>
    <t xml:space="preserve">- Hiển thị mặc định là 10 items</t>
  </si>
  <si>
    <t xml:space="preserve">Figma: 1–4 of 4 items · Page 1 of 1. Prototype: Items per page 10 · 1–4 of 4 items · [1] of 1 page · ‹ › → Q-S-09</t>
  </si>
  <si>
    <t xml:space="preserve">Các giá trị khác</t>
  </si>
  <si>
    <t>Scope_058</t>
  </si>
  <si>
    <t xml:space="preserve">Kiểm tra các giá trị trong Items per page</t>
  </si>
  <si>
    <t xml:space="preserve">1. Mở màn Scopes
2. Click vào Items per page
3. Kiểm tra hiển thị</t>
  </si>
  <si>
    <t xml:space="preserve">- Hiển thị các giá trị:
+ 10 items
+ 25 items
+ 50 items
+ 100 items</t>
  </si>
  <si>
    <t xml:space="preserve">Đổi số dòng</t>
  </si>
  <si>
    <t xml:space="preserve">Chọn giá trị khác</t>
  </si>
  <si>
    <t>Scope_059</t>
  </si>
  <si>
    <t xml:space="preserve">Kiểm tra đổi số dòng mỗi trang</t>
  </si>
  <si>
    <t xml:space="preserve">Đăng nhập Customer Admin của tenant có từ 11 scope trở lên</t>
  </si>
  <si>
    <t xml:space="preserve">1. Mở màn Scopes
2. Mở Items per page
3. Chọn 25</t>
  </si>
  <si>
    <t xml:space="preserve">- Hiển thị đủ 11 items trên bảng dữ liệu</t>
  </si>
  <si>
    <t xml:space="preserve">Có chọn số dòng không; giá trị 10/25/50/100 theo prototype → Q-S-09</t>
  </si>
  <si>
    <t xml:space="preserve">Chuyển trang</t>
  </si>
  <si>
    <t xml:space="preserve">Chỉ có một trang</t>
  </si>
  <si>
    <t>Scope_060</t>
  </si>
  <si>
    <t xml:space="preserve">Kiểm tra nút chuyển trang khi chỉ có một trang</t>
  </si>
  <si>
    <t xml:space="preserve">1. Mở màn Scopes
2. Kiểm tra hai nút ‹ ›</t>
  </si>
  <si>
    <t xml:space="preserve">- Cả hai nút ở trạng thái không bấm được</t>
  </si>
  <si>
    <t xml:space="preserve">Sang trang 2</t>
  </si>
  <si>
    <t>Scope_061</t>
  </si>
  <si>
    <t xml:space="preserve">Kiểm tra chuyển sang trang 2</t>
  </si>
  <si>
    <t xml:space="preserve">1. Mở màn Scopes
2. Bấm nút ›</t>
  </si>
  <si>
    <t xml:space="preserve">- Bảng hiển thị từ scope thứ 11
- Dòng phân trang: 11–&lt;n&gt; of &lt;n&gt; items</t>
  </si>
  <si>
    <t xml:space="preserve">Số dòng mỗi trang mặc định → Q-S-09</t>
  </si>
  <si>
    <t xml:space="preserve">Các thành phần</t>
  </si>
  <si>
    <t>Scope_062</t>
  </si>
  <si>
    <t xml:space="preserve">Kiểm tra phần đầu màn chi tiết</t>
  </si>
  <si>
    <t xml:space="preserve">1. Mở chi tiết scope Organization (bấm tên scope ở màn Scopes)
2. Kiểm tra phần đầu trang, từ trái sang phải</t>
  </si>
  <si>
    <t xml:space="preserve">- Nút quay lại ←
- Tiêu đề: tên scope
- Dòng phụ: Organization scope · [Tên Organization]
- Nhãn Active
- Nút ⋮ ở góc phải</t>
  </si>
  <si>
    <t xml:space="preserve">Ngoài Active còn trạng thái nào → Q-S-14</t>
  </si>
  <si>
    <t xml:space="preserve">Dòng phụ theo loại</t>
  </si>
  <si>
    <t>Scope_063</t>
  </si>
  <si>
    <t xml:space="preserve">Kiểm tra dòng phụ theo loại scope Organization</t>
  </si>
  <si>
    <t xml:space="preserve">1. Mở chi tiết scope Organization</t>
  </si>
  <si>
    <t xml:space="preserve">- Hiển thị title: Organization scope · [Tên Organization]</t>
  </si>
  <si>
    <t>Scope_064</t>
  </si>
  <si>
    <t xml:space="preserve">Kiểm tra dòng phụ theo loại scope Product</t>
  </si>
  <si>
    <t xml:space="preserve">1. Mở chi tiết scope Product</t>
  </si>
  <si>
    <t xml:space="preserve">- Hiển thị title: Product scope · [Tên Organization]</t>
  </si>
  <si>
    <t>Scope_065</t>
  </si>
  <si>
    <t xml:space="preserve">Kiểm tra dòng phụ theo loại scope System</t>
  </si>
  <si>
    <t xml:space="preserve">1. Mở chi tiết scope System</t>
  </si>
  <si>
    <t xml:space="preserve">- Hiển thị title: System scope · [Tên Organization]</t>
  </si>
  <si>
    <t xml:space="preserve">Nút quay lại</t>
  </si>
  <si>
    <t xml:space="preserve">Bấm ←</t>
  </si>
  <si>
    <t>Scope_066</t>
  </si>
  <si>
    <t xml:space="preserve">Kiểm tra nút quay lại</t>
  </si>
  <si>
    <t xml:space="preserve">1. Mở chi tiết scope (bấm tên scope ở màn Scopes)
2. Bấm nút ←</t>
  </si>
  <si>
    <t xml:space="preserve">- Quay về màn Scopes</t>
  </si>
  <si>
    <t xml:space="preserve">Menu ⋮</t>
  </si>
  <si>
    <t xml:space="preserve">Các mục</t>
  </si>
  <si>
    <t>Scope_067</t>
  </si>
  <si>
    <t xml:space="preserve">Kiểm tra menu ⋮ của scope</t>
  </si>
  <si>
    <t xml:space="preserve">1. Mở chi tiết scope (bấm tên scope ở màn Scopes)
2. Bấm nút ⋮</t>
  </si>
  <si>
    <t xml:space="preserve">- Menu chỉ có một mục: Edit scope</t>
  </si>
  <si>
    <t xml:space="preserve">Không có Archive, Delete: SCP-005 lùi Phase 2, nhưng WBS CP-06 ghi CRUD → Q-S-14</t>
  </si>
  <si>
    <t>UC-SCP-004</t>
  </si>
  <si>
    <t xml:space="preserve">Bấm Edit scope</t>
  </si>
  <si>
    <t>Scope_068</t>
  </si>
  <si>
    <t xml:space="preserve">Kiểm tra mục Edit scope trong menu ⋮</t>
  </si>
  <si>
    <t xml:space="preserve">1. Mở chi tiết scope (bấm tên scope ở màn Scopes)
2. Bấm nút ⋮
3. Bấm Edit scope</t>
  </si>
  <si>
    <t xml:space="preserve">- Mở hộp thoại Edit scope</t>
  </si>
  <si>
    <t xml:space="preserve">Figma không có frame sửa scope → Q-S-15</t>
  </si>
  <si>
    <t xml:space="preserve">Ba mục</t>
  </si>
  <si>
    <t>Scope_069</t>
  </si>
  <si>
    <t xml:space="preserve">Kiểm tra cột điều hướng bên trái</t>
  </si>
  <si>
    <t xml:space="preserve">1. Mở chi tiết scope (bấm tên scope ở màn Scopes)
2. Kiểm tra cột bên trái</t>
  </si>
  <si>
    <t xml:space="preserve">- Ba mục theo thứ tự:
+ Overview
+ Frameworks
+ Users
- Mục Overview được tô nền khi mới mở</t>
  </si>
  <si>
    <t xml:space="preserve">Bấm mục</t>
  </si>
  <si>
    <t xml:space="preserve">Frameworks, Users</t>
  </si>
  <si>
    <t>Scope_070</t>
  </si>
  <si>
    <t xml:space="preserve">Kiểm tra bấm mục trong cột điều hướng</t>
  </si>
  <si>
    <t xml:space="preserve">1. Mở chi tiết scope (bấm tên scope ở màn Scopes)
2. Bấm Frameworks
3. Bấm Users</t>
  </si>
  <si>
    <t xml:space="preserve">- Sau bước 2: trang cuộn tới khối Frameworks
- Sau bước 3: trang cuộn tới khối Users</t>
  </si>
  <si>
    <t xml:space="preserve">Scope Organization</t>
  </si>
  <si>
    <t>Scope_071</t>
  </si>
  <si>
    <t xml:space="preserve">Kiểm tra khối Overview của scope Organization</t>
  </si>
  <si>
    <t xml:space="preserve">Đăng nhập account Customer Admin; scope Organization đã có scope System thuộc về</t>
  </si>
  <si>
    <t xml:space="preserve">1. Mở chi tiết scope Organization
2. Kiểm tra khối số 1 Overview</t>
  </si>
  <si>
    <t xml:space="preserve">- Tiêu đề khối: Overview, có nút Edit
- Type: Organization
- Contains: [System] (system)
- In scope: [What is in scope]
- Out of scope: [What is out of scope]</t>
  </si>
  <si>
    <t xml:space="preserve">Scope Product</t>
  </si>
  <si>
    <t>Scope_072</t>
  </si>
  <si>
    <t xml:space="preserve">Kiểm tra khối Overview của scope Product</t>
  </si>
  <si>
    <t xml:space="preserve">Đăng nhập account Customer Admin; scope Product đã có scope System thuộc về</t>
  </si>
  <si>
    <t xml:space="preserve">1. Mở chi tiết scope Product
2. Kiểm tra khối số 1 Overview</t>
  </si>
  <si>
    <t xml:space="preserve">- Type: Product
- Contains: [System] (system)
- In scope: [What is in scope]
- Out of scope: [What is out of scope]</t>
  </si>
  <si>
    <t xml:space="preserve">Scope System</t>
  </si>
  <si>
    <t>Scope_073</t>
  </si>
  <si>
    <t xml:space="preserve">Kiểm tra khối Overview của scope System</t>
  </si>
  <si>
    <t xml:space="preserve">Đăng nhập account Customer Admin; scope System đã chọn Belongs to organisation: [Organization], Belongs to product (optional): [Product]</t>
  </si>
  <si>
    <t xml:space="preserve">1. Mở chi tiết scope System
2. Kiểm tra khối số 1 Overview</t>
  </si>
  <si>
    <t xml:space="preserve">- Type: System
- Không có trường Contains
- Belongs to: [Organization], [Product]
- In scope: [What is in scope]
- Out of scope: [What is out of scope]</t>
  </si>
  <si>
    <t xml:space="preserve">Trường không có dữ liệu</t>
  </si>
  <si>
    <t>Scope_074</t>
  </si>
  <si>
    <t xml:space="preserve">Kiểm tra trường không có dữ liệu</t>
  </si>
  <si>
    <t xml:space="preserve">Đăng nhập account Customer Admin; scope Product chưa có scope System thuộc về, What is out of scope (optional) để trống</t>
  </si>
  <si>
    <t xml:space="preserve">- Contains: —
- Out of scope: —</t>
  </si>
  <si>
    <t xml:space="preserve">Bấm Edit</t>
  </si>
  <si>
    <t>Scope_075</t>
  </si>
  <si>
    <t xml:space="preserve">Kiểm tra mở hộp thoại Edit scope</t>
  </si>
  <si>
    <t xml:space="preserve">1. Mở chi tiết scope (bấm tên scope ở màn Scopes)
2. Bấm nút Edit ở khối Overview</t>
  </si>
  <si>
    <t xml:space="preserve">- Mở hộp thoại Edit scope, có nút đóng ×
- Các trường điền sẵn giá trị hiện tại:
+ Name *
+ What is in scope *
+ What is out of scope (optional)
- Không có trường Type, Belongs to
- Có nút Cancel và nút Save</t>
  </si>
  <si>
    <t xml:space="preserve">Figma không có frame sửa scope; không cho đổi Type, Belongs to có đúng chủ ý → Q-S-15</t>
  </si>
  <si>
    <t xml:space="preserve">Xoá trống Name</t>
  </si>
  <si>
    <t>Scope_076</t>
  </si>
  <si>
    <t xml:space="preserve">Kiểm tra lưu khi xoá trống Name</t>
  </si>
  <si>
    <t xml:space="preserve">1. Mở chi tiết scope (bấm tên scope ở màn Scopes)
2. Mở Edit scope
3. Xoá hết Name
4. Bấm Save</t>
  </si>
  <si>
    <t xml:space="preserve">- Không lưu, hộp thoại vẫn mở
- Hiện lỗi tại Name:
"Enter a name."</t>
  </si>
  <si>
    <t xml:space="preserve">Xoá trống What is in scope</t>
  </si>
  <si>
    <t>Scope_077</t>
  </si>
  <si>
    <t xml:space="preserve">Kiểm tra lưu khi xoá trống What is in scope</t>
  </si>
  <si>
    <t xml:space="preserve">1. Mở chi tiết scope (bấm tên scope ở màn Scopes)
2. Mở Edit scope
3. Xoá hết What is in scope
4. Bấm Save</t>
  </si>
  <si>
    <t xml:space="preserve">- Không lưu, hộp thoại vẫn mở
- Hiện lỗi tại What is in scope:
"Describe what is in scope."</t>
  </si>
  <si>
    <t xml:space="preserve">Trùng tên scope khác</t>
  </si>
  <si>
    <t>Scope_078</t>
  </si>
  <si>
    <t xml:space="preserve">Kiểm tra đổi Name trùng tên scope khác</t>
  </si>
  <si>
    <t xml:space="preserve">1. Mở chi tiết scope (bấm tên scope ở màn Scopes)
2. Mở Edit scope
3. Đổi Name thành tên của một scope khác đang có
4. Bấm Save</t>
  </si>
  <si>
    <t xml:space="preserve">- Không lưu, hộp thoại vẫn mở
- Hiện lỗi tại Name:
"A scope with this name already exists."</t>
  </si>
  <si>
    <t xml:space="preserve">Chặn hay cho phép trùng tên → Q-S-05</t>
  </si>
  <si>
    <t>Scope_079</t>
  </si>
  <si>
    <t xml:space="preserve">Kiểm tra huỷ sửa scope</t>
  </si>
  <si>
    <t xml:space="preserve">1. Mở chi tiết scope (bấm tên scope ở màn Scopes)
2. Mở Edit scope, đổi Name
3. Bấm Cancel</t>
  </si>
  <si>
    <t xml:space="preserve">- Hộp thoại đóng
- Tiêu đề và khối Overview giữ giá trị cũ</t>
  </si>
  <si>
    <t xml:space="preserve">Scope đang có audit</t>
  </si>
  <si>
    <t>Scope_080</t>
  </si>
  <si>
    <t xml:space="preserve">Kiểm tra sửa scope khi đang có audit</t>
  </si>
  <si>
    <t xml:space="preserve">Đăng nhập account Customer Admin; scope đang có audit chạy trên một framework</t>
  </si>
  <si>
    <t xml:space="preserve">1. Mở chi tiết scope đang có audit
2. Bấm nút Edit ở khối Overview</t>
  </si>
  <si>
    <t xml:space="preserve">- Không mở hộp thoại Edit scope
- Hiện thông báo:
"The scope can't be edited while an audit is running."</t>
  </si>
  <si>
    <t xml:space="preserve">Quy tắc và text lấy từ prototype, UC không ghi → Q-S-16</t>
  </si>
  <si>
    <t xml:space="preserve">Đổi Name — tiêu đề chi tiết</t>
  </si>
  <si>
    <t>Scope_081</t>
  </si>
  <si>
    <t xml:space="preserve">Kiểm tra tên mới ở màn chi tiết sau khi sửa</t>
  </si>
  <si>
    <t xml:space="preserve">1. Mở chi tiết scope (bấm tên scope ở màn Scopes)
2. Mở Edit scope
3. Đổi Name thành: abc1
4. Bấm Save</t>
  </si>
  <si>
    <t xml:space="preserve">- Hộp thoại đóng
- Tiêu đề trang đổi thành abc1</t>
  </si>
  <si>
    <t xml:space="preserve">Đổi Name — danh sách</t>
  </si>
  <si>
    <t>Scope_082</t>
  </si>
  <si>
    <t xml:space="preserve">Kiểm tra tên mới ở màn danh sách</t>
  </si>
  <si>
    <t xml:space="preserve">1. Mở chi tiết scope (bấm tên scope ở màn Scopes)
2. Mở Edit scope
3. Đổi Name thành: abc1
4. Bấm Save
5. Bấm nút ← để về màn Scopes
6. Kiểm tra dòng của scope vừa sửa</t>
  </si>
  <si>
    <t xml:space="preserve">- Cột Scope hiển thị tên mới: abc1</t>
  </si>
  <si>
    <t xml:space="preserve">Sửa In scope, Out of scope</t>
  </si>
  <si>
    <t>Scope_083</t>
  </si>
  <si>
    <t xml:space="preserve">Kiểm tra sửa In scope và Out of scope</t>
  </si>
  <si>
    <t xml:space="preserve">1. Mở chi tiết scope (bấm tên scope ở màn Scopes)
2. Mở Edit scope
3. Sửa
- What is in scope: abc1
- What is out of scope (optional): xoá trống
4. Bấm Save</t>
  </si>
  <si>
    <t xml:space="preserve">- Hộp thoại đóng
- Khối Overview:
+ In scope: abc1
+ Out of scope: —</t>
  </si>
  <si>
    <t xml:space="preserve">Trạng thái rỗng</t>
  </si>
  <si>
    <t xml:space="preserve">Chưa gắn framework</t>
  </si>
  <si>
    <t>Scope_084</t>
  </si>
  <si>
    <t xml:space="preserve">Kiểm tra khối Frameworks khi scope chưa gắn framework</t>
  </si>
  <si>
    <t xml:space="preserve">1. Mở chi tiết scope chưa gắn framework
2. Kiểm tra khối số 2 Frameworks</t>
  </si>
  <si>
    <t xml:space="preserve">- Hiển thị title:
"No framework linked yet. Link one to create a workspace and start collecting evidence."</t>
  </si>
  <si>
    <t xml:space="preserve">Khối Frameworks khi chưa gắn framework hiển thị gì → Q-S-13</t>
  </si>
  <si>
    <t xml:space="preserve">Tiêu đề khối và cột</t>
  </si>
  <si>
    <t>Scope_085</t>
  </si>
  <si>
    <t xml:space="preserve">Kiểm tra khối Frameworks</t>
  </si>
  <si>
    <t xml:space="preserve">1. Mở chi tiết scope đã gắn framework
2. Kiểm tra khối số 2 Frameworks</t>
  </si>
  <si>
    <t xml:space="preserve">- Tiêu đề: Frameworks
- Mô tả: Each framework gets its own workspace
- Có nút gắn framework
- Bảng 4 cột theo thứ tự:
+ Framework · version
+ Tier
+ Coverage
+ Status</t>
  </si>
  <si>
    <t xml:space="preserve">Nhãn nút: Figma 'Link framework', prototype '+ Link framework' → Q-S-03</t>
  </si>
  <si>
    <t xml:space="preserve">Cột Framework · version</t>
  </si>
  <si>
    <t>Scope_086</t>
  </si>
  <si>
    <t xml:space="preserve">Kiểm tra cột Framework · version</t>
  </si>
  <si>
    <t xml:space="preserve">1. Mở chi tiết scope đã gắn framework
2. Kiểm tra cột đầu của bảng ở khối Frameworks</t>
  </si>
  <si>
    <t xml:space="preserve">- Mỗi dòng dạng &lt;tên framework&gt; · &lt;phiên bản&gt;, ví dụ ISO/IEC 27001 · 2022
- Tên framework dạng liên kết</t>
  </si>
  <si>
    <t xml:space="preserve">Cột Tier</t>
  </si>
  <si>
    <t>Scope_087</t>
  </si>
  <si>
    <t xml:space="preserve">Kiểm tra cột Tier của framework có tier</t>
  </si>
  <si>
    <t xml:space="preserve">1. Mở chi tiết scope đã gắn framework có tier
2. Kiểm tra cột Tier của framework đó</t>
  </si>
  <si>
    <t xml:space="preserve">- Hiển thị tier hiện tại của framework</t>
  </si>
  <si>
    <t xml:space="preserve">Prototype ghi 'Medium · 中' ở đây nhưng 'Medium' ở danh sách và Summary; tier có phải 'obligation level' của SCP-002 → Q-S-17</t>
  </si>
  <si>
    <t>Scope_088</t>
  </si>
  <si>
    <t xml:space="preserve">Kiểm tra cột Tier của framework không phân tier</t>
  </si>
  <si>
    <t xml:space="preserve">1. Mở chi tiết scope đã gắn framework không phân tier
2. Kiểm tra cột Tier của framework đó</t>
  </si>
  <si>
    <t xml:space="preserve">- Hiển thị: No tiers</t>
  </si>
  <si>
    <t xml:space="preserve">Cột Coverage</t>
  </si>
  <si>
    <t>Scope_089</t>
  </si>
  <si>
    <t xml:space="preserve">Kiểm tra cột Coverage khi kết quả phải làm tròn lên</t>
  </si>
  <si>
    <t xml:space="preserve">1. Mở chi tiết scope
2. Tạo Frameworks với:
- Framework A: 74/116
3. Kiểm tra cột Coverage của Framework A</t>
  </si>
  <si>
    <t xml:space="preserve">- Hiển thị Coverage = 74/116 × 100 = 63.79% → 64%</t>
  </si>
  <si>
    <t xml:space="preserve">[ĐỀ XUẤT LÙI] RDN-004. Cách tính và làm tròn lấy theo cột Evidence coverage ở danh sách; prototype hiện &lt;%&gt; + thanh tiến trình + &lt;đã có&gt;/&lt;tổng&gt; → Q-S-11</t>
  </si>
  <si>
    <t>Scope_090</t>
  </si>
  <si>
    <t xml:space="preserve">Kiểm tra cột Coverage khi kết quả phải làm tròn xuống</t>
  </si>
  <si>
    <t xml:space="preserve">1. Mở chi tiết scope
2. Tạo Frameworks với:
- Framework A: 6/31
3. Kiểm tra cột Coverage của Framework A</t>
  </si>
  <si>
    <t xml:space="preserve">- Hiển thị Coverage = 6/31 × 100 = 19.35% → 19%</t>
  </si>
  <si>
    <t>Scope_091</t>
  </si>
  <si>
    <t xml:space="preserve">Kiểm tra cột Coverage khi chưa requirement nào đủ evidence</t>
  </si>
  <si>
    <t xml:space="preserve">1. Mở chi tiết scope
2. Tạo Frameworks với:
- Framework A: 0/78
3. Kiểm tra cột Coverage của Framework A</t>
  </si>
  <si>
    <t xml:space="preserve">- Hiển thị Coverage = 0/78 × 100 = 0%</t>
  </si>
  <si>
    <t>Scope_092</t>
  </si>
  <si>
    <t xml:space="preserve">Kiểm tra cột Coverage khi mọi requirement đều đủ evidence</t>
  </si>
  <si>
    <t xml:space="preserve">1. Mở chi tiết scope
2. Tạo Frameworks với:
- Framework A: 61/61
3. Kiểm tra cột Coverage của Framework A</t>
  </si>
  <si>
    <t xml:space="preserve">- Hiển thị Coverage = 61/61 × 100 = 100%</t>
  </si>
  <si>
    <t xml:space="preserve">Cột Status</t>
  </si>
  <si>
    <t>Scope_093</t>
  </si>
  <si>
    <t xml:space="preserve">Kiểm tra cột Status</t>
  </si>
  <si>
    <t xml:space="preserve">1. Mở chi tiết scope đã gắn framework
2. Kiểm tra cột Status</t>
  </si>
  <si>
    <t xml:space="preserve">- Mỗi framework có nhãn trạng thái của workspace, ví dụ Preparing, Audit in progress</t>
  </si>
  <si>
    <t xml:space="preserve">Danh sách trạng thái đầy đủ → Q-S-20</t>
  </si>
  <si>
    <t xml:space="preserve">Nút Change tier</t>
  </si>
  <si>
    <t>Scope_094</t>
  </si>
  <si>
    <t xml:space="preserve">Kiểm tra nút Change tier trên từng dòng</t>
  </si>
  <si>
    <t xml:space="preserve">1. Mở chi tiết scope đã gắn framework có tier và framework không phân tier
2. Kiểm tra cuối mỗi dòng của bảng ở khối Frameworks</t>
  </si>
  <si>
    <t xml:space="preserve">- Dòng framework có tier có nút Change tier
- Dòng framework không phân tier không có nút này</t>
  </si>
  <si>
    <t xml:space="preserve">Bấm tên framework</t>
  </si>
  <si>
    <t>Scope_095</t>
  </si>
  <si>
    <t xml:space="preserve">Kiểm tra mở workspace từ tên framework</t>
  </si>
  <si>
    <t xml:space="preserve">1. Mở chi tiết scope đã gắn framework
2. Bấm tên một framework trong bảng ở khối Frameworks</t>
  </si>
  <si>
    <t xml:space="preserve">- Chuyển sang màn workspace của framework đó trong scope đang xem</t>
  </si>
  <si>
    <t xml:space="preserve">Bấm nút gắn framework</t>
  </si>
  <si>
    <t>Scope_096</t>
  </si>
  <si>
    <t xml:space="preserve">Kiểm tra mở hộp thoại gắn framework</t>
  </si>
  <si>
    <t xml:space="preserve">1. Mở chi tiết scope (bấm tên scope ở màn Scopes)
2. Bấm nút gắn framework ở khối Frameworks</t>
  </si>
  <si>
    <t xml:space="preserve">- Mở hộp thoại Link a framework, có nút đóng ×
- Trường Framework *, placeholder: Choose a framework
- Ghi chú:
"A workspace is created for this scope with the requirements of the chosen tier. You can change the tier later; uploaded evidence stays."
- Có nút Cancel và nút Link and create workspace</t>
  </si>
  <si>
    <t>UC-SCP-006</t>
  </si>
  <si>
    <t xml:space="preserve">Danh sách framework</t>
  </si>
  <si>
    <t xml:space="preserve">Các lựa chọn</t>
  </si>
  <si>
    <t>Scope_097</t>
  </si>
  <si>
    <t xml:space="preserve">Kiểm tra danh sách framework</t>
  </si>
  <si>
    <t xml:space="preserve">1. Mở chi tiết scope (bấm tên scope ở màn Scopes)
2. Mở hộp thoại Link a framework
3. Mở danh sách Framework</t>
  </si>
  <si>
    <t xml:space="preserve">- Mỗi lựa chọn có tên framework và dòng phụ ghi tổ chức ban hành, kèm các tier nếu có, ví dụ MODA · tiers Basic / Medium / High</t>
  </si>
  <si>
    <t xml:space="preserve">Framework đã gắn</t>
  </si>
  <si>
    <t>Scope_098</t>
  </si>
  <si>
    <t xml:space="preserve">Kiểm tra framework đã gắn vào scope có trong danh sách không</t>
  </si>
  <si>
    <t xml:space="preserve">1. Mở chi tiết scope đã gắn [Framework]
2. Mở hộp thoại Link a framework
3. Mở danh sách Framework
4. Tìm [Framework]</t>
  </si>
  <si>
    <t xml:space="preserve">- Vẫn hiển thị lựa chọn framword đó nhưng có thông báo đỏ: 
"[Tên framwork] is already linked to this scope.</t>
  </si>
  <si>
    <t xml:space="preserve">Prototype vẫn liệt kê và cho chọn → ẩn, khoá hay cho gắn lần hai → Q-S-19</t>
  </si>
  <si>
    <t xml:space="preserve">Chọn framework</t>
  </si>
  <si>
    <t xml:space="preserve">Framework có tier</t>
  </si>
  <si>
    <t>Scope_099</t>
  </si>
  <si>
    <t xml:space="preserve">Kiểm tra chọn framework có phân tier</t>
  </si>
  <si>
    <t xml:space="preserve">1. Mở chi tiết scope (bấm tên scope ở màn Scopes)
2. Mở hộp thoại Link a framework
3. Chọn một framework có tier</t>
  </si>
  <si>
    <t xml:space="preserve">- Hiện trường Version * đã có sẵn giá trị, ghi chú: Only active versions are listed.
- Hiện mục Protection tier of this organization * gồm 3 lựa chọn, mỗi lựa chọn có tên tier, mô tả, số requirement
- Chưa chọn sẵn tier nào</t>
  </si>
  <si>
    <t xml:space="preserve">Số requirement tier High: Figma 79, prototype 76 → Q-S-18</t>
  </si>
  <si>
    <t xml:space="preserve">Framework không tier</t>
  </si>
  <si>
    <t>Scope_100</t>
  </si>
  <si>
    <t xml:space="preserve">Kiểm tra chọn framework không phân tier</t>
  </si>
  <si>
    <t xml:space="preserve">1. Mở chi tiết scope (bấm tên scope ở màn Scopes)
2. Mở hộp thoại Link a framework
3. Chọn một framework không phân tier</t>
  </si>
  <si>
    <t xml:space="preserve">- Không hiển thị button "Change tier"</t>
  </si>
  <si>
    <t xml:space="preserve">Phần chọn tier ẩn đi hay hiện No tiers → Q-S-17</t>
  </si>
  <si>
    <t xml:space="preserve">Chưa chọn framework</t>
  </si>
  <si>
    <t>Scope_101</t>
  </si>
  <si>
    <t xml:space="preserve">Kiểm tra bấm gắn khi chưa chọn framework</t>
  </si>
  <si>
    <t xml:space="preserve">1. Mở chi tiết scope (bấm tên scope ở màn Scopes)
2. Mở hộp thoại Link a framework
3. Bấm Link and create workspace</t>
  </si>
  <si>
    <t xml:space="preserve">- Không gắn, hộp thoại vẫn mở</t>
  </si>
  <si>
    <t xml:space="preserve">Hiện lỗi hay khoá nút khi chưa chọn; text lỗi → Q-S-05</t>
  </si>
  <si>
    <t xml:space="preserve">Chưa chọn tier</t>
  </si>
  <si>
    <t>Scope_102</t>
  </si>
  <si>
    <t xml:space="preserve">Kiểm tra bấm gắn khi chưa chọn tier</t>
  </si>
  <si>
    <t xml:space="preserve">1. Mở chi tiết scope (bấm tên scope ở màn Scopes)
2. Mở hộp thoại Link a framework, chọn một framework có tier
3. Không chọn tier
4. Bấm Link and create workspace</t>
  </si>
  <si>
    <t xml:space="preserve">Hiện lỗi hay khoá nút; text lỗi → Q-S-05</t>
  </si>
  <si>
    <t>Scope_103</t>
  </si>
  <si>
    <t xml:space="preserve">Kiểm tra huỷ gắn framework</t>
  </si>
  <si>
    <t xml:space="preserve">1. Mở chi tiết scope (bấm tên scope ở màn Scopes)
2. Mở hộp thoại Link a framework, chọn một framework
3. Bấm Cancel</t>
  </si>
  <si>
    <t xml:space="preserve">- Hộp thoại đóng
- Bảng Frameworks không có dòng mới</t>
  </si>
  <si>
    <t>Scope_104</t>
  </si>
  <si>
    <t xml:space="preserve">Kiểm tra gắn framework có tier</t>
  </si>
  <si>
    <t xml:space="preserve">1. Mở chi tiết scope (bấm tên scope ở màn Scopes)
2. Mở hộp thoại Link a framework
3. Chọn
- Framework: [Framework] có tier
- Protection tier of this organization: Medium
4. Bấm Link and create workspace</t>
  </si>
  <si>
    <t xml:space="preserve">- Hộp thoại đóng
- Bảng Frameworks có thêm dòng [Framework] · &lt;phiên bản&gt;
- Cột Tier của dòng đó là tier đã chọn</t>
  </si>
  <si>
    <t xml:space="preserve">Trạng thái ban đầu của workspace → Q-S-20</t>
  </si>
  <si>
    <t>Scope_105</t>
  </si>
  <si>
    <t xml:space="preserve">Kiểm tra gắn thêm framework khi scope đang có audit</t>
  </si>
  <si>
    <t xml:space="preserve">1. Mở chi tiết scope đang có audit
2. Bấm nút gắn framework</t>
  </si>
  <si>
    <t xml:space="preserve">- Hiển thị chọn framwork bình thường</t>
  </si>
  <si>
    <t xml:space="preserve">Framework không phân tier</t>
  </si>
  <si>
    <t>Scope_106</t>
  </si>
  <si>
    <t xml:space="preserve">Kiểm tra gắn framework không phân tier</t>
  </si>
  <si>
    <t xml:space="preserve">1. Mở chi tiết scope (bấm tên scope ở màn Scopes)
2. Mở hộp thoại Link a framework
3. Chọn Framework: [Framework] không phân tier
4. Bấm Link and create workspace</t>
  </si>
  <si>
    <t xml:space="preserve">- Hộp thoại đóng
- Bảng Frameworks có thêm dòng [Framework] · &lt;phiên bản&gt;
- Cột Tier của dòng đó: No tiers</t>
  </si>
  <si>
    <t xml:space="preserve">Phần chọn tier ẩn đi hay hiện No tiers → Q-S-17; trạng thái ban đầu của workspace → Q-S-20</t>
  </si>
  <si>
    <t xml:space="preserve">Hiện ở màn Workspaces</t>
  </si>
  <si>
    <t>Scope_107</t>
  </si>
  <si>
    <t xml:space="preserve">Kiểm tra workspace mới hiện ở màn Workspaces</t>
  </si>
  <si>
    <t xml:space="preserve">Đăng nhập account Customer Admin; trên Scopes đã gắn [Framework] vào scope [Organization]</t>
  </si>
  <si>
    <t xml:space="preserve">1. Mở màn Workspaces
2. Tìm workspace của [Organization]</t>
  </si>
  <si>
    <t xml:space="preserve">- Có workspace của [Organization] với [Framework] vừa gắn</t>
  </si>
  <si>
    <t xml:space="preserve">Workspace tạo ngay hay sau một khoảng → Q-S-20</t>
  </si>
  <si>
    <t>UC-EVD-003</t>
  </si>
  <si>
    <t xml:space="preserve">Không có audit</t>
  </si>
  <si>
    <t>Scope_108</t>
  </si>
  <si>
    <t xml:space="preserve">Kiểm tra hộp thoại đổi tier</t>
  </si>
  <si>
    <t xml:space="preserve">1. Mở chi tiết scope đã gắn framework có tier, không có audit
2. Bấm Change tier ở dòng framework đó</t>
  </si>
  <si>
    <t xml:space="preserve">- Mở hộp thoại Change tier
- Dòng mô tả ghi framework, phiên bản và tier hiện tại
- 3 lựa chọn tier kèm số requirement, tier hiện tại được đánh dấu
- Có nút Cancel và nút xác nhận</t>
  </si>
  <si>
    <t xml:space="preserve">Theo Figma, prototype chưa có dữ liệu để mở; đổi tier thuộc UC nào → Q-S-17</t>
  </si>
  <si>
    <t xml:space="preserve">[NGOÀI UC]</t>
  </si>
  <si>
    <t xml:space="preserve">Đang có audit</t>
  </si>
  <si>
    <t>Scope_109</t>
  </si>
  <si>
    <t xml:space="preserve">Kiểm tra hộp thoại đổi tier khi đang có audit</t>
  </si>
  <si>
    <t xml:space="preserve">Đăng nhập account Customer Admin; audit [Mã audit] đang chạy trên framework có tier của scope</t>
  </si>
  <si>
    <t xml:space="preserve">1. Mở chi tiết scope đang có audit
2. Bấm Change tier ở dòng framework đang có audit</t>
  </si>
  <si>
    <t xml:space="preserve">- Dòng mô tả: [Tên scope] · [Framework] · &lt;phiên bản&gt; · &lt;tier&gt;
- Khung cảnh báo: Tier can't be changed during an audit
- Nội dung:
"Audit [Mã audit] is reviewing this workspace against tier &lt;tier&gt; (&lt;n&gt; requirements). You can change the tier after the review closes. Unlinking the framework and editing the scope are blocked for the same reason."
- Có nút Close
- Nút Change tier bị khoá</t>
  </si>
  <si>
    <t xml:space="preserve">Text lấy từ prototype, chưa đối chiếu frame Change tier locked → Q-S-16</t>
  </si>
  <si>
    <t>Scope_110</t>
  </si>
  <si>
    <t xml:space="preserve">Kiểm tra huỷ đổi tier</t>
  </si>
  <si>
    <t xml:space="preserve">1. Mở chi tiết scope đã gắn framework có tier, không có audit
2. Mở Change tier
3. Chọn tier khác
4. Bấm Cancel</t>
  </si>
  <si>
    <t xml:space="preserve">- Hộp thoại đóng, cột Tier giữ nguyên</t>
  </si>
  <si>
    <t xml:space="preserve">Đổi tier thuộc UC nào → Q-S-17</t>
  </si>
  <si>
    <t xml:space="preserve">Đóng hộp thoại khoá</t>
  </si>
  <si>
    <t>Scope_111</t>
  </si>
  <si>
    <t xml:space="preserve">Kiểm tra đóng hộp thoại khoá bằng Close</t>
  </si>
  <si>
    <t xml:space="preserve">1. Mở chi tiết scope đang có audit
2. Mở Change tier của framework đang có audit
3. Bấm Close</t>
  </si>
  <si>
    <t xml:space="preserve">Nâng tier</t>
  </si>
  <si>
    <t>Scope_112</t>
  </si>
  <si>
    <t xml:space="preserve">Kiểm tra nâng tier</t>
  </si>
  <si>
    <t xml:space="preserve">1. Mở chi tiết scope đã gắn framework có tier, không có audit
2. Mở Change tier của framework đang ở Medium
3. Chọn High
4. Kiểm tra khung cảnh báo
5. Bấm Change to High</t>
  </si>
  <si>
    <t xml:space="preserve">- Sau bước 3: có cảnh báo số requirement tăng và độ phủ sẽ giảm
- Sau bước 5: hộp thoại đóng, cột Tier đổi thành High</t>
  </si>
  <si>
    <t xml:space="preserve">Bằng chứng đã tải có giữ nguyên → Q-S-22</t>
  </si>
  <si>
    <t xml:space="preserve">Hạ tier</t>
  </si>
  <si>
    <t>Scope_113</t>
  </si>
  <si>
    <t xml:space="preserve">Kiểm tra hạ tier</t>
  </si>
  <si>
    <t xml:space="preserve">1. Mở chi tiết scope đã gắn framework có tier, không có audit
2. Mở Change tier của framework đang ở High
3. Chọn Medium
4. Bấm nút xác nhận</t>
  </si>
  <si>
    <t xml:space="preserve">- Sau bước 3: có cảnh báo số requirement tăng và độ phủ sẽ giảm
- Sau bước 5: hộp thoại đóng, cột Tier đổi thành Medium</t>
  </si>
  <si>
    <t xml:space="preserve">Hạ tier có cảnh báo gì; bằng chứng của requirement bị bỏ ra sao → Q-S-22</t>
  </si>
  <si>
    <t>Scope_114</t>
  </si>
  <si>
    <t xml:space="preserve">Kiểm tra khối Users</t>
  </si>
  <si>
    <t xml:space="preserve">1. Mở chi tiết scope (bấm tên scope ở màn Scopes)
2. Kiểm tra khối số 3 Users</t>
  </si>
  <si>
    <t xml:space="preserve">- Tiêu đề: Users
- Mô tả: Can work in every workspace of this scope
- Có nút Assign users
- Bảng 3 cột theo thứ tự:
+ User
+ Role
+ Given</t>
  </si>
  <si>
    <t>UC-USR-006</t>
  </si>
  <si>
    <t xml:space="preserve">Dòng Customer Admin</t>
  </si>
  <si>
    <t>Scope_115</t>
  </si>
  <si>
    <t xml:space="preserve">Kiểm tra dòng của Customer Admin</t>
  </si>
  <si>
    <t xml:space="preserve">1. Mở chi tiết scope (bấm tên scope ở màn Scopes)
2. Kiểm tra dòng của Customer Admin ở khối Users</t>
  </si>
  <si>
    <t xml:space="preserve">- Role: Customer Admin · sees every scope
- Given: —</t>
  </si>
  <si>
    <t xml:space="preserve">Dòng người được gán</t>
  </si>
  <si>
    <t>Scope_116</t>
  </si>
  <si>
    <t xml:space="preserve">Kiểm tra dòng của người được gán</t>
  </si>
  <si>
    <t xml:space="preserve">1. Mở chi tiết scope đã gán [Customer User]
2. Kiểm tra dòng của [Customer User] ở khối Users</t>
  </si>
  <si>
    <t xml:space="preserve">- Role: Customer User
- Given: ngày được gán, dạng DD Mon YYYY, ví dụ 21 Sep 2026</t>
  </si>
  <si>
    <t xml:space="preserve">Bấm Assign users</t>
  </si>
  <si>
    <t>Scope_117</t>
  </si>
  <si>
    <t xml:space="preserve">Kiểm tra mở hộp thoại Assign users</t>
  </si>
  <si>
    <t xml:space="preserve">1. Mở chi tiết scope (bấm tên scope ở màn Scopes)
2. Bấm nút Assign users</t>
  </si>
  <si>
    <t xml:space="preserve">- Mở hộp thoại Assign users, có nút đóng ×
- Mô tả:
"Users you tick can work in every workspace of [Tên scope]. Customer Admins always have access."
- Mỗi người một dòng gồm:
+ Ô tick
+ Tên
+ Email
- Người chưa kích hoạt có thêm: · invitation pending
- Người đang được gán đã tick sẵn
- Không có Customer Admin trong danh sách
- Có nút Cancel và nút Save</t>
  </si>
  <si>
    <t xml:space="preserve">Vai trò trong danh sách</t>
  </si>
  <si>
    <t>Scope_118</t>
  </si>
  <si>
    <t xml:space="preserve">Kiểm tra những vai trò có trong danh sách gán</t>
  </si>
  <si>
    <t xml:space="preserve">1. Mở chi tiết scope (bấm tên scope ở màn Scopes)
2. Mở Assign users
3. Đối chiếu vai trò của từng người trong danh sách</t>
  </si>
  <si>
    <t xml:space="preserve">- Customer Admin được mặc định Assign trong Scope</t>
  </si>
  <si>
    <t xml:space="preserve">USR-006 chỉ nói Customer User; prototype có cả Customer Viewer và người chưa kích hoạt → Q-S-23</t>
  </si>
  <si>
    <t>Scope_119</t>
  </si>
  <si>
    <t xml:space="preserve">Kiểm tra huỷ gán người dùng</t>
  </si>
  <si>
    <t xml:space="preserve">1. Mở chi tiết scope (bấm tên scope ở màn Scopes)
2. Mở Assign users, tick thêm một người
3. Bấm Cancel</t>
  </si>
  <si>
    <t xml:space="preserve">- Hộp thoại đóng, khối Users không đổi</t>
  </si>
  <si>
    <t xml:space="preserve">Tick thêm — khối Users</t>
  </si>
  <si>
    <t>Scope_120</t>
  </si>
  <si>
    <t xml:space="preserve">Kiểm tra người vừa gán hiện ở khối Users</t>
  </si>
  <si>
    <t xml:space="preserve">1. Mở chi tiết scope (bấm tên scope ở màn Scopes)
2. Mở Assign users
3. Tick [Customer User] chưa được gán
4. Bấm Save</t>
  </si>
  <si>
    <t xml:space="preserve">- Hộp thoại đóng
- Khối Users có thêm dòng:
+ User: [Customer User]
+ Role: Customer User
+ Given: ngày hôm nay</t>
  </si>
  <si>
    <t xml:space="preserve">Tick thêm — người được gán thấy scope</t>
  </si>
  <si>
    <t>Scope_121</t>
  </si>
  <si>
    <t xml:space="preserve">Kiểm tra người vừa được gán thấy scope</t>
  </si>
  <si>
    <t xml:space="preserve">1. Mở chi tiết scope [Organization], gán [Customer User] (Assign users, tick, Save)
2. Đăng xuất, đăng nhập account [Customer User]
3. Mở màn Scopes</t>
  </si>
  <si>
    <t xml:space="preserve">- Danh sách có [Organization]</t>
  </si>
  <si>
    <t xml:space="preserve">Tick thêm — chi tiết người dùng</t>
  </si>
  <si>
    <t>Scope_122</t>
  </si>
  <si>
    <t xml:space="preserve">Kiểm tra scope hiện ở chi tiết người dùng</t>
  </si>
  <si>
    <t xml:space="preserve">1. Mở chi tiết scope [Organization], gán [Customer User] (Assign users, tick, Save)
2. Mở Users ở mục Administration
3. Mở chi tiết [Customer User]</t>
  </si>
  <si>
    <t xml:space="preserve">- Phần scope được gán có [Organization]</t>
  </si>
  <si>
    <t>UC-USR-002</t>
  </si>
  <si>
    <t xml:space="preserve">Bỏ tick — khối Users</t>
  </si>
  <si>
    <t>Scope_123</t>
  </si>
  <si>
    <t xml:space="preserve">Kiểm tra bỏ gán người dùng</t>
  </si>
  <si>
    <t xml:space="preserve">1. Mở chi tiết scope đã gán [Customer User]
2. Mở Assign users
3. Bỏ tick [Customer User]
4. Bấm Save</t>
  </si>
  <si>
    <t xml:space="preserve">- Hộp thoại đóng
- Khối Users không còn dòng [Customer User]</t>
  </si>
  <si>
    <t xml:space="preserve">Thu hồi có thuộc USR-006, có hỏi xác nhận → Q-S-23</t>
  </si>
  <si>
    <t xml:space="preserve">Bỏ tick — người bị bỏ gán</t>
  </si>
  <si>
    <t>Scope_124</t>
  </si>
  <si>
    <t xml:space="preserve">Kiểm tra người bị bỏ gán không còn thấy scope</t>
  </si>
  <si>
    <t xml:space="preserve">1. Mở chi tiết scope [Organization], bỏ gán [Customer User] (Assign users, bỏ tick, Save)
2. Đăng xuất, đăng nhập account [Customer User]
3. Mở màn Scopes
4. Mở url chi tiết của [Organization]</t>
  </si>
  <si>
    <t xml:space="preserve">- Sau bước 3: danh sách không có [Organization]
- Sau bước 4: không hiển thị nội dung của [Organization]</t>
  </si>
  <si>
    <t xml:space="preserve">Thu hồi có thuộc USR-006 → Q-S-23</t>
  </si>
  <si>
    <t xml:space="preserve">Evidence coverage</t>
  </si>
  <si>
    <t>Scope_125</t>
  </si>
  <si>
    <t xml:space="preserve">Kiểm tra khối Summary</t>
  </si>
  <si>
    <t xml:space="preserve">1. Mở chi tiết scope đã gắn framework
2. Kiểm tra khối Summary bên phải</t>
  </si>
  <si>
    <t xml:space="preserve">- Hiển thị thông tin giống khung Frameworks</t>
  </si>
  <si>
    <t xml:space="preserve">[ĐỀ XUẤT LÙI] RDN-004. Prototype: mỗi framework một dòng %, thanh tiến trình, '&lt;n&gt; of &lt;m&gt; requirements have their mandatory evidence'; ghi chú 'Preparation progress only — not a compliance decision.' → Q-S-11</t>
  </si>
  <si>
    <t xml:space="preserve">Danh sách</t>
  </si>
  <si>
    <t xml:space="preserve">Chỉ scope được gán</t>
  </si>
  <si>
    <t>Scope_126</t>
  </si>
  <si>
    <t xml:space="preserve">Kiểm tra màn Scopes với Customer User</t>
  </si>
  <si>
    <t xml:space="preserve">Đăng nhập account Customer User; được gán scope [System], không được gán scope [Organization]</t>
  </si>
  <si>
    <t xml:space="preserve">- Danh sách có [System]
- Danh sách không có [Organization]
- Không có nút tạo scope</t>
  </si>
  <si>
    <t xml:space="preserve">Mô tả trang</t>
  </si>
  <si>
    <t>Scope_127</t>
  </si>
  <si>
    <t xml:space="preserve">Kiểm tra mô tả trang với Customer User</t>
  </si>
  <si>
    <t xml:space="preserve">1. Mở màn Scopes
2. Kiểm tra dòng mô tả dưới tiêu đề</t>
  </si>
  <si>
    <t xml:space="preserve">- Mô tả:
"Scopes assigned to you. Only scopes assigned to you are listed."</t>
  </si>
  <si>
    <t xml:space="preserve">Text lấy từ prototype, Figma chỉ có bản Customer Admin → Q-S-01</t>
  </si>
  <si>
    <t xml:space="preserve">Chi tiết</t>
  </si>
  <si>
    <t xml:space="preserve">Không có thao tác ghi</t>
  </si>
  <si>
    <t>Scope_128</t>
  </si>
  <si>
    <t xml:space="preserve">Kiểm tra màn chi tiết với Customer User</t>
  </si>
  <si>
    <t xml:space="preserve">1. Mở màn Scopes
2. Bấm tên [System] để mở chi tiết</t>
  </si>
  <si>
    <t xml:space="preserve">- Không có:
+ Nút Edit ở khối Overview
+ Mục Edit scope
+ Nút gắn framework
+ Nút Change tier
+ Nút Assign users</t>
  </si>
  <si>
    <t xml:space="preserve">Scope không được gán, mở bằng URL</t>
  </si>
  <si>
    <t>Scope_129</t>
  </si>
  <si>
    <t xml:space="preserve">Kiểm tra Customer User mở scope không được gán bằng URL</t>
  </si>
  <si>
    <t xml:space="preserve">1. Mở url chi tiết của [Organization]</t>
  </si>
  <si>
    <t xml:space="preserve">- Không hiển thị nội dung của [Organization]</t>
  </si>
  <si>
    <t xml:space="preserve">Hiện trang gì → Q-S-26</t>
  </si>
  <si>
    <t xml:space="preserve">Danh sách và chi tiết</t>
  </si>
  <si>
    <t xml:space="preserve">Quyền xem</t>
  </si>
  <si>
    <t>Scope_130</t>
  </si>
  <si>
    <t xml:space="preserve">Kiểm tra màn Scopes với Customer Viewer</t>
  </si>
  <si>
    <t xml:space="preserve">Đăng nhập account Customer Viewer</t>
  </si>
  <si>
    <t xml:space="preserve">1. Assign 1 scope cho Customer Viewer
2. Login Customer Viewer đó
3. Mở chi tiết một scope</t>
  </si>
  <si>
    <t xml:space="preserve">- Customer Viewer có thể nhìn thấy Scope trong danh sách Scopes.</t>
  </si>
  <si>
    <t xml:space="preserve">SCP-001/002 không có Customer Viewer trong actor, nhưng prototype gán được Viewer vào scope → Q-S-24</t>
  </si>
  <si>
    <t xml:space="preserve">Được phân công</t>
  </si>
  <si>
    <t xml:space="preserve">Chỉ đọc</t>
  </si>
  <si>
    <t>Scope_131</t>
  </si>
  <si>
    <t xml:space="preserve">Kiểm tra SGS Consultant xem scope của khách được phân công</t>
  </si>
  <si>
    <t xml:space="preserve">Đăng nhập account SGS Consultant ở SGS Portal; đã được phân công khách hàng [Tên Organization]</t>
  </si>
  <si>
    <t xml:space="preserve">1. Mở danh sách scope của [Tên Organization]
2. Mở chi tiết một scope</t>
  </si>
  <si>
    <t xml:space="preserve">- Xem được danh sách và chi tiết scope
- Không có:
+ Nút tạo scope
+ Nút Edit
+ Nút gắn framework
+ Nút Change tier
+ Nút Assign users</t>
  </si>
  <si>
    <t xml:space="preserve">Lối vào từ SGS Portal ở đâu → Q-S-25</t>
  </si>
  <si>
    <t xml:space="preserve">Không được phân công</t>
  </si>
  <si>
    <t xml:space="preserve">Không thấy scope</t>
  </si>
  <si>
    <t>Scope_132</t>
  </si>
  <si>
    <t xml:space="preserve">Kiểm tra người dùng SGS không được phân công không thấy scope của khách hàng</t>
  </si>
  <si>
    <t xml:space="preserve">Đăng nhập account SGS ở SGS Portal; không được phân công khách hàng [Tên Organization]</t>
  </si>
  <si>
    <t xml:space="preserve">1. Tìm scope của [Tên Organization] trên SGS Portal</t>
  </si>
  <si>
    <t xml:space="preserve">- Không thấy scope của [Tên Organization]</t>
  </si>
  <si>
    <t xml:space="preserve">Scope của tenant khác</t>
  </si>
  <si>
    <t>Scope_133</t>
  </si>
  <si>
    <t xml:space="preserve">Kiểm tra cách ly danh sách scope giữa hai tenant</t>
  </si>
  <si>
    <t xml:space="preserve">Đăng nhập account Customer Admin của tenant B; tenant A là tenant khác, đã có scope</t>
  </si>
  <si>
    <t xml:space="preserve">- Chỉ thấy scope của tenant B
- Không có scope nào của tenant A</t>
  </si>
  <si>
    <t>URL</t>
  </si>
  <si>
    <t xml:space="preserve">Chi tiết scope tenant khác</t>
  </si>
  <si>
    <t>Scope_134</t>
  </si>
  <si>
    <t xml:space="preserve">Kiểm tra mở chi tiết scope của tenant khác bằng URL</t>
  </si>
  <si>
    <t xml:space="preserve">1. Mở url chi tiết của một scope thuộc tenant A</t>
  </si>
  <si>
    <t xml:space="preserve">- Không hiển thị dữ liệu của tenant A</t>
  </si>
  <si>
    <t xml:space="preserve">Mã độc</t>
  </si>
  <si>
    <t xml:space="preserve">Name chứa thẻ script</t>
  </si>
  <si>
    <t>Scope_135</t>
  </si>
  <si>
    <t xml:space="preserve">Kiểm tra tạo scope có Name chứa mã độc</t>
  </si>
  <si>
    <t xml:space="preserve">1. Mở màn Scopes
2. Bấm nút tạo scope để mở hộp thoại Create scope
3. Chọn Type: Organization
4. Nhập
- Name: &lt;script&gt;alert(1)&lt;/script&gt;
- What is in scope: abc
5. Bấm Create scope
6. Xem scope đó ở danh sách và màn chi tiết</t>
  </si>
  <si>
    <t xml:space="preserve">- Name hiển thị nguyên chuỗi &lt;script&gt;alert(1)&lt;/script&gt; dưới dạng chữ
- Không có hộp thoại hay đoạn mã nào được chạy</t>
  </si>
  <si>
    <t xml:space="preserve">Thao tác ghi</t>
  </si>
  <si>
    <t xml:space="preserve">Tạo, sửa, gắn, gán</t>
  </si>
  <si>
    <t>Scope_136</t>
  </si>
  <si>
    <t xml:space="preserve">Kiểm tra ghi audit cho các thao tác trên scope</t>
  </si>
  <si>
    <t xml:space="preserve">1. Mở màn Scopes
2. Tạo scope, sửa scope, gắn framework, gán người dùng
3. Mở Audit Logs</t>
  </si>
  <si>
    <t xml:space="preserve">Thao tác trên scope có thuộc diện phải ghi audit → Q-S-27</t>
  </si>
  <si>
    <t xml:space="preserve">FWK-L0001_Quản lý framework</t>
  </si>
  <si>
    <t xml:space="preserve">Frameworks · SGS Portal</t>
  </si>
  <si>
    <t xml:space="preserve">Figma SGS-DTP-DS · Screens 04 Frameworks · prototype · UC v4 FWK-01…07</t>
  </si>
  <si>
    <t xml:space="preserve">Bấm Frameworks ở menu trái</t>
  </si>
  <si>
    <t>Framework_001</t>
  </si>
  <si>
    <t xml:space="preserve">Kiểm tra vào màn Frameworks từ menu trái</t>
  </si>
  <si>
    <t xml:space="preserve">Đăng nhập account SGS Admin</t>
  </si>
  <si>
    <t xml:space="preserve">1. Bấm mục Frameworks ở menu trái</t>
  </si>
  <si>
    <t xml:space="preserve">- Chuyển sang màn Frameworks
- Breadcrumb: Frameworks
- Mục Frameworks ở menu trái được tô nền</t>
  </si>
  <si>
    <t>UC-FWK-01</t>
  </si>
  <si>
    <t xml:space="preserve">Bấm tên framework Active (mở tab Overview)</t>
  </si>
  <si>
    <t>Framework_002</t>
  </si>
  <si>
    <t xml:space="preserve">Kiểm tra mở chi tiết framework Active từ danh sách</t>
  </si>
  <si>
    <t xml:space="preserve">Đăng nhập account SGS Admin
Có sẵn một framework Active: [Framework Active]</t>
  </si>
  <si>
    <t xml:space="preserve">1. Mở màn Frameworks
2. Bấm tên một framework Active</t>
  </si>
  <si>
    <t xml:space="preserve">- Chuyển sang màn chi tiết framework, mở tab Overview
- Hiển thị chip Active cạnh tên framework</t>
  </si>
  <si>
    <t>UC-FWK-02</t>
  </si>
  <si>
    <t xml:space="preserve">Bấm tên framework Draft (mở màn Draft preview)</t>
  </si>
  <si>
    <t>Framework_003</t>
  </si>
  <si>
    <t xml:space="preserve">Kiểm tra mở màn Draft preview từ danh sách</t>
  </si>
  <si>
    <t xml:space="preserve">Đăng nhập account SGS Admin
Có sẵn một framework Draft: [Framework Draft]</t>
  </si>
  <si>
    <t xml:space="preserve">1. Mở màn Frameworks
2. Bấm tên một framework Draft</t>
  </si>
  <si>
    <t xml:space="preserve">- Chuyển sang màn Draft preview
- Hiển thị chip Draft · not active cạnh tên framework</t>
  </si>
  <si>
    <t xml:space="preserve">Từ chi tiết</t>
  </si>
  <si>
    <t xml:space="preserve">Bấm nút mũi tên quay lại ở chi tiết framework Active</t>
  </si>
  <si>
    <t>Framework_004</t>
  </si>
  <si>
    <t xml:space="preserve">Kiểm tra nút quay lại ở chi tiết framework Active</t>
  </si>
  <si>
    <t xml:space="preserve">1. Mở màn Frameworks
2. Bấm tên một framework Active
3. Bấm nút mũi tên quay lại</t>
  </si>
  <si>
    <t xml:space="preserve">- Quay về màn Frameworks</t>
  </si>
  <si>
    <t xml:space="preserve">Bấm nút mũi tên quay lại ở Draft preview</t>
  </si>
  <si>
    <t>Framework_005</t>
  </si>
  <si>
    <t xml:space="preserve">Kiểm tra nút quay lại ở Draft preview</t>
  </si>
  <si>
    <t xml:space="preserve">1. Mở màn Frameworks
2. Bấm tên một framework Draft
3. Bấm nút mũi tên quay lại</t>
  </si>
  <si>
    <t xml:space="preserve">Breadcrumb, tiêu đề và dòng mô tả</t>
  </si>
  <si>
    <t>Framework_006</t>
  </si>
  <si>
    <t xml:space="preserve">Kiểm tra breadcrumb, tiêu đề và dòng mô tả của màn Frameworks</t>
  </si>
  <si>
    <t xml:space="preserve">1. Mở màn Frameworks
2. Kiểm tra phần đầu trang</t>
  </si>
  <si>
    <t xml:space="preserve">- Breadcrumb: Frameworks
- Tiêu đề: Frameworks
- Dòng mô tả: Frameworks customers can activate on their scopes. Import one from the Excel template.</t>
  </si>
  <si>
    <t xml:space="preserve">Nút Download template</t>
  </si>
  <si>
    <t>Framework_007</t>
  </si>
  <si>
    <t xml:space="preserve">Kiểm tra nút Download template ở đầu danh sách</t>
  </si>
  <si>
    <t xml:space="preserve">1. Mở màn Frameworks
2. Kiểm tra phần đầu trang, bên phải</t>
  </si>
  <si>
    <t xml:space="preserve">- Có nút Download template (không nền)</t>
  </si>
  <si>
    <t xml:space="preserve">[NGOÀI UC] Tải file mẫu: UC FWK-03 chỉ nêu file XLSX, không nêu nút tải mẫu</t>
  </si>
  <si>
    <t xml:space="preserve">Nút Import framework</t>
  </si>
  <si>
    <t>Framework_008</t>
  </si>
  <si>
    <t xml:space="preserve">Kiểm tra nút Import framework</t>
  </si>
  <si>
    <t xml:space="preserve">- Có nút Import framework (nền màu chính)</t>
  </si>
  <si>
    <t>UC-FWK-03</t>
  </si>
  <si>
    <t xml:space="preserve">Dòng đếm "&lt;n&gt; frameworks"</t>
  </si>
  <si>
    <t>Framework_009</t>
  </si>
  <si>
    <t xml:space="preserve">Kiểm tra dòng đếm số framework</t>
  </si>
  <si>
    <t xml:space="preserve">1. Mở màn Frameworks
2. Kiểm tra dòng phía trên bảng, bên trái</t>
  </si>
  <si>
    <t xml:space="preserve">- Hiển thị &lt;n&gt; frameworks, n bằng tổng số framework trong bảng</t>
  </si>
  <si>
    <t xml:space="preserve">Ô tìm kiếm và chữ gợi ý</t>
  </si>
  <si>
    <t>Framework_010</t>
  </si>
  <si>
    <t xml:space="preserve">1. Mở màn Frameworks
2. Kiểm tra phía trên bảng, bên phải</t>
  </si>
  <si>
    <t xml:space="preserve">- Ô tìm kiếm có icon kính lúp, placeholder: Search code or name</t>
  </si>
  <si>
    <t xml:space="preserve">Tìm theo mã (code)</t>
  </si>
  <si>
    <t>Framework_011</t>
  </si>
  <si>
    <t xml:space="preserve">Kiểm tra tìm theo mã framework</t>
  </si>
  <si>
    <t xml:space="preserve">1. Mở màn Frameworks
2. Nhập [mã framework] vào ô tìm kiếm</t>
  </si>
  <si>
    <t xml:space="preserve">- Hệ thống không phân biệt chữ HOA, chữ thường hiển thị đúng theo mã framwork</t>
  </si>
  <si>
    <t xml:space="preserve">Tìm theo tên (name)</t>
  </si>
  <si>
    <t>Framework_012</t>
  </si>
  <si>
    <t xml:space="preserve">Kiểm tra tìm theo tên framework</t>
  </si>
  <si>
    <t xml:space="preserve">1. Mở màn Frameworks
2. Nhập [một phần tên framework] vào ô tìm kiếm</t>
  </si>
  <si>
    <t xml:space="preserve">- Hệ thống không phân biệt chữ HOA, chữ thường hiển thị đúng theo tên  framwork</t>
  </si>
  <si>
    <t xml:space="preserve">Tìm theo Issue by</t>
  </si>
  <si>
    <t xml:space="preserve">Kiểm tra tìm theo Issue by </t>
  </si>
  <si>
    <t xml:space="preserve">1. Mở màn Frameworks
2. Nhập [Issue by] vào ô tìm kiếm</t>
  </si>
  <si>
    <t xml:space="preserve">- Hệ thống không phân biệt chữ HOA, chữ thường hiển thị đúng theo Issue by</t>
  </si>
  <si>
    <t xml:space="preserve">Tìm theo Requirements</t>
  </si>
  <si>
    <t xml:space="preserve">Kiểm tra tìm theo Requirements</t>
  </si>
  <si>
    <t xml:space="preserve">1. Mở màn Frameworks
2. Nhập [Requirements] vào ô tìm kiếm</t>
  </si>
  <si>
    <t xml:space="preserve">- Hệ thống không phân biệt chữ HOA, chữ thường hiển thị đúng theo Requirements</t>
  </si>
  <si>
    <t xml:space="preserve">Tìm theo Status</t>
  </si>
  <si>
    <t xml:space="preserve">Kiểm tra tìm theo Status</t>
  </si>
  <si>
    <t xml:space="preserve">1. Mở màn Frameworks
2. Nhập [Status] vào ô tìm kiếm</t>
  </si>
  <si>
    <t xml:space="preserve">- Hệ thống không phân biệt chữ HOA, chữ thường hiển thị đúng theo Status</t>
  </si>
  <si>
    <t xml:space="preserve">Tìm theo thời gian Updated (hh:mm)</t>
  </si>
  <si>
    <t xml:space="preserve">Kiểm tra tìm theo thời gian Updated (hh:mm)</t>
  </si>
  <si>
    <t xml:space="preserve">1. Mở màn Frameworks
2. Nhập [hh:mm] vào ô tìm kiếm</t>
  </si>
  <si>
    <t xml:space="preserve">- Hệ thống không phân biệt chữ HOA, chữ thường hiển thị đúng theo thời gian Update</t>
  </si>
  <si>
    <t>Framework_013</t>
  </si>
  <si>
    <t xml:space="preserve">Kiểm tra tìm không có kết quả</t>
  </si>
  <si>
    <t xml:space="preserve">1. Mở màn Frameworks
2. Nhập zzz vào ô tìm kiếm</t>
  </si>
  <si>
    <t xml:space="preserve">- Bảng không có dòng nào
- Hiển thị "No results for “zzz”"
- Hiển thị "Try a different search term."
- Dòng đếm không đổi</t>
  </si>
  <si>
    <t xml:space="preserve">Xoá chữ tìm, danh sách trở lại đủ dòng</t>
  </si>
  <si>
    <t>Framework_014</t>
  </si>
  <si>
    <t xml:space="preserve">Kiểm tra xoá chữ tìm</t>
  </si>
  <si>
    <t xml:space="preserve">1. Mở màn Frameworks
2. Nhập zzz vào ô tìm kiếm
3. Xoá chữ trong ô tìm kiếm</t>
  </si>
  <si>
    <t xml:space="preserve">- Text biến mất 
- Ô tìm kiếm có icon kính lúp, placeholder: Search code or name</t>
  </si>
  <si>
    <t xml:space="preserve">Hiển thị cột</t>
  </si>
  <si>
    <t xml:space="preserve">Tiêu đề cột và thứ tự: Framework, Version, Issued by, Tiers, Requirements, Status, Updated</t>
  </si>
  <si>
    <t>Framework_015</t>
  </si>
  <si>
    <t xml:space="preserve">Kiểm tra tiêu đề cột của bảng</t>
  </si>
  <si>
    <t xml:space="preserve">1. Mở màn Frameworks
2. Kiểm tra hàng tiêu đề của bảng</t>
  </si>
  <si>
    <t xml:space="preserve">- Các cột theo thứ tự: Framework, Version, Issued by, Tiers, Requirements, Status, Updated
- Cột cuối là cột icon tải, không có tiêu đề</t>
  </si>
  <si>
    <t xml:space="preserve">Hiển thị dòng theo loại</t>
  </si>
  <si>
    <t xml:space="preserve">Framework Active có tier</t>
  </si>
  <si>
    <t>Framework_016</t>
  </si>
  <si>
    <t xml:space="preserve">Kiểm tra dòng framework Active có tier</t>
  </si>
  <si>
    <t xml:space="preserve">Đăng nhập account SGS Admin
Có sẵn một framework Active có tier: [Framework Active có tier]</t>
  </si>
  <si>
    <t xml:space="preserve">1. Mở màn Frameworks
2. Kiểm tra dòng của framework Active có tier</t>
  </si>
  <si>
    <t xml:space="preserve">- Framework: tên và mã (code)
- Version, Issued by, Requirements có giá trị
- Tiers: hiển thị các tier của framework
- Status: chip Active
- Updated: ngày cập nhật</t>
  </si>
  <si>
    <t xml:space="preserve">Framework Active không tier (cột Tiers hiện "—")</t>
  </si>
  <si>
    <t>Framework_017</t>
  </si>
  <si>
    <t xml:space="preserve">Kiểm tra dòng framework Active không tier</t>
  </si>
  <si>
    <t xml:space="preserve">Đăng nhập account SGS Admin
Có sẵn một framework Active không tier: [Framework Active không tier]</t>
  </si>
  <si>
    <t xml:space="preserve">1. Mở màn Frameworks
2. Kiểm tra dòng của framework Active không tier</t>
  </si>
  <si>
    <t xml:space="preserve">- Cột Tiers hiển thị —
- Status: chip Active</t>
  </si>
  <si>
    <t xml:space="preserve">Framework Draft (chip "Draft · not active", Updated dạng "Today, hh:mm")</t>
  </si>
  <si>
    <t>Framework_018</t>
  </si>
  <si>
    <t xml:space="preserve">Kiểm tra dòng framework Draft</t>
  </si>
  <si>
    <t xml:space="preserve">1. Mở màn Frameworks
2. Kiểm tra dòng của framework Draft</t>
  </si>
  <si>
    <t xml:space="preserve">- Status: chip Draft · not active
- Updated: dạng Today, hh:mm</t>
  </si>
  <si>
    <t xml:space="preserve">Hai phiên bản của cùng một mã hiện thành hai dòng</t>
  </si>
  <si>
    <t>Framework_019</t>
  </si>
  <si>
    <t xml:space="preserve">Kiểm tra hai phiên bản của cùng một mã</t>
  </si>
  <si>
    <t xml:space="preserve">Đăng nhập account SGS Admin
Có hai phiên bản của cùng một mã: [Framework hai phiên bản]</t>
  </si>
  <si>
    <t xml:space="preserve">1. Mở màn Frameworks
2. Kiểm tra các dòng có cùng mã framework, khác Version</t>
  </si>
  <si>
    <t xml:space="preserve">- Mỗi phiên bản một dòng riêng, cột Version khác nhau</t>
  </si>
  <si>
    <t>Framework_024</t>
  </si>
  <si>
    <t xml:space="preserve">1. Mở màn Scopes, kiểm tra thứ tự các dòng của Framework/Version/Issued by/Requirements</t>
  </si>
  <si>
    <t xml:space="preserve">1. Mở màn Scopes
2. Bấm tiêu đề cột Scope của Framework/Version/Issued by/Requirements</t>
  </si>
  <si>
    <t xml:space="preserve">1. Mở màn Scopes
2. Bấm tiêu đề cột Scope hai lần của Framework/Version/Issued by/Requirements</t>
  </si>
  <si>
    <t xml:space="preserve">Biểu tượng tải ở mỗi dòng</t>
  </si>
  <si>
    <t xml:space="preserve">Hover vào biểu tượng tải</t>
  </si>
  <si>
    <t xml:space="preserve">Kiểm tra hiển thị khi hover vào icon tải</t>
  </si>
  <si>
    <t xml:space="preserve">1. Mở màn Frameworks
2. Hover vào  icon tải ở cuối một dòng</t>
  </si>
  <si>
    <t xml:space="preserve">- Hiển thị thông báo: "Download source file of &lt;tên&gt; · &lt;version&gt;"</t>
  </si>
  <si>
    <t xml:space="preserve">Bấm biểu tượng tải ở một dòng</t>
  </si>
  <si>
    <t xml:space="preserve">Kiểm tra biểu tượng tải ở một dòng</t>
  </si>
  <si>
    <t xml:space="preserve">1. Mở màn Frameworks
2. Bấm icon tải ở cuối một dòng</t>
  </si>
  <si>
    <t xml:space="preserve">- Hiển thị thông báo: "&lt;version&gt; would download here. The prototype has no real files."</t>
  </si>
  <si>
    <t xml:space="preserve">Dòng "1–&lt;n&gt; of &lt;n&gt; items" và "1 of 1 page"</t>
  </si>
  <si>
    <t>Framework_025</t>
  </si>
  <si>
    <t xml:space="preserve">Kiểm tra dòng phân trang</t>
  </si>
  <si>
    <t xml:space="preserve">1. Mở màn Frameworks
2. Kiểm tra phần dưới bảng</t>
  </si>
  <si>
    <t xml:space="preserve">- Hiển thị 1–&lt;n&gt; of &lt;n&gt; items
- Hiển thị Page 1 of 1 khi chỉ có một trang</t>
  </si>
  <si>
    <t xml:space="preserve">Chọn Items per page: 10, 25, 50, 100</t>
  </si>
  <si>
    <t>Framework_026</t>
  </si>
  <si>
    <t xml:space="preserve">Kiểm tra chọn Items per page</t>
  </si>
  <si>
    <t xml:space="preserve">1. Mở màn Frameworks
2. Bấm ô Items per page
3. Kiểm tra các lựa chọn</t>
  </si>
  <si>
    <t xml:space="preserve">- Có 4 lựa chọn: 10, 25, 50, 100</t>
  </si>
  <si>
    <t xml:space="preserve">Framework Active: tên, chip Active, dòng "code · version · issuing body", nút quay lại, nút ba chấm</t>
  </si>
  <si>
    <t>Framework_027</t>
  </si>
  <si>
    <t xml:space="preserve">Kiểm tra phần đầu chi tiết framework Active</t>
  </si>
  <si>
    <t xml:space="preserve">1. Mở màn Frameworks
2. Bấm tên một framework Active
3. Kiểm tra phần đầu trang</t>
  </si>
  <si>
    <t xml:space="preserve">- Nút mũi tên quay lại
- Tên framework, chip Active
- Dòng "mã · version · issuing body"
- Nút ba chấm</t>
  </si>
  <si>
    <t xml:space="preserve">Framework Draft: chip "Draft · not active", nút Discard draft và Activate (không có nút ba chấm)</t>
  </si>
  <si>
    <t>Framework_028</t>
  </si>
  <si>
    <t xml:space="preserve">Kiểm tra phần đầu Draft preview</t>
  </si>
  <si>
    <t xml:space="preserve">1. Mở màn Frameworks
2. Bấm tên một framework Draft
3. Kiểm tra phần đầu trang</t>
  </si>
  <si>
    <t xml:space="preserve">- Tên framework, chip Draft · not active
- Dòng "mã · version · issuing body"
- Nút Discard draft và nút Activate
- Không có nút ba chấm</t>
  </si>
  <si>
    <t>UC-FWK-06</t>
  </si>
  <si>
    <t xml:space="preserve">Mở menu</t>
  </si>
  <si>
    <t xml:space="preserve">Mở menu ở framework Active, chỉ có mục "Import new version"</t>
  </si>
  <si>
    <t>Framework_029</t>
  </si>
  <si>
    <t xml:space="preserve">Kiểm tra menu ba chấm của framework Active</t>
  </si>
  <si>
    <t xml:space="preserve">1. Mở màn Frameworks
2. Bấm tên một framework Active
3. Bấm nút ba chấm</t>
  </si>
  <si>
    <t xml:space="preserve">- Menu có một mục: Import new version</t>
  </si>
  <si>
    <t xml:space="preserve">Click vào Import new version</t>
  </si>
  <si>
    <t xml:space="preserve">Mở Import new version</t>
  </si>
  <si>
    <t xml:space="preserve">Kiểm tra hiển thị khi click vào Import new version</t>
  </si>
  <si>
    <t xml:space="preserve">1. Mở màn Frameworks
2. Bấm tên một framework Active
3. Bấm nút ba chấm
4. Click vào Import new version</t>
  </si>
  <si>
    <t xml:space="preserve">- Hiển thị hộp thoại Import - Import dialog</t>
  </si>
  <si>
    <t xml:space="preserve">Chuyển tab</t>
  </si>
  <si>
    <t xml:space="preserve">Framework Active có 3 mục: Overview, Requirements, Other versions; mặc định Overview</t>
  </si>
  <si>
    <t>Framework_030</t>
  </si>
  <si>
    <t xml:space="preserve">Kiểm tra các mục của framework Active</t>
  </si>
  <si>
    <t xml:space="preserve">1. Mở màn Frameworks
2. Bấm tên một framework Active
3. Kiểm tra thanh mục</t>
  </si>
  <si>
    <t xml:space="preserve">- Có 3 mục: Overview, Requirements, Other versions
- Mặc định mở Overview</t>
  </si>
  <si>
    <t xml:space="preserve">Framework Draft có 3 mục: Framework, Tiers, Requirements</t>
  </si>
  <si>
    <t>Framework_031</t>
  </si>
  <si>
    <t xml:space="preserve">Kiểm tra các mục của Draft preview</t>
  </si>
  <si>
    <t xml:space="preserve">1. Mở màn Frameworks
2. Bấm tên một framework Draft
3. Kiểm tra cột mục bên trái</t>
  </si>
  <si>
    <t xml:space="preserve">- Có 3 mục: Framework, Tiers, Requirements</t>
  </si>
  <si>
    <t xml:space="preserve">Hiển thị khối Framework</t>
  </si>
  <si>
    <t xml:space="preserve">Framework Active: Code, Issued by, Version, Effective date, Description</t>
  </si>
  <si>
    <t>Framework_032</t>
  </si>
  <si>
    <t xml:space="preserve">Kiểm tra khối Framework của framework Active</t>
  </si>
  <si>
    <t xml:space="preserve">1. Mở màn Frameworks
2. Bấm tên một framework Active
3. Kiểm tra khối Framework ở tab Overview</t>
  </si>
  <si>
    <t xml:space="preserve">- Hiển thị Code, Issued by, Version, Effective date, Description</t>
  </si>
  <si>
    <t xml:space="preserve">Hiển thị khối Tiers</t>
  </si>
  <si>
    <t xml:space="preserve">Framework có tier: bảng Code, Tier, Rank, New at this tier, Total to meet</t>
  </si>
  <si>
    <t>Framework_033</t>
  </si>
  <si>
    <t xml:space="preserve">Kiểm tra khối Tiers của framework có tier</t>
  </si>
  <si>
    <t xml:space="preserve">1. Mở màn Frameworks
2. Bấm tên một framework Active có tier
3. Kiểm tra khối Tiers ở tab Overview</t>
  </si>
  <si>
    <t xml:space="preserve">- Bảng có các cột Code, Tier, Rank, New at this tier, Total to meet
- Mỗi tier một dòng</t>
  </si>
  <si>
    <t xml:space="preserve">Framework không tier: không có khối Tiers</t>
  </si>
  <si>
    <t>Framework_034</t>
  </si>
  <si>
    <t xml:space="preserve">Kiểm tra framework không tier không có khối Tiers</t>
  </si>
  <si>
    <t xml:space="preserve">1. Mở màn Frameworks
2. Bấm tên một framework Active không tier
3. Kiểm tra tab Overview</t>
  </si>
  <si>
    <t xml:space="preserve">- Không có khối Tiers</t>
  </si>
  <si>
    <t xml:space="preserve">Giá trị tính toán: Total to meet</t>
  </si>
  <si>
    <t xml:space="preserve">Tier Basic: New at this tier 44, Total to meet 44</t>
  </si>
  <si>
    <t>Framework_035</t>
  </si>
  <si>
    <t xml:space="preserve">Kiểm tra Total to meet của tier Basic</t>
  </si>
  <si>
    <t xml:space="preserve">Đăng nhập account SGS Admin
Có framework Appendix 10 · 2022 (Active)</t>
  </si>
  <si>
    <t xml:space="preserve">1. Mở màn Frameworks
2. Bấm tên framework Appendix 10 · 2022 (Active)
3. Kiểm tra khối Tiers dòng Basic</t>
  </si>
  <si>
    <t xml:space="preserve">- New at this tier: 44
- Total to meet: 44</t>
  </si>
  <si>
    <t xml:space="preserve">Chờ Hanna chọn cách ghi giá trị tính toán (FB-048, phương án A hoặc B)</t>
  </si>
  <si>
    <t xml:space="preserve">Tier Medium: New 17, Total 61</t>
  </si>
  <si>
    <t>Framework_036</t>
  </si>
  <si>
    <t xml:space="preserve">Kiểm tra Total to meet của tier Medium</t>
  </si>
  <si>
    <t xml:space="preserve">1. Mở màn Frameworks
2. Bấm tên framework Appendix 10 · 2022 (Active)
3. Kiểm tra khối Tiers dòng Medium</t>
  </si>
  <si>
    <t xml:space="preserve">- New at this tier: 17
- Total to meet: 61 (44 + 17)</t>
  </si>
  <si>
    <t xml:space="preserve">Tier High: New 15, Total 76</t>
  </si>
  <si>
    <t>Framework_037</t>
  </si>
  <si>
    <t xml:space="preserve">Kiểm tra Total to meet của tier High</t>
  </si>
  <si>
    <t xml:space="preserve">1. Mở màn Frameworks
2. Bấm tên framework Appendix 10 · 2022 (Active)
3. Kiểm tra khối Tiers dòng High</t>
  </si>
  <si>
    <t xml:space="preserve">Q-F-10: Figma Detail ghi 18 và 79, khối Content cùng màn ghi 76 requirement; hệ thống ghi 15 và 76. Chưa biết số nào đúng</t>
  </si>
  <si>
    <t xml:space="preserve">Hiển thị khối Content theo loại</t>
  </si>
  <si>
    <t xml:space="preserve">Framework có tier: Dimensions, Control measures, Requirements, Expected evidence items</t>
  </si>
  <si>
    <t>Framework_038</t>
  </si>
  <si>
    <t xml:space="preserve">Kiểm tra khối Content của framework có tier</t>
  </si>
  <si>
    <t xml:space="preserve">1. Mở màn Frameworks
2. Bấm tên một framework Active có tier
3. Kiểm tra khối Content ở tab Overview</t>
  </si>
  <si>
    <t xml:space="preserve">- Hiển thị Dimensions, Control measures, Requirements, Expected evidence items</t>
  </si>
  <si>
    <t xml:space="preserve">Framework không tier: Clauses, Requirements, Expected evidence items</t>
  </si>
  <si>
    <t>Framework_039</t>
  </si>
  <si>
    <t xml:space="preserve">Kiểm tra khối Content của framework không tier</t>
  </si>
  <si>
    <t xml:space="preserve">1. Mở màn Frameworks
2. Bấm tên một framework Active không tier
3. Kiểm tra khối Content ở tab Overview</t>
  </si>
  <si>
    <t xml:space="preserve">- Hiển thị Clauses, Requirements, Expected evidence items
- Không có Dimensions và Control measures</t>
  </si>
  <si>
    <t xml:space="preserve">Tiêu đề và dòng tóm tắt "… Read only — import a new version to change them."</t>
  </si>
  <si>
    <t>Framework_040</t>
  </si>
  <si>
    <t xml:space="preserve">Kiểm tra phần đầu tab Requirements</t>
  </si>
  <si>
    <t xml:space="preserve">1. Mở màn Frameworks
2. Bấm tên một framework Active
3. Bấm tab Requirements</t>
  </si>
  <si>
    <t xml:space="preserve">- Tiêu đề và dòng tóm tắt dạng "&lt;n&gt; dimensions · &lt;n&gt; control measures · &lt;n&gt; requirements. Read only — import a new version to change them."</t>
  </si>
  <si>
    <t xml:space="preserve">Cây: dimension kèm số, mở ra thấy requirement kèm chip Basic, From Medium, From High</t>
  </si>
  <si>
    <t>Framework_041</t>
  </si>
  <si>
    <t xml:space="preserve">Kiểm tra cây requirement</t>
  </si>
  <si>
    <t xml:space="preserve">1. Mở màn Frameworks
2. Bấm tên một framework Active có tier
3. Bấm tab Requirements
4. Mở một dimension</t>
  </si>
  <si>
    <t xml:space="preserve">- Mỗi dimension hiển thị tên kèm số
- Mở ra thấy control measure và requirement
- Mỗi requirement kèm chip Basic, From Medium hoặc From High</t>
  </si>
  <si>
    <t xml:space="preserve">Chọn một requirement: khung bên phải hiện code, tiêu đề, mô tả, Applies to, Not required for, Sort order, Source, Expected evidence</t>
  </si>
  <si>
    <t>Framework_042</t>
  </si>
  <si>
    <t xml:space="preserve">Kiểm tra khung chi tiết requirement</t>
  </si>
  <si>
    <t xml:space="preserve">1. Mở màn Frameworks
2. Bấm tên một framework Active có tier
3. Bấm tab Requirements
4. Bấm một requirement</t>
  </si>
  <si>
    <t xml:space="preserve">- Khung bên phải hiển thị code, tiêu đề, mô tả
- Có Applies to, Not required for, Sort order, Source
- Có Expected evidence kèm số lượng và chip Mandatory</t>
  </si>
  <si>
    <t xml:space="preserve">Không có nút thêm, sửa hoặc retire requirement</t>
  </si>
  <si>
    <t>Framework_043</t>
  </si>
  <si>
    <t xml:space="preserve">Kiểm tra requirement chỉ đọc</t>
  </si>
  <si>
    <t xml:space="preserve">1. Mở màn Frameworks
2. Bấm tên một framework Active
3. Bấm tab Requirements
4. Kiểm tra màn và khung chi tiết requirement</t>
  </si>
  <si>
    <t xml:space="preserve">- Không có nút thêm, sửa hoặc retire requirement</t>
  </si>
  <si>
    <t xml:space="preserve">Tìm theo mã requirement</t>
  </si>
  <si>
    <t>Framework_044</t>
  </si>
  <si>
    <t xml:space="preserve">Kiểm tra tìm requirement theo mã</t>
  </si>
  <si>
    <t xml:space="preserve">1. Mở màn Frameworks
2. Bấm tên một framework Active
3. Bấm tab Requirements
4. Nhập [mã requirement] vào ô Search</t>
  </si>
  <si>
    <t xml:space="preserve">- Hiển thị đúng data theo mã requirement</t>
  </si>
  <si>
    <t xml:space="preserve">Tìm theo tiêu đề</t>
  </si>
  <si>
    <t>Framework_045</t>
  </si>
  <si>
    <t xml:space="preserve">Kiểm tra tìm requirement theo tiêu đề</t>
  </si>
  <si>
    <t xml:space="preserve">1. Mở màn Frameworks
2. Bấm tên một framework Active
3. Bấm tab Requirements
4. Nhập [một phần tiêu đề] vào ô Search</t>
  </si>
  <si>
    <t xml:space="preserve">- Hiển thị đúng data theo mã tiêu đề</t>
  </si>
  <si>
    <t>Framework_046</t>
  </si>
  <si>
    <t xml:space="preserve">Kiểm tra tìm requirement không có kết quả</t>
  </si>
  <si>
    <t xml:space="preserve">1. Mở màn Frameworks
2. Bấm tên một framework Active
3. Bấm tab Requirements
4. Nhập zzz vào ô Search</t>
  </si>
  <si>
    <t xml:space="preserve">- Không có kết quả và hiển thị thông báo: 
- "No matching requirements"
- "Try another search or filter."</t>
  </si>
  <si>
    <t xml:space="preserve">Lọc theo tier</t>
  </si>
  <si>
    <t xml:space="preserve">Chọn Basic</t>
  </si>
  <si>
    <t>Framework_047</t>
  </si>
  <si>
    <t xml:space="preserve">Kiểm tra lọc requirement: Basic</t>
  </si>
  <si>
    <t xml:space="preserve">1. Mở màn Frameworks
2. Bấm tên một framework Active có tier
3. Bấm tab Requirements
4. Chọn Basic ở ô lọc tier</t>
  </si>
  <si>
    <t xml:space="preserve">- Hiển thị đúng data theo tier Basic</t>
  </si>
  <si>
    <t xml:space="preserve">Chọn Medium</t>
  </si>
  <si>
    <t>Framework_048</t>
  </si>
  <si>
    <t xml:space="preserve">Kiểm tra lọc requirement: Medium</t>
  </si>
  <si>
    <t xml:space="preserve">1. Mở màn Frameworks
2. Bấm tên một framework Active có tier
3. Bấm tab Requirements
4. Chọn Medium ở ô lọc tier</t>
  </si>
  <si>
    <t xml:space="preserve">- Hiển thị đúng data theo tier Medium</t>
  </si>
  <si>
    <t xml:space="preserve">Chọn High</t>
  </si>
  <si>
    <t>Framework_049</t>
  </si>
  <si>
    <t xml:space="preserve">Kiểm tra lọc requirement: High</t>
  </si>
  <si>
    <t xml:space="preserve">1. Mở màn Frameworks
2. Bấm tên một framework Active có tier
3. Bấm tab Requirements
4. Chọn High ở ô lọc tier</t>
  </si>
  <si>
    <t xml:space="preserve">- Hiển thị đúng data theo tier High</t>
  </si>
  <si>
    <t xml:space="preserve">Chọn All tiers</t>
  </si>
  <si>
    <t>Framework_050</t>
  </si>
  <si>
    <t xml:space="preserve">Kiểm tra lọc requirement: All tiers</t>
  </si>
  <si>
    <t xml:space="preserve">1. Mở màn Frameworks
2. Bấm tên một framework Active có tier
3. Bấm tab Requirements
4. Chọn All tiers ở ô lọc tier</t>
  </si>
  <si>
    <t xml:space="preserve">- Hiển thị đúng toàn bộ data theo All tier</t>
  </si>
  <si>
    <t xml:space="preserve">Giá trị tính toán: số đếm theo dimension</t>
  </si>
  <si>
    <t xml:space="preserve">Cộng số của 7 dimension bằng số Requirements (76)</t>
  </si>
  <si>
    <t>Framework_051</t>
  </si>
  <si>
    <t xml:space="preserve">Kiểm tra tổng số requirement của framework Appendix 10 · 2022</t>
  </si>
  <si>
    <t xml:space="preserve">1. Mở màn Frameworks
2. Bấm tên framework Appendix 10 · 2022 (Active)
3. Bấm tab Requirements
4. Cộng số của 7 dimension</t>
  </si>
  <si>
    <t xml:space="preserve">- Dimension lần lượt
- Tổng bằng 76
- Bằng số Requirements ở tab Overview</t>
  </si>
  <si>
    <t xml:space="preserve">Không nên viết số từng loại mà nên viết rule hiển thị, tính toán của trường này</t>
  </si>
  <si>
    <t xml:space="preserve">Cùng kiểm với framework có 79 requirement (bản Draft)</t>
  </si>
  <si>
    <t>Framework_052</t>
  </si>
  <si>
    <t xml:space="preserve">Kiểm tra tổng số requirement của bản Draft Appendix 10 amended</t>
  </si>
  <si>
    <t xml:space="preserve">Đăng nhập account SGS Admin
Có framework Appendix 10 amended (Draft)</t>
  </si>
  <si>
    <t xml:space="preserve">1. Mở màn Frameworks
2. Bấm tên framework Appendix 10 amended (Draft)
3. Bấm mục Requirements
4. Cộng số của 7 dimension</t>
  </si>
  <si>
    <t xml:space="preserve">- Số của 7 dimension lần lượt: 14, 14, 8, 11, 15, 7, 10
- Tổng bằng 79
- Bằng số requirement ở khối Requirements</t>
  </si>
  <si>
    <t xml:space="preserve">Mở từ nút Import framework ở danh sách</t>
  </si>
  <si>
    <t>Framework_053</t>
  </si>
  <si>
    <t xml:space="preserve">Kiểm tra mở hộp thoại Import từ danh sách</t>
  </si>
  <si>
    <t xml:space="preserve">1. Mở màn Frameworks
2. Bấm Import framework</t>
  </si>
  <si>
    <t xml:space="preserve">- Mở hộp thoại Import a framework</t>
  </si>
  <si>
    <t xml:space="preserve">Mở từ mục "Import new version" ở chi tiết framework Active</t>
  </si>
  <si>
    <t>Framework_054</t>
  </si>
  <si>
    <t xml:space="preserve">Kiểm tra mở hộp thoại Import từ Import new version</t>
  </si>
  <si>
    <t xml:space="preserve">1. Mở màn Frameworks
2. Bấm tên một framework Active
3. Bấm nút ba chấm
4. Bấm Import new version</t>
  </si>
  <si>
    <t xml:space="preserve">Hiển thị nội dung</t>
  </si>
  <si>
    <t xml:space="preserve">Tiêu đề, bước 1 "Download the template and fill it in", bước 2 "Upload the completed file"</t>
  </si>
  <si>
    <t>Framework_055</t>
  </si>
  <si>
    <t xml:space="preserve">Kiểm tra bước 1 và bước 2 của hộp thoại Import</t>
  </si>
  <si>
    <t xml:space="preserve">1. Mở màn Frameworks
2. Bấm Import framework
3. Kiểm tra nội dung hộp thoại</t>
  </si>
  <si>
    <t xml:space="preserve">- Tiêu đề: Import a framework
- Bước 1: Download the template and fill it in, kèm đoạn mô tả và nút Download template (.xlsx)
- Bước 2: Upload the completed file, kèm ô Framework file *</t>
  </si>
  <si>
    <t xml:space="preserve">Q-F-06: đoạn mô tả liệt kê sheet Tiers; file mẫu ver 1 không có sheet Tiers</t>
  </si>
  <si>
    <t xml:space="preserve">Vùng kéo thả và dòng "Excel (.xlsx) · up to 20 MB · checked before anything is saved"</t>
  </si>
  <si>
    <t>Framework_056</t>
  </si>
  <si>
    <t xml:space="preserve">Kiểm tra vùng kéo thả file</t>
  </si>
  <si>
    <t xml:space="preserve">1. Mở màn Frameworks
2. Bấm Import framework
3. Kiểm tra ô Framework file *</t>
  </si>
  <si>
    <t xml:space="preserve">- Dòng: Drag files here or browse.
- Dòng: Excel (.xlsx) · up to 20 MB · checked before anything is saved</t>
  </si>
  <si>
    <t xml:space="preserve">Nút Cancel và Check file khi chưa chọn file</t>
  </si>
  <si>
    <t>Framework_057</t>
  </si>
  <si>
    <t xml:space="preserve">Kiểm tra nút khi chưa chọn file</t>
  </si>
  <si>
    <t xml:space="preserve">1. Mở màn Frameworks
2. Bấm Import framework
3. Kiểm tra các nút ở cuối hộp thoại</t>
  </si>
  <si>
    <t xml:space="preserve">- Có nút Cancel và nút Check file</t>
  </si>
  <si>
    <t xml:space="preserve">Q-F-14: nút Check file có bị khoá khi chưa chọn file không</t>
  </si>
  <si>
    <t xml:space="preserve">Tải file mẫu</t>
  </si>
  <si>
    <t xml:space="preserve">Bấm Download template (.xlsx) trong hộp thoại</t>
  </si>
  <si>
    <t>Framework_058</t>
  </si>
  <si>
    <t xml:space="preserve">Kiểm tra nút Download template (.xlsx) trong hộp thoại</t>
  </si>
  <si>
    <t xml:space="preserve">1. Mở màn Frameworks
2. Bấm Import framework
3. Bấm Download template (.xlsx)</t>
  </si>
  <si>
    <t xml:space="preserve">Q-F-11: tên file tải về và nội dung chưa kiểm (không tải thật)</t>
  </si>
  <si>
    <t xml:space="preserve">[NGOÀI UC] Tải file mẫu: UC FWK-03 không nêu nút tải mẫu</t>
  </si>
  <si>
    <t xml:space="preserve">Bấm Download template ở đầu danh sách</t>
  </si>
  <si>
    <t>Framework_059</t>
  </si>
  <si>
    <t xml:space="preserve">1. Mở màn Frameworks
2. Bấm Download template</t>
  </si>
  <si>
    <t xml:space="preserve">Chọn file .xlsx hợp lệ: thẻ file có tên, dung lượng, dấu tích, nút ×</t>
  </si>
  <si>
    <t>Framework_060</t>
  </si>
  <si>
    <t xml:space="preserve">Kiểm tra chọn file .xlsx hợp lệ</t>
  </si>
  <si>
    <t xml:space="preserve">1. Mở màn Frameworks
2. Bấm Import framework
3. Chọn file [file framework hợp lệ].xlsx</t>
  </si>
  <si>
    <t xml:space="preserve">- Hiển thị thẻ file gồm tên file, dung lượng, dấu tích và nút ×</t>
  </si>
  <si>
    <t xml:space="preserve">Bấm × để bỏ file đã chọn</t>
  </si>
  <si>
    <t>Framework_061</t>
  </si>
  <si>
    <t xml:space="preserve">Kiểm tra bỏ file đã chọn</t>
  </si>
  <si>
    <t xml:space="preserve">1. Mở màn Frameworks
2. Bấm Import framework
3. Chọn file [file framework hợp lệ].xlsx
4. Bấm × trên thẻ file</t>
  </si>
  <si>
    <t xml:space="preserve">- Thẻ file biến mất, vùng kéo thả hiển thị lại</t>
  </si>
  <si>
    <t xml:space="preserve">Chọn file không phải .xlsx</t>
  </si>
  <si>
    <t>Framework_062</t>
  </si>
  <si>
    <t xml:space="preserve">Kiểm tra chọn file không phải .xlsx</t>
  </si>
  <si>
    <t xml:space="preserve">1. Mở màn Frameworks
2. Bấm Import framework
3. Chọn file [file .pdf]</t>
  </si>
  <si>
    <t xml:space="preserve">Q-F-14: chưa có chữ báo lỗi cho file sai định dạng</t>
  </si>
  <si>
    <t xml:space="preserve">Chọn file lớn hơn 20 MB</t>
  </si>
  <si>
    <t>Framework_063</t>
  </si>
  <si>
    <t xml:space="preserve">Kiểm tra chọn file lớn hơn 20 MB</t>
  </si>
  <si>
    <t xml:space="preserve">1. Mở màn Frameworks
2. Bấm Import framework
3. Chọn file .xlsx lớn hơn 20 MB</t>
  </si>
  <si>
    <t xml:space="preserve">Q-F-14: chưa có chữ báo lỗi cho file quá dung lượng</t>
  </si>
  <si>
    <t xml:space="preserve">Mã cha không tồn tại (parent_requirement_code)</t>
  </si>
  <si>
    <t>Framework_064</t>
  </si>
  <si>
    <t xml:space="preserve">Kiểm tra lỗi mã cha không tồn tại</t>
  </si>
  <si>
    <t xml:space="preserve">1. Mở màn Frameworks
2. Bấm Import framework
3. Chọn file [file có lỗi: parent_requirement_code là R.9.9, không có trong sheet Requirements]
4. Bấm Check file</t>
  </si>
  <si>
    <t xml:space="preserve">- Hiển thị bảng lỗi gồm các cột Sheet, Row, Column, Problem
- Dòng lỗi: Requirements · &lt;dòng&gt; · parent_requirement_code · "R.9.9" does not exist in this sheet.</t>
  </si>
  <si>
    <t xml:space="preserve">Mã requirement bị trùng (requirement_code)</t>
  </si>
  <si>
    <t>Framework_065</t>
  </si>
  <si>
    <t xml:space="preserve">Kiểm tra lỗi mã requirement bị trùng</t>
  </si>
  <si>
    <t xml:space="preserve">1. Mở màn Frameworks
2. Bấm Import framework
3. Chọn file [file có lỗi: requirement_code R.9.4.2 xuất hiện hai lần]
4. Bấm Check file</t>
  </si>
  <si>
    <t xml:space="preserve">- Hiển thị bảng lỗi gồm các cột Sheet, Row, Column, Problem
- Dòng lỗi: Requirements · &lt;dòng&gt; · requirement_code · "R.9.4.2" is used twice (rows &lt;dòng 1&gt; and &lt;dòng 2&gt;).</t>
  </si>
  <si>
    <t xml:space="preserve">Expected evidence trỏ vào dòng nhóm (is_assessable = FALSE)</t>
  </si>
  <si>
    <t>Framework_066</t>
  </si>
  <si>
    <t xml:space="preserve">Kiểm tra lỗi expected evidence trỏ vào dòng nhóm</t>
  </si>
  <si>
    <t xml:space="preserve">1. Mở màn Frameworks
2. Bấm Import framework
3. Chọn file [file có lỗi: Expected_Evidence trỏ vào R.4 là dòng nhóm (is_assessable = FALSE)]
4. Bấm Check file</t>
  </si>
  <si>
    <t xml:space="preserve">- Hiển thị bảng lỗi gồm các cột Sheet, Row, Column, Problem
- Dòng lỗi: Expected_Evidence · &lt;dòng&gt; · requirement_code · "R.4" is a grouping row. Evidence must point to an assessable requirement.</t>
  </si>
  <si>
    <t xml:space="preserve">Banner "&lt;n&gt; errors in &lt;tên file&gt;" và dòng "Nothing was imported"</t>
  </si>
  <si>
    <t>Framework_067</t>
  </si>
  <si>
    <t xml:space="preserve">Kiểm tra banner khi file có lỗi</t>
  </si>
  <si>
    <t xml:space="preserve">1. Mở màn Frameworks
2. Bấm Import framework
3. Chọn file [file có lỗi: 3 lỗi trên, tên file bcm-2019.xlsx]
4. Bấm Check file</t>
  </si>
  <si>
    <t xml:space="preserve">- Banner: 3 errors in bcm-2019.xlsx
- Dòng: Nothing was imported. Fix these rows in Excel and upload the file again.
- Không có framework mới nào trong danh sách ở màn Frameworks</t>
  </si>
  <si>
    <t xml:space="preserve">Tải file đã sửa ở ô "Corrected file" rồi Check file</t>
  </si>
  <si>
    <t>Framework_068</t>
  </si>
  <si>
    <t xml:space="preserve">Kiểm tra tải file đã sửa ở ô Corrected file</t>
  </si>
  <si>
    <t xml:space="preserve">1. Mở màn Frameworks
2. Bấm Import framework
3. Chọn file [file có lỗi: 3 lỗi trên]
4. Bấm Check file
5. Chọn file đã sửa hết lỗi ở ô Corrected file
6. Bấm Check file</t>
  </si>
  <si>
    <t xml:space="preserve">Q-F-08: chưa bấm Check file nên chưa biết kết quả sau khi tải file đã sửa</t>
  </si>
  <si>
    <t xml:space="preserve">Bấm Cancel khi đang có lỗi</t>
  </si>
  <si>
    <t>Framework_069</t>
  </si>
  <si>
    <t xml:space="preserve">Kiểm tra bấm Cancel khi đang có lỗi</t>
  </si>
  <si>
    <t xml:space="preserve">1. Mở màn Frameworks
2. Bấm Import framework
3. Chọn file [file có lỗi: 3 lỗi trên]
4. Bấm Check file
5. Bấm Cancel</t>
  </si>
  <si>
    <t xml:space="preserve">Q-F-08: kết quả sau Cancel khi đang có lỗi chưa kiểm</t>
  </si>
  <si>
    <t xml:space="preserve">Bấm × khi đang có lỗi</t>
  </si>
  <si>
    <t>Framework_070</t>
  </si>
  <si>
    <t xml:space="preserve">Kiểm tra bấm × khi đang có lỗi</t>
  </si>
  <si>
    <t xml:space="preserve">1. Mở màn Frameworks
2. Bấm Import framework
3. Chọn file [file có lỗi: 3 lỗi trên]
4. Bấm Check file
5. Bấm ×</t>
  </si>
  <si>
    <t xml:space="preserve">Q-F-08: kết quả sau × chưa kiểm</t>
  </si>
  <si>
    <t xml:space="preserve">Bấm Esc khi đang có lỗi</t>
  </si>
  <si>
    <t>Framework_071</t>
  </si>
  <si>
    <t xml:space="preserve">Kiểm tra bấm Esc khi đang có lỗi</t>
  </si>
  <si>
    <t xml:space="preserve">1. Mở màn Frameworks
2. Bấm Import framework
3. Chọn file [file có lỗi: 3 lỗi trên]
4. Bấm Check file
5. Bấm phím Esc</t>
  </si>
  <si>
    <t xml:space="preserve">Q-F-08: kết quả sau Esc chưa kiểm</t>
  </si>
  <si>
    <t xml:space="preserve">Hai dòng ở sheet Framework</t>
  </si>
  <si>
    <t>Framework_072</t>
  </si>
  <si>
    <t xml:space="preserve">Kiểm tra lỗi: hai dòng ở sheet Framework</t>
  </si>
  <si>
    <t xml:space="preserve">1. Mở màn Frameworks
2. Bấm Import framework
3. Chọn file [file có lỗi: sheet Framework có hai dòng]
4. Bấm Check file</t>
  </si>
  <si>
    <t xml:space="preserve">Q-F-14: chữ báo lỗi chưa có (sheet Validation_Rules của file mẫu chỉ nêu quy tắc, không nêu chữ hiển thị)</t>
  </si>
  <si>
    <t xml:space="preserve">Thiếu framework_code, framework_name hoặc version</t>
  </si>
  <si>
    <t>Framework_073</t>
  </si>
  <si>
    <t xml:space="preserve">Kiểm tra lỗi: thiếu framework_code, framework_name hoặc version</t>
  </si>
  <si>
    <t xml:space="preserve">1. Mở màn Frameworks
2. Bấm Import framework
3. Chọn file [file có lỗi: thiếu framework_code]
4. Bấm Check file</t>
  </si>
  <si>
    <t xml:space="preserve">Requirement tự là cha của chính nó</t>
  </si>
  <si>
    <t>Framework_074</t>
  </si>
  <si>
    <t xml:space="preserve">Kiểm tra lỗi: requirement tự là cha của chính nó</t>
  </si>
  <si>
    <t xml:space="preserve">1. Mở màn Frameworks
2. Bấm Import framework
3. Chọn file [file có lỗi: parent_requirement_code trùng requirement_code của chính dòng đó]
4. Bấm Check file</t>
  </si>
  <si>
    <t xml:space="preserve">Cha con tạo vòng lặp</t>
  </si>
  <si>
    <t>Framework_075</t>
  </si>
  <si>
    <t xml:space="preserve">Kiểm tra lỗi: cha con tạo vòng lặp</t>
  </si>
  <si>
    <t xml:space="preserve">1. Mở màn Frameworks
2. Bấm Import framework
3. Chọn file [file có lỗi: R.1 là cha của R.2 và R.2 là cha của R.1]
4. Bấm Check file</t>
  </si>
  <si>
    <t xml:space="preserve">is_assessable không phải TRUE hoặc FALSE</t>
  </si>
  <si>
    <t>Framework_076</t>
  </si>
  <si>
    <t xml:space="preserve">Kiểm tra lỗi: is_assessable không phải TRUE hoặc FALSE</t>
  </si>
  <si>
    <t xml:space="preserve">1. Mở màn Frameworks
2. Bấm Import framework
3. Chọn file [file có lỗi: is_assessable là Maybe]
4. Bấm Check file</t>
  </si>
  <si>
    <t xml:space="preserve">Mã expected evidence bị trùng</t>
  </si>
  <si>
    <t>Framework_077</t>
  </si>
  <si>
    <t xml:space="preserve">Kiểm tra lỗi: mã expected evidence bị trùng</t>
  </si>
  <si>
    <t xml:space="preserve">1. Mở màn Frameworks
2. Bấm Import framework
3. Chọn file [file có lỗi: hai dòng Expected_Evidence cùng mã]
4. Bấm Check file</t>
  </si>
  <si>
    <t xml:space="preserve">mandatory không phải TRUE hoặc FALSE</t>
  </si>
  <si>
    <t>Framework_078</t>
  </si>
  <si>
    <t xml:space="preserve">Kiểm tra lỗi: mandatory không phải TRUE hoặc FALSE</t>
  </si>
  <si>
    <t xml:space="preserve">1. Mở màn Frameworks
2. Bấm Import framework
3. Chọn file [file có lỗi: mandatory là Maybe]
4. Bấm Check file</t>
  </si>
  <si>
    <t xml:space="preserve">Import file hợp lệ của framework mới (mã chưa có)</t>
  </si>
  <si>
    <t>Framework_079</t>
  </si>
  <si>
    <t xml:space="preserve">Kiểm tra import framework có mã chưa có</t>
  </si>
  <si>
    <t xml:space="preserve">1. Mở màn Frameworks
2. Bấm Import framework
3. Chọn file [file hợp lệ, framework_code chưa có trong danh sách]
4. Bấm Check file</t>
  </si>
  <si>
    <t xml:space="preserve">Q-F-08: chưa bấm Check file; chưa biết màn đến sau Check file thành công. Q-F-04: có bảng tóm tắt thay đổi (added) hay không</t>
  </si>
  <si>
    <t xml:space="preserve">Import file hợp lệ là phiên bản mới của mã đã có (Version khác)</t>
  </si>
  <si>
    <t>Framework_080</t>
  </si>
  <si>
    <t xml:space="preserve">Kiểm tra import phiên bản mới của mã đã có</t>
  </si>
  <si>
    <t xml:space="preserve">1. Mở màn Frameworks
2. Bấm Import framework
3. Chọn file [file hợp lệ, framework_code đã có, Version khác]
4. Bấm Check file</t>
  </si>
  <si>
    <t xml:space="preserve">Q-F-04: UC nói cập nhật framework có sẵn và content_version phải tăng; Figma và hộp thoại nói thêm thành một bản riêng. Chưa rõ kết quả</t>
  </si>
  <si>
    <t xml:space="preserve">Tên, chip "Draft · not active", dòng "code · version · issuing body"</t>
  </si>
  <si>
    <t>Framework_081</t>
  </si>
  <si>
    <t xml:space="preserve">Kiểm tra tên và chip của Draft preview</t>
  </si>
  <si>
    <t xml:space="preserve">Đăng nhập account SGS Admin
Có framework Draft Appendix 10 amended</t>
  </si>
  <si>
    <t xml:space="preserve">- Tên: Security Baselines for ICT Systems (Appendix 10)
- Chip: Draft · not active
- Dòng: TW_ISRM_ANNEX10_EN · Appendix 10 per Article 11 – amended version · MODA</t>
  </si>
  <si>
    <t xml:space="preserve">Nút Discard draft và Activate</t>
  </si>
  <si>
    <t>Framework_082</t>
  </si>
  <si>
    <t xml:space="preserve">Kiểm tra nút Discard draft và Activate</t>
  </si>
  <si>
    <t xml:space="preserve">1. Mở màn Frameworks
2. Bấm tên một framework Draft
3. Kiểm tra góc phải phần đầu trang</t>
  </si>
  <si>
    <t xml:space="preserve">- Có nút Discard draft và nút Activate</t>
  </si>
  <si>
    <t xml:space="preserve">Khối Framework: Code, Issued by, Version, Effective date "Not set", Description</t>
  </si>
  <si>
    <t>Framework_083</t>
  </si>
  <si>
    <t xml:space="preserve">Kiểm tra khối Framework của bản Draft</t>
  </si>
  <si>
    <t xml:space="preserve">1. Mở màn Frameworks
2. Bấm tên framework Appendix 10 amended (Draft)
3. Kiểm tra khối 1 Framework</t>
  </si>
  <si>
    <t xml:space="preserve">- Ghi chú: From the Framework sheet
- Code, Issued by: MODA, Version
- Effective date: Not set
- Description</t>
  </si>
  <si>
    <t xml:space="preserve">Khối Tiers: Basic 44/44, Medium 17/61, High 18/79</t>
  </si>
  <si>
    <t>Framework_084</t>
  </si>
  <si>
    <t xml:space="preserve">Kiểm tra khối Tiers của bản Draft</t>
  </si>
  <si>
    <t xml:space="preserve">1. Mở màn Frameworks
2. Bấm tên framework Appendix 10 amended (Draft)
3. Kiểm tra khối 2 Tiers</t>
  </si>
  <si>
    <t xml:space="preserve">- Ghi chú: Higher tiers include every requirement of the tiers below
- P Basic, Rank 1: New 44, Total 44
- M Medium, Rank 2: New 17, Total 61
- H High, Rank 3: New 18, Total 79</t>
  </si>
  <si>
    <t xml:space="preserve">Khối Requirements: "7 dimensions · 27 control measures · 79 requirements · 79 expected evidence items"</t>
  </si>
  <si>
    <t>Framework_085</t>
  </si>
  <si>
    <t xml:space="preserve">Kiểm tra khối Requirements của bản Draft</t>
  </si>
  <si>
    <t xml:space="preserve">1. Mở màn Frameworks
2. Bấm tên framework Appendix 10 amended (Draft)
3. Kiểm tra khối 3 Requirements</t>
  </si>
  <si>
    <t xml:space="preserve">- 7 dimensions · 27 control measures · 79 requirements · 79 expected evidence items</t>
  </si>
  <si>
    <t xml:space="preserve">File check passed và dòng "No errors. The draft is ready to activate."</t>
  </si>
  <si>
    <t>Framework_086</t>
  </si>
  <si>
    <t xml:space="preserve">Kiểm tra khung Import: File check passed</t>
  </si>
  <si>
    <t xml:space="preserve">1. Mở màn Frameworks
2. Bấm tên một framework Draft
3. Kiểm tra khung bên phải mục Import</t>
  </si>
  <si>
    <t xml:space="preserve">- File check passed
- No errors. The draft is ready to activate.</t>
  </si>
  <si>
    <t xml:space="preserve">Q-F-07: khung After activation khác nhau giữa Figma và hệ thống (xem case kế)</t>
  </si>
  <si>
    <t xml:space="preserve">Khung "After activation"</t>
  </si>
  <si>
    <t>Framework_087</t>
  </si>
  <si>
    <t xml:space="preserve">Kiểm tra khung After activation</t>
  </si>
  <si>
    <t xml:space="preserve">1. Mở màn Frameworks
2. Bấm tên một framework Draft
3. Kiểm tra khung After activation</t>
  </si>
  <si>
    <t xml:space="preserve">Q-F-07: Figma ghi SGS gán tier cho từng scope; hệ thống ghi khách chọn tier của scope. Chưa rõ bên nào đúng</t>
  </si>
  <si>
    <t xml:space="preserve">Bấm Discard draft: hộp thoại "Discard draft?" kèm câu "Customers never saw it. You can import the file again later."</t>
  </si>
  <si>
    <t>Framework_088</t>
  </si>
  <si>
    <t xml:space="preserve">Kiểm tra mở hộp thoại Discard draft</t>
  </si>
  <si>
    <t xml:space="preserve">1. Mở màn Frameworks
2. Bấm tên một framework Draft
3. Bấm Discard draft</t>
  </si>
  <si>
    <t xml:space="preserve">- Hộp thoại Discard draft?
- Nội dung: The imported draft of &lt;tên framework&gt; is removed. Customers never saw it. You can import the file again later.
- Có nút Cancel và Discard draft</t>
  </si>
  <si>
    <t xml:space="preserve">Q-F-11: Discard draft không có trong UC, Figma chưa vẽ hộp thoại</t>
  </si>
  <si>
    <t xml:space="preserve">[NGOÀI UC] Discard draft: UC FWK-03 và FWK-06 không nêu</t>
  </si>
  <si>
    <t>Framework_089</t>
  </si>
  <si>
    <t xml:space="preserve">Kiểm tra huỷ hộp thoại Discard draft: Cancel</t>
  </si>
  <si>
    <t xml:space="preserve">1. Mở màn Frameworks
2. Bấm tên một framework Draft
3. Bấm Discard draft
4. Bấm Cancel</t>
  </si>
  <si>
    <t xml:space="preserve">Q-F-11: kết quả sau khi đóng hộp thoại chưa kiểm</t>
  </si>
  <si>
    <t>Framework_090</t>
  </si>
  <si>
    <t xml:space="preserve">Kiểm tra huỷ hộp thoại Discard draft: ×</t>
  </si>
  <si>
    <t xml:space="preserve">1. Mở màn Frameworks
2. Bấm tên một framework Draft
3. Bấm Discard draft
4. Bấm ×</t>
  </si>
  <si>
    <t xml:space="preserve">Bấm Esc</t>
  </si>
  <si>
    <t>Framework_091</t>
  </si>
  <si>
    <t xml:space="preserve">Kiểm tra huỷ hộp thoại Discard draft: Esc</t>
  </si>
  <si>
    <t xml:space="preserve">1. Mở màn Frameworks
2. Bấm tên một framework Draft
3. Bấm Discard draft
4. Bấm phím Esc</t>
  </si>
  <si>
    <t xml:space="preserve">Bấm Discard draft trong hộp thoại</t>
  </si>
  <si>
    <t>Framework_092</t>
  </si>
  <si>
    <t xml:space="preserve">Kiểm tra Discard draft</t>
  </si>
  <si>
    <t xml:space="preserve">1. Mở màn Frameworks
2. Bấm tên một framework Draft
3. Bấm Discard draft
4. Bấm Discard draft trong hộp thoại</t>
  </si>
  <si>
    <t xml:space="preserve">Q-F-08: chưa bấm nút xác nhận trên hệ thống; chưa biết màn đến và dòng Draft còn trong danh sách không</t>
  </si>
  <si>
    <t xml:space="preserve">Bấm Activate ở Draft preview: tiêu đề, câu hỏi "Activate &lt;tên&gt; · &lt;version&gt;?", ba gạch đầu dòng</t>
  </si>
  <si>
    <t>Framework_093</t>
  </si>
  <si>
    <t xml:space="preserve">Kiểm tra mở hộp thoại Activate</t>
  </si>
  <si>
    <t xml:space="preserve">1. Mở màn Frameworks
2. Bấm tên một framework Draft
3. Bấm Activate</t>
  </si>
  <si>
    <t xml:space="preserve">- Tiêu đề: Activate framework
- Câu hỏi: Activate &lt;tên framework&gt; · &lt;version&gt;?
- Có nút Cancel và Activate framework
- Gạch 1: Customers can activate it on their scopes.
- Gạch 3: The content is locked. Changes need a new version.</t>
  </si>
  <si>
    <t xml:space="preserve">Q-F-07: gạch 2 khác nhau (Figma: SGS assigns each scope a tier: Basic, Medium or High. Hệ thống: Each customer chooses the tier of their scope: Basic, Medium or High.)</t>
  </si>
  <si>
    <t>Framework_094</t>
  </si>
  <si>
    <t xml:space="preserve">Kiểm tra huỷ Activate: Cancel</t>
  </si>
  <si>
    <t xml:space="preserve">1. Mở màn Frameworks
2. Bấm tên một framework Draft
3. Bấm Activate
4. Bấm Cancel</t>
  </si>
  <si>
    <t xml:space="preserve">- Hộp thoại đóng, ở lại Draft preview
- Framework vẫn là Draft</t>
  </si>
  <si>
    <t xml:space="preserve">Q-F-08: hành vi sau Cancel suy từ hộp thoại, chưa xác nhận</t>
  </si>
  <si>
    <t>Framework_095</t>
  </si>
  <si>
    <t xml:space="preserve">Kiểm tra huỷ Activate: ×</t>
  </si>
  <si>
    <t xml:space="preserve">1. Mở màn Frameworks
2. Bấm tên một framework Draft
3. Bấm Activate
4. Bấm ×</t>
  </si>
  <si>
    <t xml:space="preserve">Q-F-08: chưa kiểm</t>
  </si>
  <si>
    <t>Framework_096</t>
  </si>
  <si>
    <t xml:space="preserve">Kiểm tra huỷ Activate: Esc</t>
  </si>
  <si>
    <t xml:space="preserve">1. Mở màn Frameworks
2. Bấm tên một framework Draft
3. Bấm Activate
4. Bấm phím Esc</t>
  </si>
  <si>
    <t xml:space="preserve">Kích hoạt khi chưa có Active retention policy (CFG-01)</t>
  </si>
  <si>
    <t>Framework_097</t>
  </si>
  <si>
    <t xml:space="preserve">Kiểm tra Activate khi chưa có Active retention policy</t>
  </si>
  <si>
    <t xml:space="preserve">Đăng nhập account SGS Admin
Có sẵn một framework Draft: [Framework Draft]
Chưa có Active retention policy</t>
  </si>
  <si>
    <t xml:space="preserve">1. Mở màn Frameworks
2. Bấm tên một framework Draft
3. Bấm Activate
4. Bấm Activate framework</t>
  </si>
  <si>
    <t xml:space="preserve">Q-F-07: UC FWK-06 chỉ cho kích hoạt khi có Active retention policy (CFG-01); Figma và hệ thống không có kiểm tra này, trang Settings ghi No design yet</t>
  </si>
  <si>
    <t xml:space="preserve">Kích hoạt framework có tier</t>
  </si>
  <si>
    <t>Framework_098</t>
  </si>
  <si>
    <t xml:space="preserve">Kiểm tra Activate framework có tier</t>
  </si>
  <si>
    <t xml:space="preserve">Đăng nhập account SGS Admin
Có framework Draft có tier: [Framework Draft có tier]</t>
  </si>
  <si>
    <t xml:space="preserve">Q-F-08: chưa bấm nút xác nhận; chưa biết màn đến, chip Status và hiển thị trong danh sách</t>
  </si>
  <si>
    <t xml:space="preserve">Kích hoạt framework không tier</t>
  </si>
  <si>
    <t>Framework_099</t>
  </si>
  <si>
    <t xml:space="preserve">Kiểm tra Activate framework không tier</t>
  </si>
  <si>
    <t xml:space="preserve">Đăng nhập account SGS Admin
Có framework Draft không tier: [Framework Draft không tier]</t>
  </si>
  <si>
    <t xml:space="preserve">Q-F-08: chưa có bản Draft không tier để kiểm; chưa biết kết quả</t>
  </si>
  <si>
    <t xml:space="preserve">Sau khi kích hoạt</t>
  </si>
  <si>
    <t xml:space="preserve">Customer Admin mở hộp thoại Link a framework: framework vừa kích hoạt có trong danh sách chọn</t>
  </si>
  <si>
    <t>Framework_100</t>
  </si>
  <si>
    <t xml:space="preserve">Kiểm tra framework vừa kích hoạt trong danh sách chọn của Customer Admin</t>
  </si>
  <si>
    <t xml:space="preserve">1. Đăng nhập account SGS Admin, bấm Activate framework cho [Framework Draft]
2. Đăng xuất, đăng nhập account Customer Admin
3. Mở Scopes, bấm một scope, bấm Link framework
4. Mở danh sách chọn framework</t>
  </si>
  <si>
    <t xml:space="preserve">Q-F-08: chưa bấm Activate nên chưa kiểm; danh sách chọn hiện gộp theo mã (6 mục), không thấy chọn phiên bản</t>
  </si>
  <si>
    <t xml:space="preserve">Framework Draft chưa kích hoạt không có trong danh sách chọn</t>
  </si>
  <si>
    <t>Framework_101</t>
  </si>
  <si>
    <t xml:space="preserve">Kiểm tra framework Draft không có trong danh sách chọn của Customer Admin</t>
  </si>
  <si>
    <t xml:space="preserve">Đăng nhập account Customer Admin
Có sẵn một framework Draft: [Framework Draft]</t>
  </si>
  <si>
    <t xml:space="preserve">1. Mở Scopes, bấm một scope, bấm Link framework
2. Mở danh sách chọn framework
3. Tìm [Framework Draft]</t>
  </si>
  <si>
    <t xml:space="preserve">Q-F-08: chưa kiểm; ghi chú: hệ thống có 6 mục khi có 8 framework, chưa rõ Draft có bị loại không</t>
  </si>
  <si>
    <t xml:space="preserve">Quyền theo vai trò</t>
  </si>
  <si>
    <t xml:space="preserve">Thấy menu Frameworks, nút Download template và Import framework ở danh sách</t>
  </si>
  <si>
    <t>Framework_102</t>
  </si>
  <si>
    <t xml:space="preserve">Kiểm tra SGS Admin thấy nút ở danh sách</t>
  </si>
  <si>
    <t xml:space="preserve">- Có nút Download template và Import framework</t>
  </si>
  <si>
    <t xml:space="preserve">Thấy Discard draft và Activate ở Draft preview</t>
  </si>
  <si>
    <t>Framework_103</t>
  </si>
  <si>
    <t xml:space="preserve">Kiểm tra SGS Admin thấy nút ở Draft preview</t>
  </si>
  <si>
    <t xml:space="preserve">- Có nút Discard draft và Activate</t>
  </si>
  <si>
    <t xml:space="preserve">Thấy nút ba chấm ở framework Active</t>
  </si>
  <si>
    <t>Framework_104</t>
  </si>
  <si>
    <t xml:space="preserve">Kiểm tra SGS Admin thấy nút ba chấm ở framework Active</t>
  </si>
  <si>
    <t xml:space="preserve">- Có nút ba chấm</t>
  </si>
  <si>
    <t xml:space="preserve">Thấy menu Frameworks và danh sách, không có nút Download template và Import framework</t>
  </si>
  <si>
    <t>Framework_105</t>
  </si>
  <si>
    <t xml:space="preserve">Kiểm tra SGS User ở danh sách</t>
  </si>
  <si>
    <t xml:space="preserve">Đăng nhập account SGS User</t>
  </si>
  <si>
    <t xml:space="preserve">1. Mở màn Frameworks
2. Kiểm tra menu trái và phần đầu trang</t>
  </si>
  <si>
    <t xml:space="preserve">- Menu có Frameworks
- Danh sách hiển thị
- Không có nút Download template và Import framework</t>
  </si>
  <si>
    <t xml:space="preserve">Q-F-16: UC chỉ nêu SGS Admin, chưa rõ SGS User có được xem không</t>
  </si>
  <si>
    <t xml:space="preserve">Mở Draft preview, không có nút Discard draft và Activate</t>
  </si>
  <si>
    <t>Framework_106</t>
  </si>
  <si>
    <t xml:space="preserve">Kiểm tra SGS User ở Draft preview</t>
  </si>
  <si>
    <t xml:space="preserve">Đăng nhập account SGS User
Có sẵn một framework Draft: [Framework Draft]</t>
  </si>
  <si>
    <t xml:space="preserve">- Mở được Draft preview
- Không có nút Discard draft và Activate</t>
  </si>
  <si>
    <t xml:space="preserve">Q-F-16: UC chỉ nêu SGS Admin</t>
  </si>
  <si>
    <t>Framework_107</t>
  </si>
  <si>
    <t xml:space="preserve">Kiểm tra SGS Consultant ở danh sách</t>
  </si>
  <si>
    <t xml:space="preserve">Đăng nhập account SGS Consultant</t>
  </si>
  <si>
    <t xml:space="preserve">Q-F-16: UC chỉ nêu SGS Admin; chưa mở chi tiết</t>
  </si>
  <si>
    <t xml:space="preserve">Menu không có Frameworks</t>
  </si>
  <si>
    <t>Framework_108</t>
  </si>
  <si>
    <t xml:space="preserve">Kiểm tra SGS Auditor/Certification không thấy menu Frameworks</t>
  </si>
  <si>
    <t xml:space="preserve">Đăng nhập account SGS Auditor/Certification</t>
  </si>
  <si>
    <t xml:space="preserve">1. Kiểm tra menu trái</t>
  </si>
  <si>
    <t xml:space="preserve">- Menu không có Frameworks</t>
  </si>
  <si>
    <t>Q-F-16</t>
  </si>
  <si>
    <t xml:space="preserve">Mở thẳng địa chỉ của danh sách</t>
  </si>
  <si>
    <t>Framework_109</t>
  </si>
  <si>
    <t xml:space="preserve">Kiểm tra SGS Auditor/Certification mở thẳng địa chỉ danh sách</t>
  </si>
  <si>
    <t xml:space="preserve">1. Mở thẳng địa chỉ của màn Frameworks</t>
  </si>
  <si>
    <t xml:space="preserve">Q-F-16: vào bằng địa chỉ chưa kiểm</t>
  </si>
  <si>
    <t xml:space="preserve">Customer Admin: menu không có Frameworks</t>
  </si>
  <si>
    <t>Framework_110</t>
  </si>
  <si>
    <t xml:space="preserve">Kiểm tra Customer Admin không thấy menu Frameworks</t>
  </si>
  <si>
    <t xml:space="preserve">Customer User: menu không có Frameworks</t>
  </si>
  <si>
    <t>Framework_111</t>
  </si>
  <si>
    <t xml:space="preserve">Kiểm tra Customer User không thấy menu Frameworks</t>
  </si>
  <si>
    <t xml:space="preserve">Đăng nhập account Customer User</t>
  </si>
  <si>
    <t xml:space="preserve">Q-F-16: chưa kiểm vai trò này</t>
  </si>
  <si>
    <t xml:space="preserve">Customer Viewer: menu không có Frameworks</t>
  </si>
  <si>
    <t>Framework_112</t>
  </si>
  <si>
    <t xml:space="preserve">Kiểm tra Customer Viewer không thấy menu Frameworks</t>
  </si>
  <si>
    <t xml:space="preserve">Customer Admin mở thẳng địa chỉ của danh sách</t>
  </si>
  <si>
    <t>Framework_113</t>
  </si>
  <si>
    <t xml:space="preserve">Kiểm tra Customer Admin mở thẳng địa chỉ danh sách</t>
  </si>
  <si>
    <t xml:space="preserve">Hiển thị nguyên văn</t>
  </si>
  <si>
    <t xml:space="preserve">Ô bắt đầu bằng dấu = trong file hiện nguyên văn trên bản nháp</t>
  </si>
  <si>
    <t>Framework_114</t>
  </si>
  <si>
    <t xml:space="preserve">Kiểm tra ô bắt đầu bằng dấu = trong file import</t>
  </si>
  <si>
    <t xml:space="preserve">1. Mở màn Frameworks
2. Bấm Import framework
3. Chọn file [file hợp lệ, Description bắt đầu bằng =1+1]
4. Bấm Check file</t>
  </si>
  <si>
    <t xml:space="preserve">Q-F-14: chưa kiểm; kết quả mong đợi: hiện nguyên văn =1+1 ở bản nháp</t>
  </si>
  <si>
    <t xml:space="preserve">Thẻ &lt;script&gt; trong Description hiện nguyên văn trên bản nháp</t>
  </si>
  <si>
    <t>Framework_115</t>
  </si>
  <si>
    <t xml:space="preserve">Kiểm tra thẻ script trong Description của file import</t>
  </si>
  <si>
    <t xml:space="preserve">1. Mở màn Frameworks
2. Bấm Import framework
3. Chọn file [file hợp lệ, Description là &lt;script&gt;alert(1)&lt;/script&gt;]
4. Bấm Check file</t>
  </si>
  <si>
    <t xml:space="preserve">Q-F-14: chưa kiểm; kết quả mong đợi: hiện nguyên văn, không chạy script</t>
  </si>
  <si>
    <t xml:space="preserve">Hành động được ghi</t>
  </si>
  <si>
    <t xml:space="preserve">Import ghi một dòng ở Audit Logs</t>
  </si>
  <si>
    <t>Framework_116</t>
  </si>
  <si>
    <t xml:space="preserve">Kiểm tra ghi vết: Import</t>
  </si>
  <si>
    <t xml:space="preserve">1. Thực hiện import một framework
2. Đăng nhập account SGS Admin, bấm Audit Logs ở menu trái
3. Tìm dòng mới nhất</t>
  </si>
  <si>
    <t xml:space="preserve">Q-F-17: nội dung dòng ghi vết chưa kiểm; chưa bấm nút xác nhận để tạo dòng ghi vết (Q-F-08)</t>
  </si>
  <si>
    <t xml:space="preserve">Kích hoạt ghi một dòng ở Audit Logs</t>
  </si>
  <si>
    <t>Framework_117</t>
  </si>
  <si>
    <t xml:space="preserve">Kiểm tra ghi vết: Kích hoạt</t>
  </si>
  <si>
    <t xml:space="preserve">1. Thực hiện kích hoạt một framework
2. Đăng nhập account SGS Admin, bấm Audit Logs ở menu trái
3. Tìm dòng mới nhất</t>
  </si>
  <si>
    <t xml:space="preserve">Huỷ bản nháp ghi một dòng ở Audit Logs</t>
  </si>
  <si>
    <t>Framework_118</t>
  </si>
  <si>
    <t xml:space="preserve">Kiểm tra ghi vết: Huỷ bản nháp</t>
  </si>
  <si>
    <t xml:space="preserve">1. Thực hiện huỷ bản nháp một framework
2. Đăng nhập account SGS Admin, bấm Audit Logs ở menu trái
3. Tìm dòng mới nhất</t>
  </si>
  <si>
    <t xml:space="preserve">USR-L0001_Quản lý người dùng</t>
  </si>
  <si>
    <t xml:space="preserve">Users · Customer Portal, SGS Portal</t>
  </si>
  <si>
    <t xml:space="preserve">AI (Claude)</t>
  </si>
  <si>
    <t xml:space="preserve">UC List v4 (02/10/2026) · USR-01→05, ROL-01, ROL-02 · chưa có Figma trang 02 User &amp; Profile Management: nhãn, bố cục chờ đối chiếu</t>
  </si>
  <si>
    <t xml:space="preserve">Customer Portal</t>
  </si>
  <si>
    <t xml:space="preserve">Kiểm tra vào danh sách người dùng từ menu ở Customer Portal</t>
  </si>
  <si>
    <t xml:space="preserve">Đăng nhập {{user.cust_admin}}, đang ở màn Home</t>
  </si>
  <si>
    <t xml:space="preserve">1. Bấm Users ở mục Administration của menu trái</t>
  </si>
  <si>
    <t xml:space="preserve">- Mở danh sách người dùng của tenant A</t>
  </si>
  <si>
    <t xml:space="preserve">Tên mục menu lấy theo prototype của Scopes (Scopes Scope_123), chờ Figma trang 02 → Q-U-01</t>
  </si>
  <si>
    <t>USR-01</t>
  </si>
  <si>
    <t xml:space="preserve">SGS Portal</t>
  </si>
  <si>
    <t xml:space="preserve">Kiểm tra vào danh sách người dùng ở SGS Portal</t>
  </si>
  <si>
    <t xml:space="preserve">Đăng nhập {{user.sgs_admin}} ở SGS Portal</t>
  </si>
  <si>
    <t xml:space="preserve">1. Mở mục quản lý người dùng ở menu</t>
  </si>
  <si>
    <t xml:space="preserve">- Mở danh sách người dùng trong phạm vi của {{user.sgs_admin}}</t>
  </si>
  <si>
    <t xml:space="preserve">Lối vào ở SGS Portal chờ Figma trang 02 → Q-U-01</t>
  </si>
  <si>
    <t xml:space="preserve">Mở một người dùng</t>
  </si>
  <si>
    <t xml:space="preserve">Kiểm tra mở chi tiết người dùng từ danh sách</t>
  </si>
  <si>
    <t xml:space="preserve">Đăng nhập {{user.cust_admin}}</t>
  </si>
  <si>
    <t xml:space="preserve">1. Mở danh sách người dùng
2. Mở {{user.cust_user}} trong danh sách</t>
  </si>
  <si>
    <t xml:space="preserve">- Mở chi tiết của {{user.cust_user}}</t>
  </si>
  <si>
    <t>USR-02</t>
  </si>
  <si>
    <t xml:space="preserve">Chỉ người dùng của tenant mình</t>
  </si>
  <si>
    <t xml:space="preserve">Kiểm tra danh sách người dùng của Customer Admin chỉ có tenant mình</t>
  </si>
  <si>
    <t xml:space="preserve">Đăng nhập {{user.cust_admin}} (tenant A); tenant B có {{user.tenantB_admin}}</t>
  </si>
  <si>
    <t xml:space="preserve">1. Mở danh sách người dùng
2. Tìm {{user.cust_user}}, {{user.cust_viewer}}, {{user.tenantB_admin}}, {{user.sgs_admin}}</t>
  </si>
  <si>
    <t xml:space="preserve">- Có {{user.cust_admin}}, {{user.cust_user}}, {{user.cust_viewer}}
- Không có {{user.tenantB_admin}}, không có người dùng SGS nào</t>
  </si>
  <si>
    <t xml:space="preserve">Người dùng SGS và khách hàng cùng affiliate</t>
  </si>
  <si>
    <t xml:space="preserve">Kiểm tra danh sách người dùng của SGS Admin</t>
  </si>
  <si>
    <t xml:space="preserve">Đăng nhập {{user.sgs_admin}} ở SGS Portal; {{user.consultant}} và tenant A cùng affiliate với {{user.sgs_admin}}, tenant C khác affiliate</t>
  </si>
  <si>
    <t xml:space="preserve">1. Mở danh sách người dùng
2. Tìm {{user.consultant}}, {{user.cust_user}}, {{user.cust_c}}</t>
  </si>
  <si>
    <t xml:space="preserve">- Có {{user.consultant}} và {{user.cust_user}}
- Không có {{user.cust_c}}</t>
  </si>
  <si>
    <t xml:space="preserve">Người dùng SGS của affiliate khác có hiện không → Q-U-02</t>
  </si>
  <si>
    <t xml:space="preserve">Chưa kích hoạt</t>
  </si>
  <si>
    <t xml:space="preserve">Kiểm tra người được mời nhưng chưa kích hoạt trong danh sách</t>
  </si>
  <si>
    <t xml:space="preserve">Đăng nhập {{user.cust_admin}}; đã mời {{email.new}} với vai trò Customer User, chưa kích hoạt</t>
  </si>
  <si>
    <t xml:space="preserve">1. Mở danh sách người dùng</t>
  </si>
  <si>
    <t xml:space="preserve">- Có dòng của {{email.new}}, vai trò Customer User</t>
  </si>
  <si>
    <t xml:space="preserve">Trạng thái chưa kích hoạt hiển thị thế nào → Q-U-03</t>
  </si>
  <si>
    <t xml:space="preserve">Hồ sơ, trạng thái, vai trò, scope</t>
  </si>
  <si>
    <t xml:space="preserve">Kiểm tra chi tiết của một Customer User</t>
  </si>
  <si>
    <t xml:space="preserve">Đăng nhập {{user.cust_admin}}; {{user.cust_user}} đã kích hoạt, được cấp {{scope.sys}}, không được cấp {{scope.org}}</t>
  </si>
  <si>
    <t xml:space="preserve">1. Mở chi tiết {{user.cust_user}}</t>
  </si>
  <si>
    <t xml:space="preserve">- Có thông tin hồ sơ và trạng thái của {{user.cust_user}}
- Vai trò: Customer User
- Phần quyền theo scope có {{scope.sys}}, không có {{scope.org}}</t>
  </si>
  <si>
    <t xml:space="preserve">Các trường hồ sơ và giá trị trạng thái → Q-U-03</t>
  </si>
  <si>
    <t xml:space="preserve">Người được mời</t>
  </si>
  <si>
    <t xml:space="preserve">Kiểm tra chi tiết của người được mời nhưng chưa kích hoạt</t>
  </si>
  <si>
    <t xml:space="preserve">Đăng nhập {{user.cust_admin}}; đã mời {{email.new}}, chưa kích hoạt</t>
  </si>
  <si>
    <t xml:space="preserve">1. Mở chi tiết {{email.new}}</t>
  </si>
  <si>
    <t xml:space="preserve">Trạng thái và thao tác với lời mời đang chờ hiển thị thế nào → Q-U-03</t>
  </si>
  <si>
    <t xml:space="preserve">Chỉ vai trò khách hàng</t>
  </si>
  <si>
    <t xml:space="preserve">Kiểm tra các vai trò được chọn khi Customer Admin mời</t>
  </si>
  <si>
    <t xml:space="preserve">1. Mở danh sách người dùng
2. Mở form mời người dùng
3. Mở danh sách vai trò</t>
  </si>
  <si>
    <t xml:space="preserve">- Chỉ có Customer Admin, Customer User, Customer Viewer
- Không có SGS Admin, SGS Consultant</t>
  </si>
  <si>
    <t>USR-03</t>
  </si>
  <si>
    <t xml:space="preserve">Chỉ vai trò SGS</t>
  </si>
  <si>
    <t xml:space="preserve">Kiểm tra các vai trò được chọn khi SGS Admin mời</t>
  </si>
  <si>
    <t xml:space="preserve">- Chỉ có SGS Admin, SGS Consultant
- Không có vai trò của khách hàng</t>
  </si>
  <si>
    <t xml:space="preserve">Customer User — danh sách</t>
  </si>
  <si>
    <t xml:space="preserve">Kiểm tra mời Customer User</t>
  </si>
  <si>
    <t xml:space="preserve">1. Mở danh sách người dùng
2. Mở form mời người dùng
3. Nhập email {{email.new}}, chọn vai trò Customer User
4. Gửi lời mời</t>
  </si>
  <si>
    <t xml:space="preserve">- Danh sách có {{email.new}}, vai trò Customer User</t>
  </si>
  <si>
    <t xml:space="preserve">Customer User — email mời</t>
  </si>
  <si>
    <t xml:space="preserve">Kiểm tra email mời gửi tới người được mời</t>
  </si>
  <si>
    <t xml:space="preserve">Chưa đăng nhập; {{user.cust_admin}} đã mời {{email.new}} với vai trò Customer User</t>
  </si>
  <si>
    <t xml:space="preserve">1. Mở hộp thư của {{email.new}}</t>
  </si>
  <si>
    <t xml:space="preserve">- Có email mời, trong email có link kích hoạt tài khoản</t>
  </si>
  <si>
    <t xml:space="preserve">Tiêu đề, nội dung email chờ mẫu email → Q-U-04</t>
  </si>
  <si>
    <t>NTF-03</t>
  </si>
  <si>
    <t xml:space="preserve">Customer User — kích hoạt rồi đăng nhập</t>
  </si>
  <si>
    <t xml:space="preserve">Kiểm tra người được mời kích hoạt rồi đăng nhập</t>
  </si>
  <si>
    <t xml:space="preserve">1. Mở link kích hoạt trong email mời
2. Đặt mật khẩu, hoàn tất kích hoạt
3. Đăng nhập bằng {{email.new}}</t>
  </si>
  <si>
    <t xml:space="preserve">- Đăng nhập được vào Customer Portal của tenant A
- Menu không có mục Users</t>
  </si>
  <si>
    <t>AUTH-03</t>
  </si>
  <si>
    <t xml:space="preserve">Customer User — trạng thái sau kích hoạt</t>
  </si>
  <si>
    <t xml:space="preserve">Kiểm tra trạng thái người dùng sau khi kích hoạt</t>
  </si>
  <si>
    <t xml:space="preserve">Đăng nhập {{user.cust_admin}}; {{email.new}} vừa kích hoạt tài khoản</t>
  </si>
  <si>
    <t xml:space="preserve">1. Mở danh sách người dùng
2. Mở chi tiết {{email.new}}</t>
  </si>
  <si>
    <t xml:space="preserve">Trạng thái đổi từ giá trị nào sang giá trị nào → Q-U-03</t>
  </si>
  <si>
    <t xml:space="preserve">Kiểm tra mời Customer Viewer</t>
  </si>
  <si>
    <t xml:space="preserve">1. Mở danh sách người dùng
2. Mời {{email.new_viewer}} với vai trò Customer Viewer</t>
  </si>
  <si>
    <t xml:space="preserve">- Danh sách có {{email.new_viewer}}, vai trò Customer Viewer</t>
  </si>
  <si>
    <t xml:space="preserve">Kiểm tra mời Customer Admin</t>
  </si>
  <si>
    <t xml:space="preserve">1. Mở danh sách người dùng
2. Mời {{email.new_admin}} với vai trò Customer Admin</t>
  </si>
  <si>
    <t xml:space="preserve">- Danh sách có {{email.new_admin}}, vai trò Customer Admin</t>
  </si>
  <si>
    <t xml:space="preserve">Kiểm tra SGS Admin mời SGS Consultant</t>
  </si>
  <si>
    <t xml:space="preserve">1. Mở danh sách người dùng
2. Mở form mời người dùng
3. Nhập email {{email.new_sgs}}, chọn vai trò SGS Consultant
4. Gửi lời mời</t>
  </si>
  <si>
    <t xml:space="preserve">- Danh sách có {{email.new_sgs}}, vai trò SGS Consultant</t>
  </si>
  <si>
    <t xml:space="preserve">Bỏ trống email</t>
  </si>
  <si>
    <t xml:space="preserve">Kiểm tra gửi lời mời khi bỏ trống email</t>
  </si>
  <si>
    <t xml:space="preserve">1. Mở form mời người dùng
2. Để trống email, chọn vai trò Customer User
3. Gửi lời mời</t>
  </si>
  <si>
    <t xml:space="preserve">- Không gửi lời mời, danh sách không đổi</t>
  </si>
  <si>
    <t xml:space="preserve">Text thông báo → Q-U-04</t>
  </si>
  <si>
    <t xml:space="preserve">Email sai định dạng</t>
  </si>
  <si>
    <t xml:space="preserve">Kiểm tra gửi lời mời khi email sai định dạng</t>
  </si>
  <si>
    <t xml:space="preserve">1. Mở form mời người dùng
2. Nhập email {{email.invalid}}, chọn vai trò Customer User
3. Gửi lời mời</t>
  </si>
  <si>
    <t xml:space="preserve">Chưa chọn vai trò</t>
  </si>
  <si>
    <t xml:space="preserve">Kiểm tra gửi lời mời khi chưa chọn vai trò</t>
  </si>
  <si>
    <t xml:space="preserve">1. Mở form mời người dùng
2. Nhập email {{email.new}}, không chọn vai trò
3. Gửi lời mời</t>
  </si>
  <si>
    <t xml:space="preserve">Email đã là người dùng của tenant</t>
  </si>
  <si>
    <t xml:space="preserve">Kiểm tra mời một email đã là người dùng của tenant</t>
  </si>
  <si>
    <t xml:space="preserve">1. Mở form mời người dùng
2. Nhập email của {{user.cust_user}}, chọn vai trò Customer Viewer
3. Gửi lời mời</t>
  </si>
  <si>
    <t xml:space="preserve">Xử lý email trùng → Q-U-05</t>
  </si>
  <si>
    <t xml:space="preserve">Email đang chờ kích hoạt</t>
  </si>
  <si>
    <t xml:space="preserve">Kiểm tra mời lại một email đang chờ kích hoạt</t>
  </si>
  <si>
    <t xml:space="preserve">1. Mời {{email.new}} thêm một lần</t>
  </si>
  <si>
    <t xml:space="preserve">Email thuộc tenant khác</t>
  </si>
  <si>
    <t xml:space="preserve">Kiểm tra mời email đang là người dùng của tenant khác</t>
  </si>
  <si>
    <t xml:space="preserve">1. Mở form mời người dùng
2. Nhập email của {{user.tenantB_admin}}, chọn vai trò Customer User
3. Gửi lời mời</t>
  </si>
  <si>
    <t xml:space="preserve">Đóng form không gửi</t>
  </si>
  <si>
    <t xml:space="preserve">Kiểm tra đóng form mời mà không gửi</t>
  </si>
  <si>
    <t xml:space="preserve">1. Mở form mời người dùng
2. Nhập email {{email.new}}, chọn vai trò Customer User
3. Đóng form, không gửi</t>
  </si>
  <si>
    <t xml:space="preserve">Gửi lại</t>
  </si>
  <si>
    <t xml:space="preserve">Email mời mới</t>
  </si>
  <si>
    <t xml:space="preserve">Kiểm tra gửi lại lời mời</t>
  </si>
  <si>
    <t xml:space="preserve">1. Gửi lại lời mời cho {{email.new}}</t>
  </si>
  <si>
    <t xml:space="preserve">- {{email.new}} nhận thêm một email mời có link kích hoạt</t>
  </si>
  <si>
    <t xml:space="preserve">Link trong email cũ</t>
  </si>
  <si>
    <t xml:space="preserve">Kiểm tra link của email mời cũ sau khi gửi lại</t>
  </si>
  <si>
    <t xml:space="preserve">Chưa đăng nhập; {{user.cust_admin}} đã gửi lại lời mời cho {{email.new}}</t>
  </si>
  <si>
    <t xml:space="preserve">1. Mở link kích hoạt trong email mời cũ</t>
  </si>
  <si>
    <t xml:space="preserve">Link cũ còn dùng được không, hạn của link → Q-U-06</t>
  </si>
  <si>
    <t xml:space="preserve">Thu hồi</t>
  </si>
  <si>
    <t xml:space="preserve">Danh sách sau khi thu hồi</t>
  </si>
  <si>
    <t xml:space="preserve">Kiểm tra thu hồi lời mời</t>
  </si>
  <si>
    <t xml:space="preserve">1. Thu hồi lời mời của {{email.new}}
2. Xem danh sách người dùng</t>
  </si>
  <si>
    <t xml:space="preserve">Người bị thu hồi còn trong danh sách không → Q-U-07</t>
  </si>
  <si>
    <t xml:space="preserve">Mở link của lời mời đã thu hồi</t>
  </si>
  <si>
    <t xml:space="preserve">Kiểm tra kích hoạt bằng link của lời mời đã thu hồi</t>
  </si>
  <si>
    <t xml:space="preserve">Chưa đăng nhập; {{user.cust_admin}} đã thu hồi lời mời của {{email.new}}</t>
  </si>
  <si>
    <t xml:space="preserve">1. Mở link kích hoạt trong email mời
2. Thử hoàn tất kích hoạt
3. Thử đăng nhập bằng {{email.new}}</t>
  </si>
  <si>
    <t xml:space="preserve">- Không kích hoạt được tài khoản
- Không đăng nhập được bằng {{email.new}}</t>
  </si>
  <si>
    <t xml:space="preserve">Màn hình hiện gì → Q-U-07</t>
  </si>
  <si>
    <t xml:space="preserve">Customer User → Customer Admin</t>
  </si>
  <si>
    <t xml:space="preserve">Kiểm tra đổi Customer User thành Customer Admin</t>
  </si>
  <si>
    <t xml:space="preserve">1. Mở chi tiết {{user.cust_user}}
2. Đổi vai trò thành Customer Admin
3. Lưu</t>
  </si>
  <si>
    <t xml:space="preserve">- Chi tiết và danh sách hiện vai trò Customer Admin cho {{user.cust_user}}</t>
  </si>
  <si>
    <t>USR-04</t>
  </si>
  <si>
    <t xml:space="preserve">Quyền mới sau khi đăng nhập lại</t>
  </si>
  <si>
    <t xml:space="preserve">Kiểm tra quyền của người vừa được đổi thành Customer Admin</t>
  </si>
  <si>
    <t xml:space="preserve">Chưa đăng nhập; {{user.cust_admin}} vừa đổi {{user.cust_user}} thành Customer Admin</t>
  </si>
  <si>
    <t xml:space="preserve">1. Đăng nhập {{user.cust_user}}
2. Mở Users ở mục Administration
3. Mở màn Scopes</t>
  </si>
  <si>
    <t xml:space="preserve">- Bước 2 mở được danh sách người dùng của tenant A
- Bước 3 thấy mọi scope của tenant A, kể cả {{scope.org}}</t>
  </si>
  <si>
    <t xml:space="preserve">Phiên đang mở của người bị đổi</t>
  </si>
  <si>
    <t xml:space="preserve">Kiểm tra quyền mới với phiên đang mở của người bị đổi vai trò</t>
  </si>
  <si>
    <t xml:space="preserve">Đăng nhập {{user.cust_user}} ở trình duyệt thứ nhất; {{user.cust_admin}} đổi {{user.cust_user}} thành Customer Viewer ở trình duyệt thứ hai</t>
  </si>
  <si>
    <t xml:space="preserve">1. Ở trình duyệt thứ nhất, tải lại trang
2. Thao tác trên scope {{scope.sys}}</t>
  </si>
  <si>
    <t xml:space="preserve">Đổi vai trò có hiệu lực ngay hay từ lần đăng nhập sau → Q-U-08</t>
  </si>
  <si>
    <t xml:space="preserve">Hạ một Customer Admin khi còn admin khác</t>
  </si>
  <si>
    <t xml:space="preserve">Kiểm tra hạ vai trò một Customer Admin khi tenant còn Customer Admin khác</t>
  </si>
  <si>
    <t xml:space="preserve">Đăng nhập {{user.cust_admin}}; tenant A có thêm {{user.cust_admin_2}}</t>
  </si>
  <si>
    <t xml:space="preserve">1. Mở chi tiết {{user.cust_admin_2}}
2. Đổi vai trò thành Customer User, lưu</t>
  </si>
  <si>
    <t xml:space="preserve">- {{user.cust_admin_2}} hiện vai trò Customer User
- Tenant A vẫn có {{user.cust_admin}} là Customer Admin</t>
  </si>
  <si>
    <t xml:space="preserve">SGS Consultant → SGS Admin</t>
  </si>
  <si>
    <t xml:space="preserve">Kiểm tra SGS Admin đổi vai trò của SGS Consultant</t>
  </si>
  <si>
    <t xml:space="preserve">1. Mở chi tiết {{user.consultant}}
2. Đổi vai trò thành SGS Admin, lưu</t>
  </si>
  <si>
    <t xml:space="preserve">- {{user.consultant}} hiện vai trò SGS Admin</t>
  </si>
  <si>
    <t xml:space="preserve">Customer Admin cuối cùng</t>
  </si>
  <si>
    <t xml:space="preserve">Kiểm tra không đổi được vai trò của Customer Admin cuối cùng</t>
  </si>
  <si>
    <t xml:space="preserve">Đăng nhập {{user.cust_admin}}; tenant A chỉ có {{user.cust_admin}} là Customer Admin</t>
  </si>
  <si>
    <t xml:space="preserve">1. Mở chi tiết {{user.cust_admin}}
2. Đổi vai trò thành Customer User, lưu</t>
  </si>
  <si>
    <t xml:space="preserve">- Vai trò không đổi, tenant A vẫn có {{user.cust_admin}} là Customer Admin</t>
  </si>
  <si>
    <t xml:space="preserve">Chặn ở bước nào, text thông báo → Q-U-04; tự đổi vai trò của mình → Q-U-09</t>
  </si>
  <si>
    <t xml:space="preserve">Đóng mà không lưu</t>
  </si>
  <si>
    <t xml:space="preserve">Kiểm tra đổi vai trò rồi đóng mà không lưu</t>
  </si>
  <si>
    <t xml:space="preserve">1. Mở chi tiết {{user.cust_user}}
2. Chọn vai trò Customer Viewer
3. Đóng, không lưu</t>
  </si>
  <si>
    <t xml:space="preserve">- Vai trò của {{user.cust_user}} vẫn là Customer User</t>
  </si>
  <si>
    <t xml:space="preserve">Tự đổi vai trò</t>
  </si>
  <si>
    <t xml:space="preserve">Còn Customer Admin khác</t>
  </si>
  <si>
    <t xml:space="preserve">Kiểm tra Customer Admin tự đổi vai trò của mình khi còn admin khác</t>
  </si>
  <si>
    <t xml:space="preserve">Có cho tự đổi vai trò không → Q-U-09</t>
  </si>
  <si>
    <t xml:space="preserve">SGS Admin với người dùng khách</t>
  </si>
  <si>
    <t xml:space="preserve">Người dùng của tenant A</t>
  </si>
  <si>
    <t xml:space="preserve">Kiểm tra SGS Admin đổi vai trò người dùng của khách hàng</t>
  </si>
  <si>
    <t xml:space="preserve">Đăng nhập {{user.sgs_admin}} ở SGS Portal; tenant A cùng affiliate</t>
  </si>
  <si>
    <t xml:space="preserve">1. Mở chi tiết {{user.cust_user}}
2. Tìm thao tác đổi vai trò</t>
  </si>
  <si>
    <t xml:space="preserve">SGS Admin có mời, đổi vai trò người dùng khách không → Q-U-10</t>
  </si>
  <si>
    <t xml:space="preserve">Từ chi tiết người dùng</t>
  </si>
  <si>
    <t xml:space="preserve">Kiểm tra cấp scope cho Customer User từ chi tiết người dùng</t>
  </si>
  <si>
    <t xml:space="preserve">Đăng nhập {{user.cust_admin}}; {{user.cust_user}} đang có {{scope.sys}}</t>
  </si>
  <si>
    <t xml:space="preserve">1. Mở chi tiết {{user.cust_user}}
2. Cấp thêm {{scope.org}}, lưu</t>
  </si>
  <si>
    <t xml:space="preserve">- Phần quyền theo scope có {{scope.org}} và {{scope.sys}}</t>
  </si>
  <si>
    <t>USR-05</t>
  </si>
  <si>
    <t xml:space="preserve">Người được cấp thấy scope</t>
  </si>
  <si>
    <t xml:space="preserve">Kiểm tra người vừa được cấp thấy scope</t>
  </si>
  <si>
    <t xml:space="preserve">Chưa đăng nhập; {{user.cust_admin}} vừa cấp {{scope.org}} cho {{user.cust_user}}</t>
  </si>
  <si>
    <t xml:space="preserve">1. Đăng nhập {{user.cust_user}}
2. Mở màn Scopes</t>
  </si>
  <si>
    <t xml:space="preserve">- Danh sách có {{scope.org}} và {{scope.sys}}</t>
  </si>
  <si>
    <t xml:space="preserve">Người được cấp thấy workspace</t>
  </si>
  <si>
    <t xml:space="preserve">Kiểm tra người vừa được cấp thấy workspace của scope</t>
  </si>
  <si>
    <t xml:space="preserve">Chưa đăng nhập; {{user.cust_admin}} vừa cấp {{scope.org}} cho {{user.cust_user}}; {{scope.org}} có {{wsp.org}}</t>
  </si>
  <si>
    <t xml:space="preserve">1. Đăng nhập {{user.cust_user}}
2. Mở danh sách workspace</t>
  </si>
  <si>
    <t xml:space="preserve">- Danh sách có {{wsp.org}}</t>
  </si>
  <si>
    <t xml:space="preserve">Khối Users ở chi tiết scope</t>
  </si>
  <si>
    <t xml:space="preserve">Kiểm tra người vừa được cấp hiện ở khối Users của scope</t>
  </si>
  <si>
    <t xml:space="preserve">Đăng nhập {{user.cust_admin}}; vừa cấp {{scope.org}} cho {{user.cust_user}}</t>
  </si>
  <si>
    <t xml:space="preserve">1. Mở chi tiết {{scope.org}}
2. Xem khối Users</t>
  </si>
  <si>
    <t xml:space="preserve">- Có dòng {{user.cust_user}}, Role Customer User, Given là ngày hôm nay</t>
  </si>
  <si>
    <t xml:space="preserve">Cấp cho người chưa kích hoạt</t>
  </si>
  <si>
    <t xml:space="preserve">Kiểm tra người được cấp scope khi chưa kích hoạt</t>
  </si>
  <si>
    <t xml:space="preserve">1. Cấp {{scope.org}} cho {{email.new}}
2. {{email.new}} kích hoạt tài khoản rồi đăng nhập
3. Mở màn Scopes</t>
  </si>
  <si>
    <t xml:space="preserve">- Sau khi kích hoạt, danh sách có {{scope.org}}</t>
  </si>
  <si>
    <t xml:space="preserve">Kiểm tra chọn scope rồi đóng mà không lưu</t>
  </si>
  <si>
    <t xml:space="preserve">1. Mở chi tiết {{user.cust_user}}
2. Chọn thêm {{scope.org}}
3. Đóng, không lưu</t>
  </si>
  <si>
    <t xml:space="preserve">- Phần quyền theo scope vẫn chỉ có {{scope.sys}}</t>
  </si>
  <si>
    <t xml:space="preserve">Kiểm tra gỡ scope của Customer User</t>
  </si>
  <si>
    <t xml:space="preserve">1. Mở chi tiết {{user.cust_user}}
2. Gỡ {{scope.sys}}, lưu</t>
  </si>
  <si>
    <t xml:space="preserve">- Phần quyền theo scope không còn {{scope.sys}}</t>
  </si>
  <si>
    <t xml:space="preserve">Có hỏi xác nhận khi gỡ không → Q-S-23</t>
  </si>
  <si>
    <t xml:space="preserve">Người bị gỡ không còn thấy scope</t>
  </si>
  <si>
    <t xml:space="preserve">Kiểm tra người bị gỡ không còn thấy scope</t>
  </si>
  <si>
    <t xml:space="preserve">Chưa đăng nhập; {{user.cust_admin}} vừa gỡ {{scope.sys}} của {{user.cust_user}}</t>
  </si>
  <si>
    <t xml:space="preserve">1. Đăng nhập {{user.cust_user}}
2. Mở màn Scopes
3. Mở {{url.app}}/scopes/&lt;mã của {{scope.sys}}&gt;</t>
  </si>
  <si>
    <t xml:space="preserve">- Danh sách không có {{scope.sys}}
- Bước 3 không hiển thị nội dung của {{scope.sys}}</t>
  </si>
  <si>
    <t xml:space="preserve">Bước 3 hiện trang gì → Q-S-26</t>
  </si>
  <si>
    <t xml:space="preserve">Người bị gỡ không còn thấy workspace</t>
  </si>
  <si>
    <t xml:space="preserve">Kiểm tra người bị gỡ không còn thấy workspace của scope</t>
  </si>
  <si>
    <t xml:space="preserve">Chưa đăng nhập; {{user.cust_admin}} vừa gỡ {{scope.sys}} của {{user.cust_user}}; {{scope.sys}} có {{wsp.sys}}</t>
  </si>
  <si>
    <t xml:space="preserve">- Danh sách không có {{wsp.sys}}</t>
  </si>
  <si>
    <t xml:space="preserve">Kiểm tra bỏ chọn scope rồi đóng mà không lưu</t>
  </si>
  <si>
    <t xml:space="preserve">1. Mở chi tiết {{user.cust_user}}
2. Bỏ chọn {{scope.sys}}
3. Đóng, không lưu</t>
  </si>
  <si>
    <t xml:space="preserve">- Phần quyền theo scope vẫn có {{scope.sys}}</t>
  </si>
  <si>
    <t xml:space="preserve">Không cần cấp scope</t>
  </si>
  <si>
    <t xml:space="preserve">Kiểm tra quyền theo scope của Customer Admin</t>
  </si>
  <si>
    <t xml:space="preserve">1. Mở chi tiết {{user.cust_admin_2}}</t>
  </si>
  <si>
    <t xml:space="preserve">- Không có thao tác cấp quyền theo scope cho {{user.cust_admin_2}}</t>
  </si>
  <si>
    <t xml:space="preserve">Cấp scope cho Customer Viewer</t>
  </si>
  <si>
    <t xml:space="preserve">Kiểm tra cấp quyền theo scope cho Customer Viewer</t>
  </si>
  <si>
    <t xml:space="preserve">1. Mở chi tiết {{user.cust_viewer}}
2. Tìm thao tác cấp quyền theo scope</t>
  </si>
  <si>
    <t xml:space="preserve">USR-05 chỉ nói Customer User → Q-S-24</t>
  </si>
  <si>
    <t xml:space="preserve">Mở ma trận quyền</t>
  </si>
  <si>
    <t xml:space="preserve">Kiểm tra Customer Admin xem ma trận quyền</t>
  </si>
  <si>
    <t xml:space="preserve">1. Mở ma trận quyền của các vai trò</t>
  </si>
  <si>
    <t xml:space="preserve">- Hiển thị quyền của từng vai trò định sẵn
- Chỉ xem: không có thao tác thêm, sửa, xoá vai trò hay quyền</t>
  </si>
  <si>
    <t xml:space="preserve">Lối vào và các vai trò được hiển thị → Q-U-11</t>
  </si>
  <si>
    <t>ROL-02</t>
  </si>
  <si>
    <t xml:space="preserve">Kiểm tra SGS Admin xem ma trận quyền</t>
  </si>
  <si>
    <t>Menu</t>
  </si>
  <si>
    <t xml:space="preserve">Không có Users</t>
  </si>
  <si>
    <t xml:space="preserve">Kiểm tra menu của Customer User không có Users</t>
  </si>
  <si>
    <t xml:space="preserve">Đăng nhập {{user.cust_user}}</t>
  </si>
  <si>
    <t xml:space="preserve">1. Xem menu trái</t>
  </si>
  <si>
    <t xml:space="preserve">- Không có mục Users</t>
  </si>
  <si>
    <t xml:space="preserve">Mở trang người dùng bằng URL</t>
  </si>
  <si>
    <t>TC_053</t>
  </si>
  <si>
    <t xml:space="preserve">Kiểm tra Customer User mở danh sách người dùng bằng URL</t>
  </si>
  <si>
    <t xml:space="preserve">1. Mở {{url.users}}</t>
  </si>
  <si>
    <t xml:space="preserve">- Không hiển thị danh sách người dùng</t>
  </si>
  <si>
    <t xml:space="preserve">Hiện trang gì → Q-S-26; địa chỉ trang → Q-U-01</t>
  </si>
  <si>
    <t>ROL-01</t>
  </si>
  <si>
    <t>API</t>
  </si>
  <si>
    <t xml:space="preserve">Mời, đổi vai trò, cấp scope</t>
  </si>
  <si>
    <t>TC_054</t>
  </si>
  <si>
    <t xml:space="preserve">Kiểm tra Customer User gọi API quản lý người dùng</t>
  </si>
  <si>
    <t xml:space="preserve">1. Gọi API mời người dùng
2. Gọi API đổi vai trò của {{user.cust_viewer}}
3. Gọi API cấp {{scope.org}} cho chính mình</t>
  </si>
  <si>
    <t xml:space="preserve">- Cả ba bị từ chối (403), dữ liệu không đổi</t>
  </si>
  <si>
    <t xml:space="preserve">Menu và API</t>
  </si>
  <si>
    <t xml:space="preserve">Không có Users, API bị từ chối</t>
  </si>
  <si>
    <t>TC_055</t>
  </si>
  <si>
    <t xml:space="preserve">Kiểm tra Customer Viewer với quản lý người dùng</t>
  </si>
  <si>
    <t xml:space="preserve">Đăng nhập {{user.cust_viewer}}</t>
  </si>
  <si>
    <t xml:space="preserve">1. Xem menu trái
2. Gọi API danh sách người dùng và API mời người dùng</t>
  </si>
  <si>
    <t xml:space="preserve">- Không có mục Users
- Cả hai API bị từ chối (403)</t>
  </si>
  <si>
    <t xml:space="preserve">Không có quản lý người dùng</t>
  </si>
  <si>
    <t>TC_056</t>
  </si>
  <si>
    <t xml:space="preserve">Kiểm tra SGS Consultant với quản lý người dùng</t>
  </si>
  <si>
    <t xml:space="preserve">Đăng nhập {{user.consultant}} ở SGS Portal</t>
  </si>
  <si>
    <t xml:space="preserve">1. Xem menu
2. Gọi API danh sách người dùng và API mời người dùng</t>
  </si>
  <si>
    <t xml:space="preserve">- Không có mục quản lý người dùng
- Cả hai API bị từ chối (403)</t>
  </si>
  <si>
    <t xml:space="preserve">Chi tiết người dùng của tenant khác</t>
  </si>
  <si>
    <t>TC_057</t>
  </si>
  <si>
    <t xml:space="preserve">Kiểm tra mở chi tiết người dùng của tenant khác bằng URL</t>
  </si>
  <si>
    <t xml:space="preserve">Đăng nhập {{user.tenantB_admin}}</t>
  </si>
  <si>
    <t xml:space="preserve">1. Mở {{url.users}}/&lt;mã của {{user.cust_user}}&gt;</t>
  </si>
  <si>
    <t xml:space="preserve">- Không hiển thị dữ liệu của {{user.cust_user}}, giống như người dùng không tồn tại</t>
  </si>
  <si>
    <t xml:space="preserve">Đổi vai trò người dùng của tenant khác</t>
  </si>
  <si>
    <t>TC_058</t>
  </si>
  <si>
    <t xml:space="preserve">Kiểm tra gọi API đổi vai trò người dùng của tenant khác</t>
  </si>
  <si>
    <t xml:space="preserve">1. Gọi API đổi vai trò của {{user.cust_user}} thành Customer Admin</t>
  </si>
  <si>
    <t xml:space="preserve">- Trả 404 như người dùng không tồn tại
- Vai trò của {{user.cust_user}} không đổi</t>
  </si>
  <si>
    <t xml:space="preserve">Cấp scope của tenant khác</t>
  </si>
  <si>
    <t>TC_059</t>
  </si>
  <si>
    <t xml:space="preserve">Kiểm tra cấp scope của tenant khác cho người dùng của mình</t>
  </si>
  <si>
    <t xml:space="preserve">1. Gọi API cấp {{scope.b}} của tenant B cho {{user.cust_user}}</t>
  </si>
  <si>
    <t xml:space="preserve">- Trả 404 như scope không tồn tại
- Quyền theo scope của {{user.cust_user}} không đổi</t>
  </si>
  <si>
    <t xml:space="preserve">Người dùng của khách khác affiliate</t>
  </si>
  <si>
    <t>TC_060</t>
  </si>
  <si>
    <t xml:space="preserve">Kiểm tra SGS Admin xem người dùng của khách hàng khác affiliate</t>
  </si>
  <si>
    <t xml:space="preserve">Đăng nhập {{user.sgs_admin}} ở SGS Portal; tenant C khác affiliate</t>
  </si>
  <si>
    <t xml:space="preserve">1. Gọi API chi tiết {{user.cust_c}}</t>
  </si>
  <si>
    <t xml:space="preserve">- Không trả dữ liệu của {{user.cust_c}}</t>
  </si>
  <si>
    <t xml:space="preserve">Email chứa thẻ script</t>
  </si>
  <si>
    <t>TC_061</t>
  </si>
  <si>
    <t xml:space="preserve">Kiểm tra mời với email chứa mã độc</t>
  </si>
  <si>
    <t xml:space="preserve">1. Mở form mời người dùng
2. Nhập {{text.xss}} vào ô email, chọn vai trò Customer User
3. Gửi lời mời</t>
  </si>
  <si>
    <t xml:space="preserve">- Không gửi lời mời
- Không có hộp thoại hay đoạn mã nào được chạy</t>
  </si>
  <si>
    <t xml:space="preserve">Mời, đổi vai trò, cấp và gỡ scope</t>
  </si>
  <si>
    <t>TC_062</t>
  </si>
  <si>
    <t xml:space="preserve">Kiểm tra ghi audit cho thao tác quản lý người dùng</t>
  </si>
  <si>
    <t xml:space="preserve">1. Mời người dùng, đổi vai trò, cấp rồi gỡ scope
2. Mở nhật ký hoạt động của tổ chức</t>
  </si>
  <si>
    <t xml:space="preserve">Các thao tác này có phải ghi audit không → Q-U-12</t>
  </si>
  <si>
    <t>AUD-01</t>
  </si>
  <si>
    <t xml:space="preserve">PRF-L0001_Ngôn ngữ hiển thị</t>
  </si>
  <si>
    <t xml:space="preserve">Profile (tên tạm) · Customer Portal, SGS Portal</t>
  </si>
  <si>
    <t xml:space="preserve">UC List v4 (02/10/2026) · PRF-01 · chưa có Figma trang 02: vị trí chỗ đổi ngôn ngữ chờ đối chiếu</t>
  </si>
  <si>
    <t xml:space="preserve">Sau khi đăng nhập</t>
  </si>
  <si>
    <t xml:space="preserve">Kiểm tra chỗ đổi ngôn ngữ sau khi đăng nhập</t>
  </si>
  <si>
    <t xml:space="preserve">1. Mở chỗ đổi ngôn ngữ</t>
  </si>
  <si>
    <t xml:space="preserve">- Có hai lựa chọn: English và 繁體中文</t>
  </si>
  <si>
    <t xml:space="preserve">Chỗ đổi ngôn ngữ nằm ở đâu → Q-P-01</t>
  </si>
  <si>
    <t>PRF-01</t>
  </si>
  <si>
    <t xml:space="preserve">Chọn 繁體中文</t>
  </si>
  <si>
    <t xml:space="preserve">Nhãn giao diện</t>
  </si>
  <si>
    <t xml:space="preserve">Kiểm tra giao diện sau khi chọn 繁體中文</t>
  </si>
  <si>
    <t xml:space="preserve">Đăng nhập {{user.cust_user}}, ngôn ngữ đang là English</t>
  </si>
  <si>
    <t xml:space="preserve">1. Đổi ngôn ngữ sang 繁體中文
2. Mở màn Scopes</t>
  </si>
  <si>
    <t xml:space="preserve">- Menu, tiêu đề, nút hiển thị bằng tiếng Trung phồn thể</t>
  </si>
  <si>
    <t xml:space="preserve">Chọn English</t>
  </si>
  <si>
    <t xml:space="preserve">Đổi lại English</t>
  </si>
  <si>
    <t xml:space="preserve">Kiểm tra đổi lại English</t>
  </si>
  <si>
    <t xml:space="preserve">Đăng nhập {{user.cust_user}}, ngôn ngữ đang là 繁體中文</t>
  </si>
  <si>
    <t xml:space="preserve">1. Đổi ngôn ngữ sang English</t>
  </si>
  <si>
    <t xml:space="preserve">- Menu, tiêu đề, nút hiển thị bằng tiếng Anh</t>
  </si>
  <si>
    <t xml:space="preserve">Có bản dịch</t>
  </si>
  <si>
    <t xml:space="preserve">Tiêu đề và mô tả requirement</t>
  </si>
  <si>
    <t xml:space="preserve">Kiểm tra nội dung framework hiển thị bằng 繁體中文</t>
  </si>
  <si>
    <t xml:space="preserve">Đăng nhập {{user.cust_user}}, ngôn ngữ 繁體中文; {{wsp.sys}} dùng {{fwk.zh}} có nội dung tiếng Trung</t>
  </si>
  <si>
    <t xml:space="preserve">1. Mở cây requirement của {{wsp.sys}}
2. Mở chi tiết một requirement</t>
  </si>
  <si>
    <t xml:space="preserve">- Tiêu đề và mô tả requirement hiển thị bản 繁體中文</t>
  </si>
  <si>
    <t xml:space="preserve">Chưa có bản dịch</t>
  </si>
  <si>
    <t xml:space="preserve">Quay về tiếng Anh</t>
  </si>
  <si>
    <t xml:space="preserve">Kiểm tra nội dung chưa có bản dịch</t>
  </si>
  <si>
    <t xml:space="preserve">Đăng nhập {{user.cust_user}}, ngôn ngữ 繁體中文; requirement {{req.no_zh}} chưa có bản tiếng Trung</t>
  </si>
  <si>
    <t xml:space="preserve">1. Mở chi tiết {{req.no_zh}}</t>
  </si>
  <si>
    <t xml:space="preserve">- Tiêu đề và mô tả của {{req.no_zh}} hiển thị bằng tiếng Anh</t>
  </si>
  <si>
    <t>Mã</t>
  </si>
  <si>
    <t xml:space="preserve">Mã không dịch</t>
  </si>
  <si>
    <t xml:space="preserve">Kiểm tra mã framework và mã requirement không bị dịch</t>
  </si>
  <si>
    <t xml:space="preserve">Đăng nhập {{user.cust_user}}; {{wsp.sys}} dùng {{fwk.zh}}</t>
  </si>
  <si>
    <t xml:space="preserve">1. Xem mã framework và mã requirement khi để English
2. Đổi sang 繁體中文, xem lại</t>
  </si>
  <si>
    <t xml:space="preserve">- Mã framework và mã requirement giữ nguyên ở cả hai ngôn ngữ</t>
  </si>
  <si>
    <t xml:space="preserve">Đăng nhập lại</t>
  </si>
  <si>
    <t xml:space="preserve">Giữ 繁體中文</t>
  </si>
  <si>
    <t xml:space="preserve">Kiểm tra giữ ngôn ngữ sau khi đăng nhập lại</t>
  </si>
  <si>
    <t xml:space="preserve">Đăng nhập {{user.cust_user}}, đã chọn 繁體中文</t>
  </si>
  <si>
    <t xml:space="preserve">1. Đăng xuất
2. Đăng nhập lại {{user.cust_user}}</t>
  </si>
  <si>
    <t xml:space="preserve">- Giao diện hiển thị bằng 繁體中文 ngay sau khi đăng nhập</t>
  </si>
  <si>
    <t xml:space="preserve">Trình duyệt khác</t>
  </si>
  <si>
    <t xml:space="preserve">Kiểm tra giữ ngôn ngữ khi đăng nhập ở trình duyệt khác</t>
  </si>
  <si>
    <t xml:space="preserve">Đăng nhập {{user.cust_user}} ở trình duyệt thứ nhất, đã chọn 繁體中文</t>
  </si>
  <si>
    <t xml:space="preserve">1. Đăng nhập {{user.cust_user}} ở trình duyệt thứ hai</t>
  </si>
  <si>
    <t xml:space="preserve">- Giao diện hiển thị bằng 繁體中文</t>
  </si>
  <si>
    <t xml:space="preserve">Người dùng khác</t>
  </si>
  <si>
    <t xml:space="preserve">Không bị ảnh hưởng</t>
  </si>
  <si>
    <t xml:space="preserve">Kiểm tra lựa chọn ngôn ngữ không ảnh hưởng người dùng khác</t>
  </si>
  <si>
    <t xml:space="preserve">Đăng nhập {{user.cust_viewer}}, ngôn ngữ English; {{user.cust_user}} đã chọn 繁體中文</t>
  </si>
  <si>
    <t xml:space="preserve">1. Xem giao diện của {{user.cust_viewer}}</t>
  </si>
  <si>
    <t xml:space="preserve">- Giao diện vẫn bằng English</t>
  </si>
  <si>
    <t xml:space="preserve">Người dùng mới</t>
  </si>
  <si>
    <t xml:space="preserve">Ngôn ngữ mặc định</t>
  </si>
  <si>
    <t xml:space="preserve">Kiểm tra ngôn ngữ mặc định của người dùng mới</t>
  </si>
  <si>
    <t xml:space="preserve">Chưa đăng nhập; {{email.new}} vừa kích hoạt, chưa từng chọn ngôn ngữ</t>
  </si>
  <si>
    <t xml:space="preserve">1. Đăng nhập bằng {{email.new}}</t>
  </si>
  <si>
    <t xml:space="preserve">Mặc định là ngôn ngữ nào → Q-P-03</t>
  </si>
  <si>
    <t xml:space="preserve">Ngôn ngữ ở màn đăng nhập</t>
  </si>
  <si>
    <t xml:space="preserve">Khác ngôn ngữ đã lưu</t>
  </si>
  <si>
    <t xml:space="preserve">Kiểm tra khi chọn ở màn đăng nhập một ngôn ngữ khác ngôn ngữ đã lưu</t>
  </si>
  <si>
    <t xml:space="preserve">Chưa đăng nhập; {{user.cust_user}} đã lưu 繁體中文</t>
  </si>
  <si>
    <t xml:space="preserve">1. Ở màn đăng nhập chọn English
2. Đăng nhập {{user.cust_user}}</t>
  </si>
  <si>
    <t xml:space="preserve">Sau khi đăng nhập dùng ngôn ngữ nào → Q-P-02</t>
  </si>
  <si>
    <t xml:space="preserve">Đổi ngôn ngữ ở SGS Portal</t>
  </si>
  <si>
    <t xml:space="preserve">Kiểm tra SGS Admin đổi ngôn ngữ</t>
  </si>
  <si>
    <t xml:space="preserve">1. Đổi ngôn ngữ sang 繁體中文
2. Mở danh sách khách hàng</t>
  </si>
  <si>
    <t xml:space="preserve">- Giao diện SGS Portal hiển thị bằng 繁體中文</t>
  </si>
  <si>
    <t xml:space="preserve">Đổi ngôn ngữ</t>
  </si>
  <si>
    <t xml:space="preserve">Kiểm tra Customer Viewer đổi ngôn ngữ</t>
  </si>
  <si>
    <t xml:space="preserve">1. Đổi ngôn ngữ sang 繁體中文</t>
  </si>
  <si>
    <t>Sheet</t>
  </si>
  <si>
    <t xml:space="preserve">Câu hỏi</t>
  </si>
  <si>
    <t xml:space="preserve">Căn cứ, vì sao cần hỏi</t>
  </si>
  <si>
    <t xml:space="preserve">TC liên quan</t>
  </si>
  <si>
    <t xml:space="preserve">Đề xuất mặc định</t>
  </si>
  <si>
    <t>Mức</t>
  </si>
  <si>
    <t xml:space="preserve">Trạng thái</t>
  </si>
  <si>
    <t>Q-U-01</t>
  </si>
  <si>
    <t xml:space="preserve">Lối vào và tên mục menu quản lý người dùng ở Customer Portal và SGS Portal; địa chỉ trang ({{url.users}}).</t>
  </si>
  <si>
    <t xml:space="preserve">Chưa có Figma trang 02. Customer Portal tạm theo prototype của Scopes (Scopes Scope_123: Users ở mục Administration).</t>
  </si>
  <si>
    <t xml:space="preserve">Users TC_001, TC_002, TC_053</t>
  </si>
  <si>
    <t xml:space="preserve">Theo Figma khi có.</t>
  </si>
  <si>
    <t>NHỎ</t>
  </si>
  <si>
    <t>Mở</t>
  </si>
  <si>
    <t>Q-U-02</t>
  </si>
  <si>
    <t xml:space="preserve">SGS Admin thấy người dùng SGS của mọi affiliate hay chỉ affiliate của mình?</t>
  </si>
  <si>
    <t xml:space="preserve">USR-01 (P1 Use Cases!R14): "SGS users and affiliate customers for SGS Admin" — chỉ nói rõ phạm vi với người dùng khách.</t>
  </si>
  <si>
    <t xml:space="preserve">Users TC_005</t>
  </si>
  <si>
    <t xml:space="preserve">Chỉ affiliate của mình, giống phạm vi khách hàng.</t>
  </si>
  <si>
    <t xml:space="preserve">QUAN TRỌNG</t>
  </si>
  <si>
    <t>Q-U-03</t>
  </si>
  <si>
    <t xml:space="preserve">Người dùng có những trạng thái nào (chờ kích hoạt, đã kích hoạt…), hiển thị ở danh sách và chi tiết ra sao? Chi tiết người dùng có những trường hồ sơ nào?</t>
  </si>
  <si>
    <t xml:space="preserve">USR-02 (R15) có "profile, status" nhưng không liệt kê; sửa, khoá người dùng đã dời sang P2 (P2-USR-01).</t>
  </si>
  <si>
    <t xml:space="preserve">Users TC_006, TC_007, TC_008, TC_014</t>
  </si>
  <si>
    <t xml:space="preserve">Hai trạng thái: chờ kích hoạt và đã kích hoạt.</t>
  </si>
  <si>
    <t>Q-U-04</t>
  </si>
  <si>
    <t xml:space="preserve">Text thông báo của form mời (bỏ trống email, sai định dạng, chưa chọn vai trò) và khi đổi vai trò Customer Admin cuối cùng; tiêu đề, nội dung email mời.</t>
  </si>
  <si>
    <t xml:space="preserve">Chưa có Figma trang 02 và mẫu email.</t>
  </si>
  <si>
    <t xml:space="preserve">Users TC_012, TC_018, TC_019, TC_020, TC_034</t>
  </si>
  <si>
    <t xml:space="preserve">Theo Figma và mẫu email khi có.</t>
  </si>
  <si>
    <t>Q-U-05</t>
  </si>
  <si>
    <t xml:space="preserve">Mời một email đã có: (a) đã là người dùng của tenant, (b) đang chờ kích hoạt, (c) là người dùng của tenant khác — xử lý thế nào?</t>
  </si>
  <si>
    <t xml:space="preserve">USR-03 (R16) không nói về email trùng.</t>
  </si>
  <si>
    <t xml:space="preserve">Users TC_021, TC_022, TC_023</t>
  </si>
  <si>
    <t xml:space="preserve">(a), (b): chặn và báo email đã có; (c): chặn, vì phiên đăng nhập chỉ gắn với một tenant (AUTH-01, R3).</t>
  </si>
  <si>
    <t>Q-U-06</t>
  </si>
  <si>
    <t xml:space="preserve">Gửi lại lời mời thì link trong email cũ còn dùng được không? Link mời có hạn bao lâu?</t>
  </si>
  <si>
    <t xml:space="preserve">USR-03 (R16) có gửi lại; AUTH-03 (R5) nói link dùng một lần và có hạn, không nói thời hạn.</t>
  </si>
  <si>
    <t xml:space="preserve">Users TC_026</t>
  </si>
  <si>
    <t xml:space="preserve">Link cũ hết hiệu lực khi gửi lại; hạn 7 ngày.</t>
  </si>
  <si>
    <t>Q-U-07</t>
  </si>
  <si>
    <t xml:space="preserve">Thu hồi lời mời thì người đó còn trong danh sách không? Mở link của lời mời đã thu hồi thì hiện gì?</t>
  </si>
  <si>
    <t xml:space="preserve">USR-03 (R16) có thu hồi, không nói kết quả.</t>
  </si>
  <si>
    <t xml:space="preserve">Users TC_027, TC_028</t>
  </si>
  <si>
    <t xml:space="preserve">Bỏ khỏi danh sách; link hiện thông báo giống link hết hạn.</t>
  </si>
  <si>
    <t>Q-U-08</t>
  </si>
  <si>
    <t xml:space="preserve">Đổi vai trò có hiệu lực ngay với phiên đang mở của người bị đổi, hay từ lần đăng nhập sau?</t>
  </si>
  <si>
    <t xml:space="preserve">AUTH-01 (R3): vai trò được xác định khi tạo phiên; ROL-01 (R19): kiểm quyền ở mọi API và màn hình.</t>
  </si>
  <si>
    <t xml:space="preserve">Users TC_031</t>
  </si>
  <si>
    <t xml:space="preserve">Có hiệu lực ngay từ lần gọi API kế tiếp.</t>
  </si>
  <si>
    <t>Q-U-09</t>
  </si>
  <si>
    <t xml:space="preserve">Customer Admin có tự đổi vai trò của chính mình được không khi tenant còn Customer Admin khác?</t>
  </si>
  <si>
    <t xml:space="preserve">USR-04 (R17) chỉ có quy tắc tenant luôn còn ít nhất một Customer Admin.</t>
  </si>
  <si>
    <t xml:space="preserve">Users TC_034, TC_036</t>
  </si>
  <si>
    <t xml:space="preserve">Không cho tự đổi.</t>
  </si>
  <si>
    <t>Q-U-10</t>
  </si>
  <si>
    <t xml:space="preserve">SGS Admin có mời, đổi vai trò người dùng của khách hàng cùng affiliate không?</t>
  </si>
  <si>
    <t xml:space="preserve">USR-01 (R14) cho SGS Admin thấy người dùng khách; USR-03 (R16) chỉ cho SGS Admin mời vai trò SGS; USR-04 (R17) không nói.</t>
  </si>
  <si>
    <t xml:space="preserve">Users TC_037</t>
  </si>
  <si>
    <t xml:space="preserve">Chỉ xem, không mời và không đổi vai trò người dùng khách.</t>
  </si>
  <si>
    <t>Q-U-11</t>
  </si>
  <si>
    <t xml:space="preserve">Ma trận quyền nằm ở đâu? Customer Admin và SGS Admin thấy những vai trò nào?</t>
  </si>
  <si>
    <t xml:space="preserve">ROL-02 (R20) chỉ nói xem quyền của từng vai trò định sẵn. Nếu ma trận nằm ở menu riêng thì tách thành sheet riêng.</t>
  </si>
  <si>
    <t xml:space="preserve">Users TC_050, TC_051</t>
  </si>
  <si>
    <t xml:space="preserve">Customer Admin thấy 3 vai trò khách hàng; SGS Admin thấy cả 5 vai trò.</t>
  </si>
  <si>
    <t>Q-U-12</t>
  </si>
  <si>
    <t xml:space="preserve">Mời người dùng, đổi vai trò, cấp hoặc gỡ scope có phải ghi audit không?</t>
  </si>
  <si>
    <t xml:space="preserve">AUD-01 (R117) ghi "sensitive actions" nhưng không liệt kê.</t>
  </si>
  <si>
    <t xml:space="preserve">Users TC_062</t>
  </si>
  <si>
    <t xml:space="preserve">Có ghi; Customer Admin thấy trong nhật ký hoạt động (AUD-03).</t>
  </si>
  <si>
    <t>Q-P-01</t>
  </si>
  <si>
    <t xml:space="preserve">Sau khi đăng nhập, đổi ngôn ngữ ở đâu (trang hồ sơ hay thanh trên cùng)? Tên sheet đặt theo chỗ đó.</t>
  </si>
  <si>
    <t xml:space="preserve">Chưa có Figma trang 02; PRF-01 (R127) không nói vị trí. Tên sheet Profile đang là tên tạm.</t>
  </si>
  <si>
    <t xml:space="preserve">Profile TC_001</t>
  </si>
  <si>
    <t xml:space="preserve">Theo Figma.</t>
  </si>
  <si>
    <t>Q-P-02</t>
  </si>
  <si>
    <t xml:space="preserve">Chọn ở màn đăng nhập một ngôn ngữ khác ngôn ngữ người dùng đã lưu: sau khi đăng nhập dùng ngôn ngữ nào?</t>
  </si>
  <si>
    <t xml:space="preserve">PRF-01 (R127): lưu theo người dùng, áp dụng sau khi đăng nhập; màn đăng nhập cũng có bộ chọn ngôn ngữ (Login, Q-L-08).</t>
  </si>
  <si>
    <t xml:space="preserve">Profile TC_011</t>
  </si>
  <si>
    <t xml:space="preserve">Dùng ngôn ngữ đã lưu của người dùng.</t>
  </si>
  <si>
    <t>Q-P-03</t>
  </si>
  <si>
    <t xml:space="preserve">Người dùng chưa từng chọn ngôn ngữ thì mặc định là ngôn ngữ nào?</t>
  </si>
  <si>
    <t xml:space="preserve">PRF-01 (R127) không nói.</t>
  </si>
  <si>
    <t xml:space="preserve">Profile TC_010</t>
  </si>
  <si>
    <t>English.</t>
  </si>
  <si>
    <t>Q-S-23</t>
  </si>
  <si>
    <t xml:space="preserve">Scopes, Users</t>
  </si>
  <si>
    <t xml:space="preserve">Gỡ quyền theo scope có hỏi xác nhận không?</t>
  </si>
  <si>
    <t xml:space="preserve">Câu đã có ở Scopes. Phần "thu hồi có thuộc USR-006 không" đã được UC List v4 trả lời: USR-05 (R18) có "Grant or remove".</t>
  </si>
  <si>
    <t xml:space="preserve">Users TC_044</t>
  </si>
  <si>
    <t>—</t>
  </si>
  <si>
    <t>Q-S-24</t>
  </si>
  <si>
    <t xml:space="preserve">Customer Viewer có được cấp quyền theo scope, có xem được scope không?</t>
  </si>
  <si>
    <t xml:space="preserve">Câu đã có ở Scopes; dùng lại cho Users.</t>
  </si>
  <si>
    <t xml:space="preserve">Users TC_049</t>
  </si>
  <si>
    <t>Q-S-26</t>
  </si>
  <si>
    <t xml:space="preserve">Mở bằng URL một trang không có quyền, hoặc dữ liệu của tenant khác, thì hiện trang gì?</t>
  </si>
  <si>
    <t xml:space="preserve">Câu đã có ở Scopes; dùng lại cho Users. ROL-01 (R19): tài nguyên của tenant khác trả 404 như không tồn tại.</t>
  </si>
  <si>
    <t xml:space="preserve">Users TC_045, TC_053, TC_057</t>
  </si>
  <si>
    <t>Q-S-28</t>
  </si>
  <si>
    <t xml:space="preserve">Danh sách scope có hiển thị What is in scope và What is out of scope của từng scope không?</t>
  </si>
  <si>
    <t xml:space="preserve">Hanna yêu cầu kiểm tra cả 4 thông tin (Type, Name, In scope, Out of scope) trên Danh sách sau khi tạo; Figma Screens 05 chỉ có cột Scope (kèm nhãn loại), Belongs to, Frameworks, Users, Evidence coverage.</t>
  </si>
  <si>
    <t xml:space="preserve">Scopes Scope_025, Scope_026, Scope_027</t>
  </si>
  <si>
    <t xml:space="preserve">Danh sách chỉ hiển thị Type và Name; In scope / Out of scope xem ở màn chi tiết.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</si>
</sst>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d\-mmm\-yyyy"/>
    <numFmt numFmtId="165" formatCode="0.0"/>
    <numFmt numFmtId="166" formatCode="0.0%"/>
  </numFmts>
  <fonts count="6">
    <font>
      <sz val="10.000000"/>
      <name val="Arial"/>
      <scheme val="minor"/>
    </font>
    <font>
      <sz val="10.000000"/>
      <color rgb="FF363A45"/>
      <name val="Times New Roman"/>
    </font>
    <font>
      <b/>
      <sz val="10.000000"/>
      <color rgb="FF363A45"/>
      <name val="Times New Roman"/>
    </font>
    <font>
      <sz val="10.000000"/>
      <color indexed="65"/>
      <name val="Times New Roman"/>
    </font>
    <font>
      <b/>
      <sz val="10.000000"/>
      <color indexed="65"/>
      <name val="Times New Roman"/>
    </font>
    <font>
      <sz val="10.000000"/>
      <color rgb="FFB8362B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BE9E7"/>
        <bgColor rgb="FFFBE9E7"/>
      </patternFill>
    </fill>
    <fill>
      <patternFill patternType="solid">
        <fgColor theme="0" tint="0"/>
        <bgColor theme="0" tint="0"/>
      </patternFill>
    </fill>
    <fill>
      <patternFill patternType="solid">
        <fgColor indexed="5"/>
        <bgColor indexed="5"/>
      </patternFill>
    </fill>
  </fills>
  <borders count="28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hair">
        <color auto="1"/>
      </bottom>
      <diagonal style="none"/>
    </border>
    <border>
      <left style="none"/>
      <right style="none"/>
      <top style="none"/>
      <bottom style="hair">
        <color auto="1"/>
      </bottom>
      <diagonal style="none"/>
    </border>
    <border>
      <left style="none"/>
      <right style="thin">
        <color auto="1"/>
      </right>
      <top style="hair">
        <color auto="1"/>
      </top>
      <bottom style="hair">
        <color auto="1"/>
      </bottom>
      <diagonal style="none"/>
    </border>
    <border>
      <left style="none"/>
      <right style="none"/>
      <top style="hair">
        <color auto="1"/>
      </top>
      <bottom style="hair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 style="none"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 style="none"/>
    </border>
    <border>
      <left style="hair">
        <color auto="1"/>
      </left>
      <right style="hair">
        <color auto="1"/>
      </right>
      <top style="none"/>
      <bottom style="hair">
        <color auto="1"/>
      </bottom>
      <diagonal style="none"/>
    </border>
    <border>
      <left style="hair">
        <color auto="1"/>
      </left>
      <right style="thin">
        <color auto="1"/>
      </right>
      <top style="none"/>
      <bottom style="hair">
        <color auto="1"/>
      </bottom>
      <diagonal style="none"/>
    </border>
    <border>
      <left style="hair">
        <color auto="1"/>
      </left>
      <right style="hair">
        <color auto="1"/>
      </right>
      <top style="none"/>
      <bottom style="thin">
        <color auto="1"/>
      </bottom>
      <diagonal style="none"/>
    </border>
    <border>
      <left style="hair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hair">
        <color auto="1"/>
      </left>
      <right style="hair">
        <color auto="1"/>
      </right>
      <top style="none"/>
      <bottom style="none"/>
      <diagonal style="none"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fontId="0" fillId="0" borderId="0" numFmtId="0" applyNumberFormat="1" applyFont="1" applyFill="1" applyBorder="1"/>
  </cellStyleXfs>
  <cellXfs count="105">
    <xf fontId="1" fillId="0" borderId="0" numFmtId="0" xfId="0" applyFont="1"/>
    <xf fontId="1" fillId="0" borderId="0" numFmtId="0" xfId="0" applyFont="1"/>
    <xf fontId="2" fillId="0" borderId="1" numFmtId="0" xfId="0" applyFont="1" applyBorder="1" applyAlignment="1">
      <alignment horizontal="center"/>
    </xf>
    <xf fontId="2" fillId="0" borderId="1" numFmtId="0" xfId="0" applyFont="1" applyBorder="1" applyAlignment="1">
      <alignment horizontal="center" vertical="center"/>
    </xf>
    <xf fontId="1" fillId="0" borderId="2" numFmtId="0" xfId="0" applyFont="1" applyBorder="1"/>
    <xf fontId="1" fillId="0" borderId="3" numFmtId="0" xfId="0" applyFont="1" applyBorder="1"/>
    <xf fontId="2" fillId="0" borderId="1" numFmtId="0" xfId="0" applyFont="1" applyBorder="1"/>
    <xf fontId="1" fillId="0" borderId="1" numFmtId="0" xfId="0" applyFont="1" applyBorder="1"/>
    <xf fontId="2" fillId="0" borderId="1" numFmtId="0" xfId="0" applyFont="1" applyBorder="1" applyAlignment="1">
      <alignment vertical="center"/>
    </xf>
    <xf fontId="1" fillId="0" borderId="4" numFmtId="0" xfId="0" applyFont="1" applyBorder="1"/>
    <xf fontId="1" fillId="0" borderId="5" numFmtId="0" xfId="0" applyFont="1" applyBorder="1"/>
    <xf fontId="1" fillId="0" borderId="1" numFmtId="164" xfId="0" applyNumberFormat="1" applyFont="1" applyBorder="1"/>
    <xf fontId="1" fillId="0" borderId="6" numFmtId="0" xfId="0" applyFont="1" applyBorder="1"/>
    <xf fontId="1" fillId="0" borderId="7" numFmtId="0" xfId="0" applyFont="1" applyBorder="1"/>
    <xf fontId="1" fillId="0" borderId="8" numFmtId="0" xfId="0" applyFont="1" applyBorder="1"/>
    <xf fontId="1" fillId="0" borderId="9" numFmtId="0" xfId="0" applyFont="1" applyBorder="1"/>
    <xf fontId="2" fillId="0" borderId="1" numFmtId="0" xfId="0" applyFont="1" applyBorder="1" applyAlignment="1">
      <alignment wrapText="1"/>
    </xf>
    <xf fontId="1" fillId="0" borderId="1" numFmtId="0" xfId="0" applyFont="1" applyBorder="1" applyAlignment="1">
      <alignment wrapText="1"/>
    </xf>
    <xf fontId="1" fillId="0" borderId="10" numFmtId="0" xfId="0" applyFont="1" applyBorder="1"/>
    <xf fontId="3" fillId="2" borderId="1" numFmtId="0" xfId="0" applyFont="1" applyFill="1" applyBorder="1" applyAlignment="1">
      <alignment horizontal="center" vertical="center"/>
    </xf>
    <xf fontId="1" fillId="0" borderId="11" numFmtId="0" xfId="0" applyFont="1" applyBorder="1"/>
    <xf fontId="1" fillId="0" borderId="12" numFmtId="164" xfId="0" applyNumberFormat="1" applyFont="1" applyBorder="1" applyAlignment="1">
      <alignment vertical="top" wrapText="1"/>
    </xf>
    <xf fontId="1" fillId="0" borderId="12" numFmtId="165" xfId="0" applyNumberFormat="1" applyFont="1" applyBorder="1" applyAlignment="1">
      <alignment horizontal="right" vertical="top"/>
    </xf>
    <xf fontId="1" fillId="0" borderId="12" numFmtId="0" xfId="0" applyFont="1" applyBorder="1" applyAlignment="1">
      <alignment vertical="top" wrapText="1"/>
    </xf>
    <xf fontId="1" fillId="0" borderId="12" numFmtId="0" xfId="0" applyFont="1" applyBorder="1" applyAlignment="1">
      <alignment horizontal="center" vertical="top"/>
    </xf>
    <xf fontId="1" fillId="0" borderId="13" numFmtId="0" xfId="0" applyFont="1" applyBorder="1" applyAlignment="1">
      <alignment vertical="center" wrapText="1"/>
    </xf>
    <xf fontId="1" fillId="0" borderId="14" numFmtId="164" xfId="0" applyNumberFormat="1" applyFont="1" applyBorder="1" applyAlignment="1">
      <alignment vertical="top" wrapText="1"/>
    </xf>
    <xf fontId="1" fillId="0" borderId="14" numFmtId="165" xfId="0" applyNumberFormat="1" applyFont="1" applyBorder="1" applyAlignment="1">
      <alignment horizontal="right" vertical="top"/>
    </xf>
    <xf fontId="1" fillId="0" borderId="14" numFmtId="0" xfId="0" applyFont="1" applyBorder="1" applyAlignment="1">
      <alignment vertical="top" wrapText="1"/>
    </xf>
    <xf fontId="1" fillId="0" borderId="14" numFmtId="0" xfId="0" applyFont="1" applyBorder="1" applyAlignment="1">
      <alignment horizontal="center" vertical="top"/>
    </xf>
    <xf fontId="1" fillId="0" borderId="15" numFmtId="0" xfId="0" applyFont="1" applyBorder="1" applyAlignment="1">
      <alignment vertical="center" wrapText="1"/>
    </xf>
    <xf fontId="2" fillId="0" borderId="0" numFmtId="0" xfId="0" applyFont="1" applyAlignment="1">
      <alignment horizontal="center"/>
    </xf>
    <xf fontId="1" fillId="0" borderId="14" numFmtId="0" xfId="0" applyFont="1" applyBorder="1"/>
    <xf fontId="1" fillId="0" borderId="15" numFmtId="0" xfId="0" applyFont="1" applyBorder="1"/>
    <xf fontId="2" fillId="0" borderId="0" numFmtId="0" xfId="0" applyFont="1"/>
    <xf fontId="1" fillId="0" borderId="16" numFmtId="0" xfId="0" applyFont="1" applyBorder="1" applyAlignment="1">
      <alignment vertical="center"/>
    </xf>
    <xf fontId="4" fillId="2" borderId="9" numFmtId="0" xfId="0" applyFont="1" applyFill="1" applyBorder="1" applyAlignment="1">
      <alignment horizontal="center" vertical="center"/>
    </xf>
    <xf fontId="4" fillId="2" borderId="1" numFmtId="0" xfId="0" applyFont="1" applyFill="1" applyBorder="1" applyAlignment="1">
      <alignment horizontal="center" vertical="center"/>
    </xf>
    <xf fontId="1" fillId="0" borderId="0" numFmtId="0" xfId="0" applyFont="1" applyAlignment="1">
      <alignment vertical="center"/>
    </xf>
    <xf fontId="4" fillId="2" borderId="1" numFmtId="0" xfId="0" applyFont="1" applyFill="1" applyBorder="1" applyAlignment="1">
      <alignment vertical="center"/>
    </xf>
    <xf fontId="4" fillId="2" borderId="1" numFmtId="0" xfId="0" applyFont="1" applyFill="1" applyBorder="1" applyAlignment="1">
      <alignment horizontal="center" vertical="center" wrapText="1"/>
    </xf>
    <xf fontId="1" fillId="0" borderId="1" numFmtId="0" xfId="0" applyFont="1" applyBorder="1" applyAlignment="1">
      <alignment horizontal="center" vertical="top"/>
    </xf>
    <xf fontId="1" fillId="0" borderId="1" numFmtId="0" xfId="0" applyFont="1" applyBorder="1" applyAlignment="1">
      <alignment vertical="center" wrapText="1"/>
    </xf>
    <xf fontId="1" fillId="0" borderId="1" numFmtId="9" xfId="0" applyNumberFormat="1" applyFont="1" applyBorder="1" applyAlignment="1">
      <alignment horizontal="center" vertical="center"/>
    </xf>
    <xf fontId="1" fillId="0" borderId="1" numFmtId="3" xfId="0" applyNumberFormat="1" applyFont="1" applyBorder="1" applyAlignment="1">
      <alignment horizontal="center" vertical="center"/>
    </xf>
    <xf fontId="1" fillId="0" borderId="17" numFmtId="0" xfId="0" applyFont="1" applyBorder="1"/>
    <xf fontId="4" fillId="2" borderId="1" numFmtId="0" xfId="0" applyFont="1" applyFill="1" applyBorder="1"/>
    <xf fontId="4" fillId="2" borderId="1" numFmtId="166" xfId="0" applyNumberFormat="1" applyFont="1" applyFill="1" applyBorder="1" applyAlignment="1">
      <alignment horizontal="center" vertical="center"/>
    </xf>
    <xf fontId="4" fillId="2" borderId="1" numFmtId="3" xfId="0" applyNumberFormat="1" applyFont="1" applyFill="1" applyBorder="1" applyAlignment="1">
      <alignment horizontal="center" vertical="center"/>
    </xf>
    <xf fontId="1" fillId="0" borderId="0" numFmtId="0" xfId="0" applyFont="1" applyAlignment="1">
      <alignment wrapText="1"/>
    </xf>
    <xf fontId="1" fillId="0" borderId="0" numFmtId="0" xfId="0" applyFont="1" applyAlignment="1">
      <alignment horizontal="center" wrapText="1"/>
    </xf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vertical="center" wrapText="1"/>
    </xf>
    <xf fontId="1" fillId="0" borderId="0" numFmtId="0" xfId="0" applyFont="1" applyAlignment="1">
      <alignment horizontal="left" vertical="center" wrapText="1"/>
    </xf>
    <xf fontId="4" fillId="2" borderId="1" numFmtId="0" xfId="0" applyFont="1" applyFill="1" applyBorder="1" applyAlignment="1">
      <alignment vertical="center" wrapText="1"/>
    </xf>
    <xf fontId="1" fillId="0" borderId="18" numFmtId="0" xfId="0" applyFont="1" applyBorder="1" applyAlignment="1">
      <alignment horizontal="left" vertical="center" wrapText="1"/>
    </xf>
    <xf fontId="1" fillId="0" borderId="19" numFmtId="0" xfId="0" applyFont="1" applyBorder="1" applyAlignment="1">
      <alignment vertical="center" wrapText="1"/>
    </xf>
    <xf fontId="4" fillId="2" borderId="1" numFmtId="0" xfId="0" applyFont="1" applyFill="1" applyBorder="1" applyAlignment="1">
      <alignment horizontal="left" vertical="center" wrapText="1"/>
    </xf>
    <xf fontId="1" fillId="0" borderId="20" numFmtId="0" xfId="0" applyFont="1" applyBorder="1" applyAlignment="1">
      <alignment horizontal="left" vertical="center" wrapText="1"/>
    </xf>
    <xf fontId="1" fillId="0" borderId="21" numFmtId="0" xfId="0" applyFont="1" applyBorder="1" applyAlignment="1">
      <alignment vertical="center" wrapText="1"/>
    </xf>
    <xf fontId="3" fillId="2" borderId="1" numFmtId="0" xfId="0" applyFont="1" applyFill="1" applyBorder="1" applyAlignment="1">
      <alignment horizontal="center" vertical="center" wrapText="1"/>
    </xf>
    <xf fontId="3" fillId="2" borderId="1" numFmtId="3" xfId="0" applyNumberFormat="1" applyFont="1" applyFill="1" applyBorder="1" applyAlignment="1">
      <alignment horizontal="center" vertical="center" wrapText="1"/>
    </xf>
    <xf fontId="3" fillId="2" borderId="1" numFmtId="3" xfId="0" applyNumberFormat="1" applyFont="1" applyFill="1" applyBorder="1" applyAlignment="1">
      <alignment horizontal="left" vertical="center" wrapText="1"/>
    </xf>
    <xf fontId="1" fillId="0" borderId="0" numFmtId="9" xfId="0" applyNumberFormat="1" applyFont="1" applyAlignment="1">
      <alignment vertical="center" wrapText="1"/>
    </xf>
    <xf fontId="3" fillId="2" borderId="1" numFmtId="9" xfId="0" applyNumberFormat="1" applyFont="1" applyFill="1" applyBorder="1" applyAlignment="1">
      <alignment horizontal="center" vertical="center" wrapText="1"/>
    </xf>
    <xf fontId="3" fillId="2" borderId="1" numFmtId="9" xfId="0" applyNumberFormat="1" applyFont="1" applyFill="1" applyBorder="1" applyAlignment="1">
      <alignment horizontal="left" vertical="center" wrapText="1"/>
    </xf>
    <xf fontId="1" fillId="0" borderId="20" numFmtId="14" xfId="0" applyNumberFormat="1" applyFont="1" applyBorder="1" applyAlignment="1">
      <alignment horizontal="left" vertical="center" wrapText="1"/>
    </xf>
    <xf fontId="1" fillId="0" borderId="22" numFmtId="0" xfId="0" applyFont="1" applyBorder="1" applyAlignment="1">
      <alignment vertical="center" wrapText="1"/>
    </xf>
    <xf fontId="1" fillId="0" borderId="23" numFmtId="0" xfId="0" applyFont="1" applyBorder="1" applyAlignment="1">
      <alignment vertical="center" wrapText="1"/>
    </xf>
    <xf fontId="4" fillId="2" borderId="0" numFmtId="0" xfId="0" applyFont="1" applyFill="1" applyAlignment="1">
      <alignment horizontal="center" vertical="center" wrapText="1"/>
    </xf>
    <xf fontId="4" fillId="2" borderId="24" numFmtId="0" xfId="0" applyFont="1" applyFill="1" applyBorder="1" applyAlignment="1">
      <alignment horizontal="center" vertical="center" wrapText="1"/>
    </xf>
    <xf fontId="4" fillId="2" borderId="24" numFmtId="0" xfId="0" applyFont="1" applyFill="1" applyBorder="1" applyAlignment="1">
      <alignment horizontal="left" vertical="center" wrapText="1"/>
    </xf>
    <xf fontId="4" fillId="2" borderId="17" numFmtId="0" xfId="0" applyFont="1" applyFill="1" applyBorder="1" applyAlignment="1">
      <alignment horizontal="center" vertical="center" wrapText="1"/>
    </xf>
    <xf fontId="1" fillId="0" borderId="20" numFmtId="0" xfId="0" applyFont="1" applyBorder="1" applyAlignment="1">
      <alignment horizontal="center" vertical="center" wrapText="1"/>
    </xf>
    <xf fontId="1" fillId="0" borderId="20" numFmtId="0" xfId="0" applyFont="1" applyBorder="1" applyAlignment="1" quotePrefix="1">
      <alignment horizontal="left" vertical="center" wrapText="1"/>
    </xf>
    <xf fontId="1" fillId="0" borderId="25" numFmtId="0" xfId="0" applyFont="1" applyBorder="1"/>
    <xf fontId="1" fillId="3" borderId="20" numFmtId="0" xfId="0" applyFont="1" applyFill="1" applyBorder="1" applyAlignment="1">
      <alignment horizontal="left" vertical="center" wrapText="1"/>
    </xf>
    <xf fontId="5" fillId="3" borderId="20" numFmtId="0" xfId="0" applyFont="1" applyFill="1" applyBorder="1" applyAlignment="1">
      <alignment horizontal="left" vertical="center" wrapText="1"/>
    </xf>
    <xf fontId="1" fillId="0" borderId="20" numFmtId="0" xfId="0" applyFont="1" applyBorder="1"/>
    <xf fontId="1" fillId="0" borderId="0" numFmtId="0" xfId="0" applyFont="1" applyAlignment="1">
      <alignment horizontal="center"/>
    </xf>
    <xf fontId="1" fillId="4" borderId="20" numFmtId="0" xfId="0" applyFont="1" applyFill="1" applyBorder="1" applyAlignment="1">
      <alignment horizontal="left" vertical="center" wrapText="1"/>
    </xf>
    <xf fontId="1" fillId="4" borderId="20" numFmtId="0" xfId="0" applyFont="1" applyFill="1" applyBorder="1" applyAlignment="1" quotePrefix="1">
      <alignment horizontal="left" vertical="center" wrapText="1"/>
    </xf>
    <xf fontId="0" fillId="4" borderId="20" numFmtId="0" xfId="0" applyFill="1" applyBorder="1" applyAlignment="1" quotePrefix="1">
      <alignment horizontal="left" vertical="center" wrapText="1"/>
    </xf>
    <xf fontId="1" fillId="0" borderId="25" numFmtId="0" xfId="0" applyFont="1" applyBorder="1" applyAlignment="1">
      <alignment horizontal="left" vertical="center" wrapText="1"/>
    </xf>
    <xf fontId="0" fillId="0" borderId="20" numFmtId="0" xfId="0" applyBorder="1" applyAlignment="1" quotePrefix="1">
      <alignment horizontal="left" vertical="center" wrapText="1"/>
    </xf>
    <xf fontId="0" fillId="5" borderId="20" numFmtId="0" xfId="0" applyFill="1" applyBorder="1" applyAlignment="1">
      <alignment horizontal="left" vertical="center" wrapText="1"/>
    </xf>
    <xf fontId="1" fillId="5" borderId="20" numFmtId="0" xfId="0" applyFont="1" applyFill="1" applyBorder="1" applyAlignment="1">
      <alignment horizontal="left" vertical="center" wrapText="1"/>
    </xf>
    <xf fontId="0" fillId="5" borderId="20" numFmtId="0" xfId="0" applyFill="1" applyBorder="1" applyAlignment="1" quotePrefix="1">
      <alignment horizontal="left" vertical="center" wrapText="1"/>
    </xf>
    <xf fontId="0" fillId="4" borderId="20" numFmtId="0" xfId="0" applyFill="1" applyBorder="1" applyAlignment="1">
      <alignment horizontal="left" vertical="center" wrapText="1"/>
    </xf>
    <xf fontId="0" fillId="0" borderId="20" numFmtId="0" xfId="0" applyBorder="1" applyAlignment="1">
      <alignment horizontal="left" vertical="center" wrapText="1"/>
    </xf>
    <xf fontId="1" fillId="0" borderId="2" numFmtId="0" xfId="0" applyFont="1" applyBorder="1" applyAlignment="1">
      <alignment vertical="center" wrapText="1"/>
    </xf>
    <xf fontId="1" fillId="0" borderId="3" numFmtId="0" xfId="0" applyFont="1" applyBorder="1" applyAlignment="1">
      <alignment vertical="center" wrapText="1"/>
    </xf>
    <xf fontId="1" fillId="0" borderId="17" numFmtId="0" xfId="0" applyFont="1" applyBorder="1" applyAlignment="1">
      <alignment vertical="center" wrapText="1"/>
    </xf>
    <xf fontId="1" fillId="0" borderId="25" numFmtId="0" xfId="0" applyFont="1" applyBorder="1" applyAlignment="1">
      <alignment vertical="center" wrapText="1"/>
    </xf>
    <xf fontId="1" fillId="0" borderId="20" numFmtId="0" xfId="0" applyFont="1" applyBorder="1" applyAlignment="1">
      <alignment vertical="center" wrapText="1"/>
    </xf>
    <xf fontId="0" fillId="0" borderId="20" numFmtId="0" xfId="0" applyBorder="1" applyAlignment="1">
      <alignment horizontal="left" vertical="center" wrapText="1"/>
    </xf>
    <xf fontId="0" fillId="0" borderId="20" numFmtId="0" xfId="0" applyBorder="1" applyAlignment="1" quotePrefix="1">
      <alignment horizontal="left" vertical="center" wrapText="1"/>
    </xf>
    <xf fontId="1" fillId="0" borderId="26" numFmtId="0" xfId="0" applyFont="1" applyBorder="1" applyAlignment="1">
      <alignment horizontal="left" vertical="center" wrapText="1"/>
    </xf>
    <xf fontId="1" fillId="0" borderId="27" numFmtId="0" xfId="0" applyFont="1" applyBorder="1" applyAlignment="1">
      <alignment horizontal="left" vertical="center" wrapText="1"/>
    </xf>
    <xf fontId="1" fillId="0" borderId="26" numFmtId="0" xfId="0" applyFont="1" applyBorder="1" applyAlignment="1">
      <alignment horizontal="center" vertical="center" wrapText="1"/>
    </xf>
    <xf fontId="1" fillId="0" borderId="27" numFmtId="0" xfId="0" applyFont="1" applyBorder="1" applyAlignment="1">
      <alignment horizontal="center" vertical="center" wrapText="1"/>
    </xf>
    <xf fontId="0" fillId="0" borderId="25" numFmtId="0" xfId="0" applyBorder="1" applyAlignment="1">
      <alignment vertical="center" wrapText="1"/>
    </xf>
    <xf fontId="0" fillId="0" borderId="26" numFmtId="0" xfId="0" applyBorder="1" applyAlignment="1">
      <alignment horizontal="left" vertical="center" wrapText="1"/>
    </xf>
    <xf fontId="1" fillId="5" borderId="20" numFmtId="0" xfId="0" applyFont="1" applyFill="1" applyBorder="1" applyAlignment="1" quotePrefix="1">
      <alignment horizontal="left" vertical="center" wrapText="1"/>
    </xf>
    <xf fontId="1" fillId="3" borderId="20" numFmtId="0" xfId="0" applyFont="1" applyFill="1" applyBorder="1" applyAlignment="1" quotePrefix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theme" Target="theme/theme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962025</xdr:colOff>
      <xdr:row>0</xdr:row>
      <xdr:rowOff>200025</xdr:rowOff>
    </xdr:from>
    <xdr:ext cx="1057275" cy="609600"/>
    <xdr:pic>
      <xdr:nvPicPr>
        <xdr:cNvPr id="2" name="image1.png" title="Image"/>
        <xdr:cNvPicPr/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363A45"/>
      </a:dk1>
      <a:lt1>
        <a:srgbClr val="FFFFFF"/>
      </a:lt1>
      <a:dk2>
        <a:srgbClr val="363A45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B15" activeCellId="0" sqref="B15"/>
    </sheetView>
  </sheetViews>
  <sheetFormatPr defaultColWidth="12.5703125" defaultRowHeight="15" customHeight="1"/>
  <cols>
    <col customWidth="1" min="1" max="1" style="1" width="9.5703125"/>
    <col customWidth="1" min="2" max="2" style="1" width="22.42578125"/>
    <col customWidth="1" min="3" max="3" style="1" width="9.5703125"/>
    <col customWidth="1" min="4" max="4" style="1" width="17.85546875"/>
    <col customWidth="1" min="5" max="5" style="1" width="9.5703125"/>
    <col customWidth="1" min="6" max="6" style="1" width="20.42578125"/>
    <col customWidth="1" min="7" max="7" style="1" width="23.140625"/>
    <col customWidth="1" min="8" max="26" style="1" width="9.5703125"/>
  </cols>
  <sheetData>
    <row r="1" ht="15.75" customHeight="1"/>
    <row r="2" ht="48" customHeight="1">
      <c r="B2" s="2"/>
      <c r="C2" s="3" t="s">
        <v>0</v>
      </c>
      <c r="D2" s="4"/>
      <c r="E2" s="4"/>
      <c r="F2" s="4"/>
      <c r="G2" s="5"/>
    </row>
    <row r="3" ht="15.75" customHeight="1">
      <c r="B3" s="6" t="s">
        <v>1</v>
      </c>
      <c r="C3" s="7" t="s">
        <v>2</v>
      </c>
      <c r="D3" s="4"/>
      <c r="E3" s="5"/>
      <c r="F3" s="6" t="s">
        <v>3</v>
      </c>
      <c r="G3" s="7"/>
    </row>
    <row r="4" ht="15.75" customHeight="1">
      <c r="B4" s="6" t="s">
        <v>4</v>
      </c>
      <c r="C4" s="7"/>
      <c r="D4" s="4"/>
      <c r="E4" s="5"/>
      <c r="F4" s="6" t="s">
        <v>5</v>
      </c>
      <c r="G4" s="7"/>
    </row>
    <row r="5" ht="15.75" customHeight="1">
      <c r="B5" s="8" t="s">
        <v>6</v>
      </c>
      <c r="C5" s="7"/>
      <c r="D5" s="9"/>
      <c r="E5" s="10"/>
      <c r="F5" s="6" t="s">
        <v>7</v>
      </c>
      <c r="G5" s="11"/>
    </row>
    <row r="6" ht="15.75" customHeight="1">
      <c r="B6" s="12"/>
      <c r="C6" s="13"/>
      <c r="D6" s="14"/>
      <c r="E6" s="15"/>
      <c r="F6" s="6" t="s">
        <v>8</v>
      </c>
      <c r="G6" s="7" t="s">
        <v>9</v>
      </c>
    </row>
    <row r="7" ht="15.75" customHeight="1">
      <c r="B7" s="6" t="s">
        <v>10</v>
      </c>
      <c r="C7" s="7"/>
      <c r="D7" s="4"/>
      <c r="E7" s="4"/>
      <c r="F7" s="4"/>
      <c r="G7" s="5"/>
    </row>
    <row r="8" ht="15.75" customHeight="1">
      <c r="B8" s="16" t="s">
        <v>11</v>
      </c>
      <c r="C8" s="17"/>
      <c r="D8" s="4"/>
      <c r="E8" s="4"/>
      <c r="F8" s="4"/>
      <c r="G8" s="5"/>
    </row>
    <row r="9" ht="15.75" customHeight="1">
      <c r="B9" s="6" t="s">
        <v>12</v>
      </c>
      <c r="C9" s="4"/>
      <c r="D9" s="4"/>
      <c r="E9" s="4"/>
      <c r="F9" s="4"/>
      <c r="G9" s="5"/>
    </row>
    <row r="10" ht="15.75" customHeight="1">
      <c r="A10" s="18"/>
      <c r="B10" s="19" t="s">
        <v>13</v>
      </c>
      <c r="C10" s="19" t="s">
        <v>8</v>
      </c>
      <c r="D10" s="19" t="s">
        <v>14</v>
      </c>
      <c r="E10" s="19" t="s">
        <v>15</v>
      </c>
      <c r="F10" s="19" t="s">
        <v>16</v>
      </c>
      <c r="G10" s="19" t="s">
        <v>17</v>
      </c>
      <c r="H10" s="20"/>
    </row>
    <row r="11" ht="15.75" customHeight="1">
      <c r="A11" s="18"/>
      <c r="B11" s="21" t="s">
        <v>18</v>
      </c>
      <c r="C11" s="22" t="s">
        <v>19</v>
      </c>
      <c r="D11" s="23" t="s">
        <v>20</v>
      </c>
      <c r="E11" s="24" t="s">
        <v>21</v>
      </c>
      <c r="F11" s="23" t="s">
        <v>22</v>
      </c>
      <c r="G11" s="25" t="s">
        <v>23</v>
      </c>
      <c r="H11" s="20"/>
    </row>
    <row r="12" ht="15.75" customHeight="1">
      <c r="A12" s="18"/>
      <c r="B12" s="26" t="s">
        <v>24</v>
      </c>
      <c r="C12" s="27" t="s">
        <v>25</v>
      </c>
      <c r="D12" s="28" t="s">
        <v>26</v>
      </c>
      <c r="E12" s="29" t="s">
        <v>27</v>
      </c>
      <c r="F12" s="28" t="s">
        <v>28</v>
      </c>
      <c r="G12" s="30" t="s">
        <v>29</v>
      </c>
      <c r="H12" s="20"/>
    </row>
    <row r="13" ht="15.75" customHeight="1">
      <c r="A13" s="18"/>
      <c r="B13" s="26" t="s">
        <v>24</v>
      </c>
      <c r="C13" s="27" t="s">
        <v>25</v>
      </c>
      <c r="D13" s="28" t="s">
        <v>30</v>
      </c>
      <c r="E13" s="29" t="s">
        <v>27</v>
      </c>
      <c r="F13" s="28" t="s">
        <v>31</v>
      </c>
      <c r="G13" s="30" t="s">
        <v>32</v>
      </c>
      <c r="H13" s="20"/>
      <c r="I13" s="31"/>
    </row>
    <row r="14" ht="41.25" customHeight="1">
      <c r="A14" s="18"/>
      <c r="B14" s="26" t="s">
        <v>33</v>
      </c>
      <c r="C14" s="27" t="s">
        <v>34</v>
      </c>
      <c r="D14" s="28" t="s">
        <v>35</v>
      </c>
      <c r="E14" s="29" t="s">
        <v>21</v>
      </c>
      <c r="F14" s="28" t="s">
        <v>36</v>
      </c>
      <c r="G14" s="30" t="s">
        <v>37</v>
      </c>
      <c r="H14" s="20"/>
    </row>
    <row r="15" ht="79.5" customHeight="1">
      <c r="A15" s="18"/>
      <c r="B15" s="26" t="s">
        <v>38</v>
      </c>
      <c r="C15" s="27" t="s">
        <v>39</v>
      </c>
      <c r="D15" s="28" t="s">
        <v>40</v>
      </c>
      <c r="E15" s="29" t="s">
        <v>27</v>
      </c>
      <c r="F15" s="28" t="s">
        <v>41</v>
      </c>
      <c r="G15" s="30" t="s">
        <v>42</v>
      </c>
      <c r="H15" s="20"/>
    </row>
    <row r="16" ht="79.5" customHeight="1">
      <c r="A16" s="18"/>
      <c r="B16" s="26" t="s">
        <v>38</v>
      </c>
      <c r="C16" s="27" t="s">
        <v>39</v>
      </c>
      <c r="D16" s="28" t="s">
        <v>43</v>
      </c>
      <c r="E16" s="29" t="s">
        <v>21</v>
      </c>
      <c r="F16" s="28" t="s">
        <v>44</v>
      </c>
      <c r="G16" s="30" t="s">
        <v>45</v>
      </c>
      <c r="H16" s="20"/>
    </row>
    <row r="17" ht="41.25" customHeight="1">
      <c r="A17" s="18"/>
      <c r="B17" s="26" t="s">
        <v>46</v>
      </c>
      <c r="C17" s="27" t="s">
        <v>47</v>
      </c>
      <c r="D17" s="28" t="s">
        <v>43</v>
      </c>
      <c r="E17" s="29" t="s">
        <v>27</v>
      </c>
      <c r="F17" s="28" t="s">
        <v>48</v>
      </c>
      <c r="G17" s="30" t="s">
        <v>49</v>
      </c>
      <c r="H17" s="20"/>
    </row>
    <row r="18" ht="92.25" customHeight="1">
      <c r="A18" s="18"/>
      <c r="B18" s="26" t="s">
        <v>46</v>
      </c>
      <c r="C18" s="27" t="s">
        <v>50</v>
      </c>
      <c r="D18" s="28" t="s">
        <v>43</v>
      </c>
      <c r="E18" s="29" t="s">
        <v>27</v>
      </c>
      <c r="F18" s="28" t="s">
        <v>51</v>
      </c>
      <c r="G18" s="30" t="s">
        <v>52</v>
      </c>
      <c r="H18" s="20"/>
    </row>
    <row r="19" ht="54" customHeight="1">
      <c r="A19" s="18"/>
      <c r="B19" s="26" t="s">
        <v>46</v>
      </c>
      <c r="C19" s="27" t="s">
        <v>50</v>
      </c>
      <c r="D19" s="28" t="s">
        <v>26</v>
      </c>
      <c r="E19" s="29" t="s">
        <v>27</v>
      </c>
      <c r="F19" s="28" t="s">
        <v>53</v>
      </c>
      <c r="G19" s="30" t="s">
        <v>54</v>
      </c>
      <c r="H19" s="20"/>
    </row>
    <row r="20" ht="15.75" customHeight="1">
      <c r="A20" s="18"/>
      <c r="B20" s="26" t="s">
        <v>55</v>
      </c>
      <c r="C20" s="27" t="s">
        <v>56</v>
      </c>
      <c r="D20" s="28" t="s">
        <v>57</v>
      </c>
      <c r="E20" s="29" t="s">
        <v>21</v>
      </c>
      <c r="F20" s="28" t="s">
        <v>58</v>
      </c>
      <c r="G20" s="30" t="s">
        <v>59</v>
      </c>
      <c r="H20" s="20"/>
    </row>
    <row r="21" ht="15.75" customHeight="1">
      <c r="A21" s="18"/>
      <c r="B21" s="32"/>
      <c r="C21" s="32"/>
      <c r="D21" s="32"/>
      <c r="E21" s="32"/>
      <c r="F21" s="32"/>
      <c r="G21" s="33"/>
      <c r="H21" s="20"/>
    </row>
    <row r="22" ht="15.75" customHeight="1">
      <c r="A22" s="18"/>
      <c r="B22" s="32"/>
      <c r="C22" s="32"/>
      <c r="D22" s="32"/>
      <c r="E22" s="32"/>
      <c r="F22" s="32"/>
      <c r="G22" s="33"/>
      <c r="H22" s="20"/>
    </row>
    <row r="23" ht="15.75" customHeight="1">
      <c r="A23" s="18"/>
      <c r="B23" s="32"/>
      <c r="C23" s="32"/>
      <c r="D23" s="32"/>
      <c r="E23" s="32"/>
      <c r="F23" s="32"/>
      <c r="G23" s="33"/>
      <c r="H23" s="20"/>
    </row>
    <row r="24" ht="15.75" customHeight="1">
      <c r="B24" s="12"/>
      <c r="C24" s="12"/>
      <c r="D24" s="12"/>
      <c r="E24" s="12"/>
      <c r="F24" s="12"/>
      <c r="G24" s="12"/>
    </row>
    <row r="25" ht="15.75" customHeight="1">
      <c r="B25" s="34" t="s">
        <v>60</v>
      </c>
    </row>
    <row r="26" ht="15.75" customHeight="1">
      <c r="B26" s="1" t="s">
        <v>61</v>
      </c>
    </row>
    <row r="27" ht="15.75" customHeight="1">
      <c r="B27" s="1" t="s">
        <v>62</v>
      </c>
    </row>
    <row r="28" ht="15.75" customHeight="1">
      <c r="B28" s="1" t="s">
        <v>63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C7:G7"/>
    <mergeCell ref="C5:E6"/>
    <mergeCell ref="C2:G2"/>
    <mergeCell ref="B9:G9"/>
    <mergeCell ref="C4:E4"/>
    <mergeCell ref="C3:E3"/>
    <mergeCell ref="C8:G8"/>
    <mergeCell ref="B5:B6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D2F1DA"/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5703125" defaultRowHeight="15" customHeight="1"/>
  <cols>
    <col customWidth="1" min="1" max="1" style="1" width="1"/>
    <col customWidth="1" min="2" max="2" style="1" width="11"/>
    <col customWidth="1" min="3" max="3" style="1" width="26.7109375"/>
    <col customWidth="1" min="4" max="4" style="1" width="46.42578125"/>
    <col customWidth="1" min="5" max="5" style="1" width="10.42578125"/>
    <col customWidth="1" min="6" max="6" style="1" width="9"/>
    <col customWidth="1" min="7" max="9" style="1" width="6.7109375"/>
    <col customWidth="1" min="10" max="10" style="1" width="8.140625"/>
    <col customWidth="1" min="11" max="11" style="1" width="7.85546875"/>
    <col customWidth="1" min="12" max="12" style="1" width="6.7109375"/>
    <col customWidth="1" min="13" max="13" style="1" width="9.140625"/>
    <col customWidth="1" min="14" max="14" style="1" width="11.42578125"/>
    <col customWidth="1" min="15" max="15" style="1" width="9"/>
    <col customWidth="1" min="16" max="16" style="1" width="5.5703125"/>
    <col customWidth="1" min="17" max="17" style="1" width="7.140625"/>
    <col customWidth="1" min="18" max="18" style="1" width="6.28515625"/>
    <col customWidth="1" min="19" max="19" style="1" width="8.140625"/>
    <col customWidth="1" min="20" max="20" style="1" width="7.85546875"/>
    <col customWidth="1" min="21" max="21" style="1" width="4.7109375"/>
    <col customWidth="1" min="22" max="22" style="1" width="8.28515625"/>
    <col customWidth="1" min="23" max="28" style="1" width="9.5703125"/>
  </cols>
  <sheetData>
    <row r="1" ht="15.75" customHeight="1"/>
    <row r="2" ht="24.75" customHeight="1">
      <c r="B2" s="35"/>
      <c r="C2" s="35"/>
      <c r="D2" s="35"/>
      <c r="E2" s="36" t="s">
        <v>64</v>
      </c>
      <c r="F2" s="14"/>
      <c r="G2" s="14"/>
      <c r="H2" s="14"/>
      <c r="I2" s="14"/>
      <c r="J2" s="14"/>
      <c r="K2" s="14"/>
      <c r="L2" s="14"/>
      <c r="M2" s="15"/>
      <c r="N2" s="37" t="s">
        <v>65</v>
      </c>
      <c r="O2" s="4"/>
      <c r="P2" s="4"/>
      <c r="Q2" s="4"/>
      <c r="R2" s="4"/>
      <c r="S2" s="4"/>
      <c r="T2" s="4"/>
      <c r="U2" s="4"/>
      <c r="V2" s="5"/>
    </row>
    <row r="3" ht="30.75" customHeight="1">
      <c r="A3" s="38"/>
      <c r="B3" s="39" t="s">
        <v>66</v>
      </c>
      <c r="C3" s="37" t="s">
        <v>67</v>
      </c>
      <c r="D3" s="37" t="s">
        <v>68</v>
      </c>
      <c r="E3" s="40" t="s">
        <v>69</v>
      </c>
      <c r="F3" s="37" t="s">
        <v>70</v>
      </c>
      <c r="G3" s="37" t="s">
        <v>71</v>
      </c>
      <c r="H3" s="37" t="s">
        <v>72</v>
      </c>
      <c r="I3" s="37" t="s">
        <v>73</v>
      </c>
      <c r="J3" s="37" t="s">
        <v>74</v>
      </c>
      <c r="K3" s="37" t="s">
        <v>75</v>
      </c>
      <c r="L3" s="37" t="s">
        <v>76</v>
      </c>
      <c r="M3" s="40" t="s">
        <v>77</v>
      </c>
      <c r="N3" s="37" t="s">
        <v>78</v>
      </c>
      <c r="O3" s="37" t="s">
        <v>70</v>
      </c>
      <c r="P3" s="37" t="s">
        <v>71</v>
      </c>
      <c r="Q3" s="37" t="s">
        <v>72</v>
      </c>
      <c r="R3" s="37" t="s">
        <v>73</v>
      </c>
      <c r="S3" s="37" t="s">
        <v>74</v>
      </c>
      <c r="T3" s="37" t="s">
        <v>75</v>
      </c>
      <c r="U3" s="37" t="s">
        <v>76</v>
      </c>
      <c r="V3" s="40" t="s">
        <v>77</v>
      </c>
      <c r="W3" s="38"/>
      <c r="X3" s="38"/>
      <c r="Y3" s="38"/>
      <c r="Z3" s="38"/>
      <c r="AA3" s="38"/>
    </row>
    <row r="4" ht="15.75" customHeight="1">
      <c r="A4"/>
      <c r="B4" s="41" t="s">
        <v>30</v>
      </c>
      <c r="C4" s="42" t="s">
        <v>79</v>
      </c>
      <c r="D4" s="42" t="s">
        <v>80</v>
      </c>
      <c r="E4" s="43">
        <f t="shared" ref="E4:E9" si="0">F4/G4</f>
        <v>0</v>
      </c>
      <c r="F4" s="44">
        <f t="shared" ref="F4:F9" si="1">SUM(H4:L4)</f>
        <v>0</v>
      </c>
      <c r="G4" s="44">
        <f t="shared" ref="G4:G9" si="2">SUM(H4:M4)</f>
        <v>3</v>
      </c>
      <c r="H4" s="44">
        <f>COUNTIF('Login'!$M$13:$M$15,H$3)</f>
        <v>0</v>
      </c>
      <c r="I4" s="44">
        <f>COUNTIF('Login'!$M$13:$M$15,I$3)</f>
        <v>0</v>
      </c>
      <c r="J4" s="44">
        <f>COUNTIF('Login'!$M$13:$M$15,J$3)</f>
        <v>0</v>
      </c>
      <c r="K4" s="44">
        <f>COUNTIF('Login'!$M$13:$M$15,K$3)</f>
        <v>0</v>
      </c>
      <c r="L4" s="44">
        <f>COUNTIF('Login'!$M$13:$M$15,L$3)</f>
        <v>0</v>
      </c>
      <c r="M4" s="44">
        <f>COUNTA('Login'!$G$13:$G$15)-SUM(H4:L4)</f>
        <v>3</v>
      </c>
      <c r="N4" s="43">
        <f t="shared" ref="N4:N9" si="3">O4/P4</f>
        <v>0</v>
      </c>
      <c r="O4" s="44">
        <f t="shared" ref="O4:O9" si="4">SUM(Q4:U4)</f>
        <v>0</v>
      </c>
      <c r="P4" s="44">
        <f t="shared" ref="P4:P9" si="5">SUM(Q4:V4)</f>
        <v>3</v>
      </c>
      <c r="Q4" s="44">
        <f>COUNTIF('Login'!$R$13:$R$15,Q$3)</f>
        <v>0</v>
      </c>
      <c r="R4" s="44">
        <f>COUNTIF('Login'!$R$13:$R$15,R$3)</f>
        <v>0</v>
      </c>
      <c r="S4" s="44">
        <f>COUNTIF('Login'!$R$13:$R$15,S$3)</f>
        <v>0</v>
      </c>
      <c r="T4" s="44">
        <f>COUNTIF('Login'!$R$13:$R$15,T$3)</f>
        <v>0</v>
      </c>
      <c r="U4" s="44">
        <f>COUNTIF('Login'!$R$13:$R$15,U$3)</f>
        <v>0</v>
      </c>
      <c r="V4" s="44">
        <f>COUNTA('Login'!$G$13:$G$15)-SUM(Q4:U4)</f>
        <v>3</v>
      </c>
    </row>
    <row r="5" ht="15.75" customHeight="1">
      <c r="A5"/>
      <c r="B5" s="45"/>
      <c r="C5" s="42" t="s">
        <v>79</v>
      </c>
      <c r="D5" s="42" t="s">
        <v>81</v>
      </c>
      <c r="E5" s="43">
        <f t="shared" si="0"/>
        <v>0</v>
      </c>
      <c r="F5" s="44">
        <f t="shared" si="1"/>
        <v>0</v>
      </c>
      <c r="G5" s="44">
        <f t="shared" si="2"/>
        <v>4</v>
      </c>
      <c r="H5" s="44">
        <f>COUNTIF('Login'!$M$16:$M$19,H$3)</f>
        <v>0</v>
      </c>
      <c r="I5" s="44">
        <f>COUNTIF('Login'!$M$16:$M$19,I$3)</f>
        <v>0</v>
      </c>
      <c r="J5" s="44">
        <f>COUNTIF('Login'!$M$16:$M$19,J$3)</f>
        <v>0</v>
      </c>
      <c r="K5" s="44">
        <f>COUNTIF('Login'!$M$16:$M$19,K$3)</f>
        <v>0</v>
      </c>
      <c r="L5" s="44">
        <f>COUNTIF('Login'!$M$16:$M$19,L$3)</f>
        <v>0</v>
      </c>
      <c r="M5" s="44">
        <f>COUNTA('Login'!$G$16:$G$19)-SUM(H5:L5)</f>
        <v>4</v>
      </c>
      <c r="N5" s="43">
        <f t="shared" si="3"/>
        <v>0</v>
      </c>
      <c r="O5" s="44">
        <f t="shared" si="4"/>
        <v>0</v>
      </c>
      <c r="P5" s="44">
        <f t="shared" si="5"/>
        <v>4</v>
      </c>
      <c r="Q5" s="44">
        <f>COUNTIF('Login'!$R$16:$R$19,Q$3)</f>
        <v>0</v>
      </c>
      <c r="R5" s="44">
        <f>COUNTIF('Login'!$R$16:$R$19,R$3)</f>
        <v>0</v>
      </c>
      <c r="S5" s="44">
        <f>COUNTIF('Login'!$R$16:$R$19,S$3)</f>
        <v>0</v>
      </c>
      <c r="T5" s="44">
        <f>COUNTIF('Login'!$R$16:$R$19,T$3)</f>
        <v>0</v>
      </c>
      <c r="U5" s="44">
        <f>COUNTIF('Login'!$R$16:$R$19,U$3)</f>
        <v>0</v>
      </c>
      <c r="V5" s="44">
        <f>COUNTA('Login'!$G$16:$G$19)-SUM(Q5:U5)</f>
        <v>4</v>
      </c>
    </row>
    <row r="6" ht="15.75" customHeight="1">
      <c r="A6"/>
      <c r="B6" s="45"/>
      <c r="C6" s="42" t="s">
        <v>79</v>
      </c>
      <c r="D6" s="42" t="s">
        <v>82</v>
      </c>
      <c r="E6" s="43">
        <f t="shared" si="0"/>
        <v>0</v>
      </c>
      <c r="F6" s="44">
        <f t="shared" si="1"/>
        <v>0</v>
      </c>
      <c r="G6" s="44">
        <f t="shared" si="2"/>
        <v>4</v>
      </c>
      <c r="H6" s="44">
        <f>COUNTIF('Login'!$M$20:$M$23,H$3)</f>
        <v>0</v>
      </c>
      <c r="I6" s="44">
        <f>COUNTIF('Login'!$M$20:$M$23,I$3)</f>
        <v>0</v>
      </c>
      <c r="J6" s="44">
        <f>COUNTIF('Login'!$M$20:$M$23,J$3)</f>
        <v>0</v>
      </c>
      <c r="K6" s="44">
        <f>COUNTIF('Login'!$M$20:$M$23,K$3)</f>
        <v>0</v>
      </c>
      <c r="L6" s="44">
        <f>COUNTIF('Login'!$M$20:$M$23,L$3)</f>
        <v>0</v>
      </c>
      <c r="M6" s="44">
        <f>COUNTA('Login'!$G$20:$G$23)-SUM(H6:L6)</f>
        <v>4</v>
      </c>
      <c r="N6" s="43">
        <f t="shared" si="3"/>
        <v>0</v>
      </c>
      <c r="O6" s="44">
        <f t="shared" si="4"/>
        <v>0</v>
      </c>
      <c r="P6" s="44">
        <f t="shared" si="5"/>
        <v>4</v>
      </c>
      <c r="Q6" s="44">
        <f>COUNTIF('Login'!$R$20:$R$23,Q$3)</f>
        <v>0</v>
      </c>
      <c r="R6" s="44">
        <f>COUNTIF('Login'!$R$20:$R$23,R$3)</f>
        <v>0</v>
      </c>
      <c r="S6" s="44">
        <f>COUNTIF('Login'!$R$20:$R$23,S$3)</f>
        <v>0</v>
      </c>
      <c r="T6" s="44">
        <f>COUNTIF('Login'!$R$20:$R$23,T$3)</f>
        <v>0</v>
      </c>
      <c r="U6" s="44">
        <f>COUNTIF('Login'!$R$20:$R$23,U$3)</f>
        <v>0</v>
      </c>
      <c r="V6" s="44">
        <f>COUNTA('Login'!$G$20:$G$23)-SUM(Q6:U6)</f>
        <v>4</v>
      </c>
    </row>
    <row r="7" ht="15.75" customHeight="1">
      <c r="A7"/>
      <c r="B7" s="45"/>
      <c r="C7" s="42" t="s">
        <v>79</v>
      </c>
      <c r="D7" s="42" t="s">
        <v>83</v>
      </c>
      <c r="E7" s="43">
        <f t="shared" si="0"/>
        <v>0</v>
      </c>
      <c r="F7" s="44">
        <f t="shared" si="1"/>
        <v>0</v>
      </c>
      <c r="G7" s="44">
        <f t="shared" si="2"/>
        <v>9</v>
      </c>
      <c r="H7" s="44">
        <f>COUNTIF('Login'!$M$24:$M$32,H$3)</f>
        <v>0</v>
      </c>
      <c r="I7" s="44">
        <f>COUNTIF('Login'!$M$24:$M$32,I$3)</f>
        <v>0</v>
      </c>
      <c r="J7" s="44">
        <f>COUNTIF('Login'!$M$24:$M$32,J$3)</f>
        <v>0</v>
      </c>
      <c r="K7" s="44">
        <f>COUNTIF('Login'!$M$24:$M$32,K$3)</f>
        <v>0</v>
      </c>
      <c r="L7" s="44">
        <f>COUNTIF('Login'!$M$24:$M$32,L$3)</f>
        <v>0</v>
      </c>
      <c r="M7" s="44">
        <f>COUNTA('Login'!$G$24:$G$32)-SUM(H7:L7)</f>
        <v>9</v>
      </c>
      <c r="N7" s="43">
        <f t="shared" si="3"/>
        <v>0</v>
      </c>
      <c r="O7" s="44">
        <f t="shared" si="4"/>
        <v>0</v>
      </c>
      <c r="P7" s="44">
        <f t="shared" si="5"/>
        <v>9</v>
      </c>
      <c r="Q7" s="44">
        <f>COUNTIF('Login'!$R$24:$R$32,Q$3)</f>
        <v>0</v>
      </c>
      <c r="R7" s="44">
        <f>COUNTIF('Login'!$R$24:$R$32,R$3)</f>
        <v>0</v>
      </c>
      <c r="S7" s="44">
        <f>COUNTIF('Login'!$R$24:$R$32,S$3)</f>
        <v>0</v>
      </c>
      <c r="T7" s="44">
        <f>COUNTIF('Login'!$R$24:$R$32,T$3)</f>
        <v>0</v>
      </c>
      <c r="U7" s="44">
        <f>COUNTIF('Login'!$R$24:$R$32,U$3)</f>
        <v>0</v>
      </c>
      <c r="V7" s="44">
        <f>COUNTA('Login'!$G$24:$G$32)-SUM(Q7:U7)</f>
        <v>9</v>
      </c>
    </row>
    <row r="8" ht="15.75" customHeight="1">
      <c r="A8"/>
      <c r="B8" s="45"/>
      <c r="C8" s="42" t="s">
        <v>79</v>
      </c>
      <c r="D8" s="42" t="s">
        <v>84</v>
      </c>
      <c r="E8" s="43">
        <f t="shared" si="0"/>
        <v>0</v>
      </c>
      <c r="F8" s="44">
        <f t="shared" si="1"/>
        <v>0</v>
      </c>
      <c r="G8" s="44">
        <f t="shared" si="2"/>
        <v>7</v>
      </c>
      <c r="H8" s="44">
        <f>COUNTIF('Login'!$M$33:$M$39,H$3)</f>
        <v>0</v>
      </c>
      <c r="I8" s="44">
        <f>COUNTIF('Login'!$M$33:$M$39,I$3)</f>
        <v>0</v>
      </c>
      <c r="J8" s="44">
        <f>COUNTIF('Login'!$M$33:$M$39,J$3)</f>
        <v>0</v>
      </c>
      <c r="K8" s="44">
        <f>COUNTIF('Login'!$M$33:$M$39,K$3)</f>
        <v>0</v>
      </c>
      <c r="L8" s="44">
        <f>COUNTIF('Login'!$M$33:$M$39,L$3)</f>
        <v>0</v>
      </c>
      <c r="M8" s="44">
        <f>COUNTA('Login'!$G$33:$G$39)-SUM(H8:L8)</f>
        <v>7</v>
      </c>
      <c r="N8" s="43">
        <f t="shared" si="3"/>
        <v>0</v>
      </c>
      <c r="O8" s="44">
        <f t="shared" si="4"/>
        <v>0</v>
      </c>
      <c r="P8" s="44">
        <f t="shared" si="5"/>
        <v>7</v>
      </c>
      <c r="Q8" s="44">
        <f>COUNTIF('Login'!$R$33:$R$39,Q$3)</f>
        <v>0</v>
      </c>
      <c r="R8" s="44">
        <f>COUNTIF('Login'!$R$33:$R$39,R$3)</f>
        <v>0</v>
      </c>
      <c r="S8" s="44">
        <f>COUNTIF('Login'!$R$33:$R$39,S$3)</f>
        <v>0</v>
      </c>
      <c r="T8" s="44">
        <f>COUNTIF('Login'!$R$33:$R$39,T$3)</f>
        <v>0</v>
      </c>
      <c r="U8" s="44">
        <f>COUNTIF('Login'!$R$33:$R$39,U$3)</f>
        <v>0</v>
      </c>
      <c r="V8" s="44">
        <f>COUNTA('Login'!$G$33:$G$39)-SUM(Q8:U8)</f>
        <v>7</v>
      </c>
    </row>
    <row r="9" ht="15.75" customHeight="1">
      <c r="A9"/>
      <c r="B9" s="45"/>
      <c r="C9" s="42" t="s">
        <v>79</v>
      </c>
      <c r="D9" s="42" t="s">
        <v>85</v>
      </c>
      <c r="E9" s="43">
        <f t="shared" si="0"/>
        <v>0</v>
      </c>
      <c r="F9" s="44">
        <f t="shared" si="1"/>
        <v>0</v>
      </c>
      <c r="G9" s="44">
        <f t="shared" si="2"/>
        <v>4</v>
      </c>
      <c r="H9" s="44">
        <f>COUNTIF('Login'!$M$40:$M$43,H$3)</f>
        <v>0</v>
      </c>
      <c r="I9" s="44">
        <f>COUNTIF('Login'!$M$40:$M$43,I$3)</f>
        <v>0</v>
      </c>
      <c r="J9" s="44">
        <f>COUNTIF('Login'!$M$40:$M$43,J$3)</f>
        <v>0</v>
      </c>
      <c r="K9" s="44">
        <f>COUNTIF('Login'!$M$40:$M$43,K$3)</f>
        <v>0</v>
      </c>
      <c r="L9" s="44">
        <f>COUNTIF('Login'!$M$40:$M$43,L$3)</f>
        <v>0</v>
      </c>
      <c r="M9" s="44">
        <f>COUNTA('Login'!$G$40:$G$43)-SUM(H9:L9)</f>
        <v>4</v>
      </c>
      <c r="N9" s="43">
        <f t="shared" si="3"/>
        <v>0</v>
      </c>
      <c r="O9" s="44">
        <f t="shared" si="4"/>
        <v>0</v>
      </c>
      <c r="P9" s="44">
        <f t="shared" si="5"/>
        <v>4</v>
      </c>
      <c r="Q9" s="44">
        <f>COUNTIF('Login'!$R$40:$R$43,Q$3)</f>
        <v>0</v>
      </c>
      <c r="R9" s="44">
        <f>COUNTIF('Login'!$R$40:$R$43,R$3)</f>
        <v>0</v>
      </c>
      <c r="S9" s="44">
        <f>COUNTIF('Login'!$R$40:$R$43,S$3)</f>
        <v>0</v>
      </c>
      <c r="T9" s="44">
        <f>COUNTIF('Login'!$R$40:$R$43,T$3)</f>
        <v>0</v>
      </c>
      <c r="U9" s="44">
        <f>COUNTIF('Login'!$R$40:$R$43,U$3)</f>
        <v>0</v>
      </c>
      <c r="V9" s="44">
        <f>COUNTA('Login'!$G$40:$G$43)-SUM(Q9:U9)</f>
        <v>4</v>
      </c>
    </row>
    <row r="10" ht="15.75" customHeight="1">
      <c r="A10"/>
      <c r="B10" s="45"/>
      <c r="C10" s="42" t="s">
        <v>79</v>
      </c>
      <c r="D10" s="42" t="s">
        <v>86</v>
      </c>
      <c r="E10" s="43">
        <f t="shared" ref="E10:E73" si="6">F10/G10</f>
        <v>0</v>
      </c>
      <c r="F10" s="44">
        <f t="shared" ref="F10:F73" si="7">SUM(H10:L10)</f>
        <v>0</v>
      </c>
      <c r="G10" s="44">
        <f t="shared" ref="G10:G73" si="8">SUM(H10:M10)</f>
        <v>10</v>
      </c>
      <c r="H10" s="44">
        <f>COUNTIF('Login'!$M$44:$M$53,H$3)</f>
        <v>0</v>
      </c>
      <c r="I10" s="44">
        <f>COUNTIF('Login'!$M$44:$M$53,I$3)</f>
        <v>0</v>
      </c>
      <c r="J10" s="44">
        <f>COUNTIF('Login'!$M$44:$M$53,J$3)</f>
        <v>0</v>
      </c>
      <c r="K10" s="44">
        <f>COUNTIF('Login'!$M$44:$M$53,K$3)</f>
        <v>0</v>
      </c>
      <c r="L10" s="44">
        <f>COUNTIF('Login'!$M$44:$M$53,L$3)</f>
        <v>0</v>
      </c>
      <c r="M10" s="44">
        <f>COUNTA('Login'!$G$44:$G$53)-SUM(H10:L10)</f>
        <v>10</v>
      </c>
      <c r="N10" s="43">
        <f t="shared" ref="N10:N73" si="9">O10/P10</f>
        <v>0</v>
      </c>
      <c r="O10" s="44">
        <f t="shared" ref="O10:O73" si="10">SUM(Q10:U10)</f>
        <v>0</v>
      </c>
      <c r="P10" s="44">
        <f t="shared" ref="P10:P73" si="11">SUM(Q10:V10)</f>
        <v>10</v>
      </c>
      <c r="Q10" s="44">
        <f>COUNTIF('Login'!$R$44:$R$53,Q$3)</f>
        <v>0</v>
      </c>
      <c r="R10" s="44">
        <f>COUNTIF('Login'!$R$44:$R$53,R$3)</f>
        <v>0</v>
      </c>
      <c r="S10" s="44">
        <f>COUNTIF('Login'!$R$44:$R$53,S$3)</f>
        <v>0</v>
      </c>
      <c r="T10" s="44">
        <f>COUNTIF('Login'!$R$44:$R$53,T$3)</f>
        <v>0</v>
      </c>
      <c r="U10" s="44">
        <f>COUNTIF('Login'!$R$44:$R$53,U$3)</f>
        <v>0</v>
      </c>
      <c r="V10" s="44">
        <f>COUNTA('Login'!$G$44:$G$53)-SUM(Q10:U10)</f>
        <v>10</v>
      </c>
    </row>
    <row r="11" ht="15.75" customHeight="1">
      <c r="A11"/>
      <c r="B11" s="45"/>
      <c r="C11" s="42" t="s">
        <v>79</v>
      </c>
      <c r="D11" s="42" t="s">
        <v>87</v>
      </c>
      <c r="E11" s="43">
        <f t="shared" si="6"/>
        <v>0</v>
      </c>
      <c r="F11" s="44">
        <f t="shared" si="7"/>
        <v>0</v>
      </c>
      <c r="G11" s="44">
        <f t="shared" si="8"/>
        <v>3</v>
      </c>
      <c r="H11" s="44">
        <f>COUNTIF('Login'!$M$54:$M$56,H$3)</f>
        <v>0</v>
      </c>
      <c r="I11" s="44">
        <f>COUNTIF('Login'!$M$54:$M$56,I$3)</f>
        <v>0</v>
      </c>
      <c r="J11" s="44">
        <f>COUNTIF('Login'!$M$54:$M$56,J$3)</f>
        <v>0</v>
      </c>
      <c r="K11" s="44">
        <f>COUNTIF('Login'!$M$54:$M$56,K$3)</f>
        <v>0</v>
      </c>
      <c r="L11" s="44">
        <f>COUNTIF('Login'!$M$54:$M$56,L$3)</f>
        <v>0</v>
      </c>
      <c r="M11" s="44">
        <f>COUNTA('Login'!$G$54:$G$56)-SUM(H11:L11)</f>
        <v>3</v>
      </c>
      <c r="N11" s="43">
        <f t="shared" si="9"/>
        <v>0</v>
      </c>
      <c r="O11" s="44">
        <f t="shared" si="10"/>
        <v>0</v>
      </c>
      <c r="P11" s="44">
        <f t="shared" si="11"/>
        <v>3</v>
      </c>
      <c r="Q11" s="44">
        <f>COUNTIF('Login'!$R$54:$R$56,Q$3)</f>
        <v>0</v>
      </c>
      <c r="R11" s="44">
        <f>COUNTIF('Login'!$R$54:$R$56,R$3)</f>
        <v>0</v>
      </c>
      <c r="S11" s="44">
        <f>COUNTIF('Login'!$R$54:$R$56,S$3)</f>
        <v>0</v>
      </c>
      <c r="T11" s="44">
        <f>COUNTIF('Login'!$R$54:$R$56,T$3)</f>
        <v>0</v>
      </c>
      <c r="U11" s="44">
        <f>COUNTIF('Login'!$R$54:$R$56,U$3)</f>
        <v>0</v>
      </c>
      <c r="V11" s="44">
        <f>COUNTA('Login'!$G$54:$G$56)-SUM(Q11:U11)</f>
        <v>3</v>
      </c>
    </row>
    <row r="12" ht="15.75" customHeight="1">
      <c r="A12"/>
      <c r="B12" s="45"/>
      <c r="C12" s="42" t="s">
        <v>79</v>
      </c>
      <c r="D12" s="42" t="s">
        <v>88</v>
      </c>
      <c r="E12" s="43">
        <f t="shared" si="6"/>
        <v>0</v>
      </c>
      <c r="F12" s="44">
        <f t="shared" si="7"/>
        <v>0</v>
      </c>
      <c r="G12" s="44">
        <f t="shared" si="8"/>
        <v>3</v>
      </c>
      <c r="H12" s="44">
        <f>COUNTIF('Login'!$M$57:$M$59,H$3)</f>
        <v>0</v>
      </c>
      <c r="I12" s="44">
        <f>COUNTIF('Login'!$M$57:$M$59,I$3)</f>
        <v>0</v>
      </c>
      <c r="J12" s="44">
        <f>COUNTIF('Login'!$M$57:$M$59,J$3)</f>
        <v>0</v>
      </c>
      <c r="K12" s="44">
        <f>COUNTIF('Login'!$M$57:$M$59,K$3)</f>
        <v>0</v>
      </c>
      <c r="L12" s="44">
        <f>COUNTIF('Login'!$M$57:$M$59,L$3)</f>
        <v>0</v>
      </c>
      <c r="M12" s="44">
        <f>COUNTA('Login'!$G$57:$G$59)-SUM(H12:L12)</f>
        <v>3</v>
      </c>
      <c r="N12" s="43">
        <f t="shared" si="9"/>
        <v>0</v>
      </c>
      <c r="O12" s="44">
        <f t="shared" si="10"/>
        <v>0</v>
      </c>
      <c r="P12" s="44">
        <f t="shared" si="11"/>
        <v>3</v>
      </c>
      <c r="Q12" s="44">
        <f>COUNTIF('Login'!$R$57:$R$59,Q$3)</f>
        <v>0</v>
      </c>
      <c r="R12" s="44">
        <f>COUNTIF('Login'!$R$57:$R$59,R$3)</f>
        <v>0</v>
      </c>
      <c r="S12" s="44">
        <f>COUNTIF('Login'!$R$57:$R$59,S$3)</f>
        <v>0</v>
      </c>
      <c r="T12" s="44">
        <f>COUNTIF('Login'!$R$57:$R$59,T$3)</f>
        <v>0</v>
      </c>
      <c r="U12" s="44">
        <f>COUNTIF('Login'!$R$57:$R$59,U$3)</f>
        <v>0</v>
      </c>
      <c r="V12" s="44">
        <f>COUNTA('Login'!$G$57:$G$59)-SUM(Q12:U12)</f>
        <v>3</v>
      </c>
    </row>
    <row r="13" ht="15.75" customHeight="1">
      <c r="A13"/>
      <c r="B13" s="45"/>
      <c r="C13" s="42" t="s">
        <v>79</v>
      </c>
      <c r="D13" s="42" t="s">
        <v>89</v>
      </c>
      <c r="E13" s="43">
        <f t="shared" si="6"/>
        <v>0</v>
      </c>
      <c r="F13" s="44">
        <f t="shared" si="7"/>
        <v>0</v>
      </c>
      <c r="G13" s="44">
        <f t="shared" si="8"/>
        <v>5</v>
      </c>
      <c r="H13" s="44">
        <f>COUNTIF('Login'!$M$60:$M$64,H$3)</f>
        <v>0</v>
      </c>
      <c r="I13" s="44">
        <f>COUNTIF('Login'!$M$60:$M$64,I$3)</f>
        <v>0</v>
      </c>
      <c r="J13" s="44">
        <f>COUNTIF('Login'!$M$60:$M$64,J$3)</f>
        <v>0</v>
      </c>
      <c r="K13" s="44">
        <f>COUNTIF('Login'!$M$60:$M$64,K$3)</f>
        <v>0</v>
      </c>
      <c r="L13" s="44">
        <f>COUNTIF('Login'!$M$60:$M$64,L$3)</f>
        <v>0</v>
      </c>
      <c r="M13" s="44">
        <f>COUNTA('Login'!$G$60:$G$64)-SUM(H13:L13)</f>
        <v>5</v>
      </c>
      <c r="N13" s="43">
        <f t="shared" si="9"/>
        <v>0</v>
      </c>
      <c r="O13" s="44">
        <f t="shared" si="10"/>
        <v>0</v>
      </c>
      <c r="P13" s="44">
        <f t="shared" si="11"/>
        <v>5</v>
      </c>
      <c r="Q13" s="44">
        <f>COUNTIF('Login'!$R$60:$R$64,Q$3)</f>
        <v>0</v>
      </c>
      <c r="R13" s="44">
        <f>COUNTIF('Login'!$R$60:$R$64,R$3)</f>
        <v>0</v>
      </c>
      <c r="S13" s="44">
        <f>COUNTIF('Login'!$R$60:$R$64,S$3)</f>
        <v>0</v>
      </c>
      <c r="T13" s="44">
        <f>COUNTIF('Login'!$R$60:$R$64,T$3)</f>
        <v>0</v>
      </c>
      <c r="U13" s="44">
        <f>COUNTIF('Login'!$R$60:$R$64,U$3)</f>
        <v>0</v>
      </c>
      <c r="V13" s="44">
        <f>COUNTA('Login'!$G$60:$G$64)-SUM(Q13:U13)</f>
        <v>5</v>
      </c>
    </row>
    <row r="14" ht="15.75" customHeight="1">
      <c r="A14"/>
      <c r="B14" s="12"/>
      <c r="C14" s="46" t="s">
        <v>71</v>
      </c>
      <c r="D14" s="46"/>
      <c r="E14" s="47">
        <f t="shared" si="6"/>
        <v>0</v>
      </c>
      <c r="F14" s="48">
        <f t="shared" si="7"/>
        <v>0</v>
      </c>
      <c r="G14" s="48">
        <f t="shared" si="8"/>
        <v>52</v>
      </c>
      <c r="H14" s="48">
        <f>SUM(H4:H13)</f>
        <v>0</v>
      </c>
      <c r="I14" s="48">
        <f>SUM(I4:I13)</f>
        <v>0</v>
      </c>
      <c r="J14" s="48">
        <f>SUM(J4:J13)</f>
        <v>0</v>
      </c>
      <c r="K14" s="48">
        <f>SUM(K4:K13)</f>
        <v>0</v>
      </c>
      <c r="L14" s="48">
        <f>SUM(L4:L13)</f>
        <v>0</v>
      </c>
      <c r="M14" s="48">
        <f>SUM(M4:M13)</f>
        <v>52</v>
      </c>
      <c r="N14" s="47">
        <f t="shared" si="9"/>
        <v>0</v>
      </c>
      <c r="O14" s="48">
        <f t="shared" si="10"/>
        <v>0</v>
      </c>
      <c r="P14" s="48">
        <f t="shared" si="11"/>
        <v>52</v>
      </c>
      <c r="Q14" s="48">
        <f>SUM(Q4:Q13)</f>
        <v>0</v>
      </c>
      <c r="R14" s="48">
        <f>SUM(R4:R13)</f>
        <v>0</v>
      </c>
      <c r="S14" s="48">
        <f>SUM(S4:S13)</f>
        <v>0</v>
      </c>
      <c r="T14" s="48">
        <f>SUM(T4:T13)</f>
        <v>0</v>
      </c>
      <c r="U14" s="48">
        <f>SUM(U4:U13)</f>
        <v>0</v>
      </c>
      <c r="V14" s="48">
        <f>SUM(V4:V13)</f>
        <v>52</v>
      </c>
    </row>
    <row r="15" ht="15.75" customHeight="1">
      <c r="A15"/>
      <c r="B15" s="41" t="s">
        <v>43</v>
      </c>
      <c r="C15" s="42" t="s">
        <v>80</v>
      </c>
      <c r="D15" s="42" t="s">
        <v>90</v>
      </c>
      <c r="E15" s="43">
        <f t="shared" si="6"/>
        <v>0</v>
      </c>
      <c r="F15" s="44">
        <f t="shared" si="7"/>
        <v>0</v>
      </c>
      <c r="G15" s="44">
        <f t="shared" si="8"/>
        <v>2</v>
      </c>
      <c r="H15" s="44">
        <f>COUNTIF('Scopes'!$M$13:$M$14,H$3)</f>
        <v>0</v>
      </c>
      <c r="I15" s="44">
        <f>COUNTIF('Scopes'!$M$13:$M$14,I$3)</f>
        <v>0</v>
      </c>
      <c r="J15" s="44">
        <f>COUNTIF('Scopes'!$M$13:$M$14,J$3)</f>
        <v>0</v>
      </c>
      <c r="K15" s="44">
        <f>COUNTIF('Scopes'!$M$13:$M$14,K$3)</f>
        <v>0</v>
      </c>
      <c r="L15" s="44">
        <f>COUNTIF('Scopes'!$M$13:$M$14,L$3)</f>
        <v>0</v>
      </c>
      <c r="M15" s="44">
        <f>COUNTA('Scopes'!$G$13:$G$14)-SUM(H15:L15)</f>
        <v>2</v>
      </c>
      <c r="N15" s="43">
        <f t="shared" si="9"/>
        <v>0</v>
      </c>
      <c r="O15" s="44">
        <f t="shared" si="10"/>
        <v>0</v>
      </c>
      <c r="P15" s="44">
        <f t="shared" si="11"/>
        <v>2</v>
      </c>
      <c r="Q15" s="44">
        <f>COUNTIF('Scopes'!$R$13:$R$14,Q$3)</f>
        <v>0</v>
      </c>
      <c r="R15" s="44">
        <f>COUNTIF('Scopes'!$R$13:$R$14,R$3)</f>
        <v>0</v>
      </c>
      <c r="S15" s="44">
        <f>COUNTIF('Scopes'!$R$13:$R$14,S$3)</f>
        <v>0</v>
      </c>
      <c r="T15" s="44">
        <f>COUNTIF('Scopes'!$R$13:$R$14,T$3)</f>
        <v>0</v>
      </c>
      <c r="U15" s="44">
        <f>COUNTIF('Scopes'!$R$13:$R$14,U$3)</f>
        <v>0</v>
      </c>
      <c r="V15" s="44">
        <f>COUNTA('Scopes'!$G$13:$G$14)-SUM(Q15:U15)</f>
        <v>2</v>
      </c>
    </row>
    <row r="16" ht="15.75" customHeight="1">
      <c r="A16"/>
      <c r="B16" s="45"/>
      <c r="C16" s="42" t="s">
        <v>80</v>
      </c>
      <c r="D16" s="42" t="s">
        <v>91</v>
      </c>
      <c r="E16" s="43">
        <f t="shared" si="6"/>
        <v>0</v>
      </c>
      <c r="F16" s="44">
        <f t="shared" si="7"/>
        <v>0</v>
      </c>
      <c r="G16" s="44">
        <f t="shared" si="8"/>
        <v>3</v>
      </c>
      <c r="H16" s="44">
        <f>COUNTIF('Scopes'!$M$15:$M$17,H$3)</f>
        <v>0</v>
      </c>
      <c r="I16" s="44">
        <f>COUNTIF('Scopes'!$M$15:$M$17,I$3)</f>
        <v>0</v>
      </c>
      <c r="J16" s="44">
        <f>COUNTIF('Scopes'!$M$15:$M$17,J$3)</f>
        <v>0</v>
      </c>
      <c r="K16" s="44">
        <f>COUNTIF('Scopes'!$M$15:$M$17,K$3)</f>
        <v>0</v>
      </c>
      <c r="L16" s="44">
        <f>COUNTIF('Scopes'!$M$15:$M$17,L$3)</f>
        <v>0</v>
      </c>
      <c r="M16" s="44">
        <f>COUNTA('Scopes'!$G$15:$G$17)-SUM(H16:L16)</f>
        <v>3</v>
      </c>
      <c r="N16" s="43">
        <f t="shared" si="9"/>
        <v>0</v>
      </c>
      <c r="O16" s="44">
        <f t="shared" si="10"/>
        <v>0</v>
      </c>
      <c r="P16" s="44">
        <f t="shared" si="11"/>
        <v>3</v>
      </c>
      <c r="Q16" s="44">
        <f>COUNTIF('Scopes'!$R$15:$R$17,Q$3)</f>
        <v>0</v>
      </c>
      <c r="R16" s="44">
        <f>COUNTIF('Scopes'!$R$15:$R$17,R$3)</f>
        <v>0</v>
      </c>
      <c r="S16" s="44">
        <f>COUNTIF('Scopes'!$R$15:$R$17,S$3)</f>
        <v>0</v>
      </c>
      <c r="T16" s="44">
        <f>COUNTIF('Scopes'!$R$15:$R$17,T$3)</f>
        <v>0</v>
      </c>
      <c r="U16" s="44">
        <f>COUNTIF('Scopes'!$R$15:$R$17,U$3)</f>
        <v>0</v>
      </c>
      <c r="V16" s="44">
        <f>COUNTA('Scopes'!$G$15:$G$17)-SUM(Q16:U16)</f>
        <v>3</v>
      </c>
    </row>
    <row r="17" ht="15.75" customHeight="1">
      <c r="A17"/>
      <c r="B17" s="45"/>
      <c r="C17" s="42" t="s">
        <v>92</v>
      </c>
      <c r="D17" s="42" t="s">
        <v>93</v>
      </c>
      <c r="E17" s="43">
        <f t="shared" si="6"/>
        <v>0</v>
      </c>
      <c r="F17" s="44">
        <f t="shared" si="7"/>
        <v>0</v>
      </c>
      <c r="G17" s="44">
        <f t="shared" si="8"/>
        <v>1</v>
      </c>
      <c r="H17" s="44">
        <f>COUNTIF('Scopes'!$M$18:$M$18,H$3)</f>
        <v>0</v>
      </c>
      <c r="I17" s="44">
        <f>COUNTIF('Scopes'!$M$18:$M$18,I$3)</f>
        <v>0</v>
      </c>
      <c r="J17" s="44">
        <f>COUNTIF('Scopes'!$M$18:$M$18,J$3)</f>
        <v>0</v>
      </c>
      <c r="K17" s="44">
        <f>COUNTIF('Scopes'!$M$18:$M$18,K$3)</f>
        <v>0</v>
      </c>
      <c r="L17" s="44">
        <f>COUNTIF('Scopes'!$M$18:$M$18,L$3)</f>
        <v>0</v>
      </c>
      <c r="M17" s="44">
        <f>COUNTA('Scopes'!$G$18:$G$18)-SUM(H17:L17)</f>
        <v>1</v>
      </c>
      <c r="N17" s="43">
        <f t="shared" si="9"/>
        <v>0</v>
      </c>
      <c r="O17" s="44">
        <f t="shared" si="10"/>
        <v>0</v>
      </c>
      <c r="P17" s="44">
        <f t="shared" si="11"/>
        <v>1</v>
      </c>
      <c r="Q17" s="44">
        <f>COUNTIF('Scopes'!$R$18:$R$18,Q$3)</f>
        <v>0</v>
      </c>
      <c r="R17" s="44">
        <f>COUNTIF('Scopes'!$R$18:$R$18,R$3)</f>
        <v>0</v>
      </c>
      <c r="S17" s="44">
        <f>COUNTIF('Scopes'!$R$18:$R$18,S$3)</f>
        <v>0</v>
      </c>
      <c r="T17" s="44">
        <f>COUNTIF('Scopes'!$R$18:$R$18,T$3)</f>
        <v>0</v>
      </c>
      <c r="U17" s="44">
        <f>COUNTIF('Scopes'!$R$18:$R$18,U$3)</f>
        <v>0</v>
      </c>
      <c r="V17" s="44">
        <f>COUNTA('Scopes'!$G$18:$G$18)-SUM(Q17:U17)</f>
        <v>1</v>
      </c>
    </row>
    <row r="18" ht="15.75" customHeight="1">
      <c r="A18"/>
      <c r="B18" s="45"/>
      <c r="C18" s="42" t="s">
        <v>92</v>
      </c>
      <c r="D18" s="42" t="s">
        <v>94</v>
      </c>
      <c r="E18" s="43">
        <f t="shared" si="6"/>
        <v>0</v>
      </c>
      <c r="F18" s="44">
        <f t="shared" si="7"/>
        <v>0</v>
      </c>
      <c r="G18" s="44">
        <f t="shared" si="8"/>
        <v>1</v>
      </c>
      <c r="H18" s="44">
        <f>COUNTIF('Scopes'!$M$19:$M$19,H$3)</f>
        <v>0</v>
      </c>
      <c r="I18" s="44">
        <f>COUNTIF('Scopes'!$M$19:$M$19,I$3)</f>
        <v>0</v>
      </c>
      <c r="J18" s="44">
        <f>COUNTIF('Scopes'!$M$19:$M$19,J$3)</f>
        <v>0</v>
      </c>
      <c r="K18" s="44">
        <f>COUNTIF('Scopes'!$M$19:$M$19,K$3)</f>
        <v>0</v>
      </c>
      <c r="L18" s="44">
        <f>COUNTIF('Scopes'!$M$19:$M$19,L$3)</f>
        <v>0</v>
      </c>
      <c r="M18" s="44">
        <f>COUNTA('Scopes'!$G$19:$G$19)-SUM(H18:L18)</f>
        <v>1</v>
      </c>
      <c r="N18" s="43">
        <f t="shared" si="9"/>
        <v>0</v>
      </c>
      <c r="O18" s="44">
        <f t="shared" si="10"/>
        <v>0</v>
      </c>
      <c r="P18" s="44">
        <f t="shared" si="11"/>
        <v>1</v>
      </c>
      <c r="Q18" s="44">
        <f>COUNTIF('Scopes'!$R$19:$R$19,Q$3)</f>
        <v>0</v>
      </c>
      <c r="R18" s="44">
        <f>COUNTIF('Scopes'!$R$19:$R$19,R$3)</f>
        <v>0</v>
      </c>
      <c r="S18" s="44">
        <f>COUNTIF('Scopes'!$R$19:$R$19,S$3)</f>
        <v>0</v>
      </c>
      <c r="T18" s="44">
        <f>COUNTIF('Scopes'!$R$19:$R$19,T$3)</f>
        <v>0</v>
      </c>
      <c r="U18" s="44">
        <f>COUNTIF('Scopes'!$R$19:$R$19,U$3)</f>
        <v>0</v>
      </c>
      <c r="V18" s="44">
        <f>COUNTA('Scopes'!$G$19:$G$19)-SUM(Q18:U18)</f>
        <v>1</v>
      </c>
    </row>
    <row r="19" ht="15.75" customHeight="1">
      <c r="A19"/>
      <c r="B19" s="45"/>
      <c r="C19" s="42" t="s">
        <v>92</v>
      </c>
      <c r="D19" s="42" t="s">
        <v>95</v>
      </c>
      <c r="E19" s="43">
        <f t="shared" si="6"/>
        <v>0</v>
      </c>
      <c r="F19" s="44">
        <f t="shared" si="7"/>
        <v>0</v>
      </c>
      <c r="G19" s="44">
        <f t="shared" si="8"/>
        <v>20</v>
      </c>
      <c r="H19" s="44">
        <f>COUNTIF('Scopes'!$M$20:$M$39,H$3)</f>
        <v>0</v>
      </c>
      <c r="I19" s="44">
        <f>COUNTIF('Scopes'!$M$20:$M$39,I$3)</f>
        <v>0</v>
      </c>
      <c r="J19" s="44">
        <f>COUNTIF('Scopes'!$M$20:$M$39,J$3)</f>
        <v>0</v>
      </c>
      <c r="K19" s="44">
        <f>COUNTIF('Scopes'!$M$20:$M$39,K$3)</f>
        <v>0</v>
      </c>
      <c r="L19" s="44">
        <f>COUNTIF('Scopes'!$M$20:$M$39,L$3)</f>
        <v>0</v>
      </c>
      <c r="M19" s="44">
        <f>COUNTA('Scopes'!$G$20:$G$39)-SUM(H19:L19)</f>
        <v>20</v>
      </c>
      <c r="N19" s="43">
        <f t="shared" si="9"/>
        <v>0</v>
      </c>
      <c r="O19" s="44">
        <f t="shared" si="10"/>
        <v>0</v>
      </c>
      <c r="P19" s="44">
        <f t="shared" si="11"/>
        <v>20</v>
      </c>
      <c r="Q19" s="44">
        <f>COUNTIF('Scopes'!$R$20:$R$39,Q$3)</f>
        <v>0</v>
      </c>
      <c r="R19" s="44">
        <f>COUNTIF('Scopes'!$R$20:$R$39,R$3)</f>
        <v>0</v>
      </c>
      <c r="S19" s="44">
        <f>COUNTIF('Scopes'!$R$20:$R$39,S$3)</f>
        <v>0</v>
      </c>
      <c r="T19" s="44">
        <f>COUNTIF('Scopes'!$R$20:$R$39,T$3)</f>
        <v>0</v>
      </c>
      <c r="U19" s="44">
        <f>COUNTIF('Scopes'!$R$20:$R$39,U$3)</f>
        <v>0</v>
      </c>
      <c r="V19" s="44">
        <f>COUNTA('Scopes'!$G$20:$G$39)-SUM(Q19:U19)</f>
        <v>20</v>
      </c>
    </row>
    <row r="20" ht="15.75" customHeight="1">
      <c r="A20"/>
      <c r="B20" s="45"/>
      <c r="C20" s="42" t="s">
        <v>92</v>
      </c>
      <c r="D20" s="42" t="s">
        <v>96</v>
      </c>
      <c r="E20" s="43">
        <f t="shared" si="6"/>
        <v>0</v>
      </c>
      <c r="F20" s="44">
        <f t="shared" si="7"/>
        <v>0</v>
      </c>
      <c r="G20" s="44">
        <f t="shared" si="8"/>
        <v>7</v>
      </c>
      <c r="H20" s="44">
        <f>COUNTIF('Scopes'!$M$40:$M$46,H$3)</f>
        <v>0</v>
      </c>
      <c r="I20" s="44">
        <f>COUNTIF('Scopes'!$M$40:$M$46,I$3)</f>
        <v>0</v>
      </c>
      <c r="J20" s="44">
        <f>COUNTIF('Scopes'!$M$40:$M$46,J$3)</f>
        <v>0</v>
      </c>
      <c r="K20" s="44">
        <f>COUNTIF('Scopes'!$M$40:$M$46,K$3)</f>
        <v>0</v>
      </c>
      <c r="L20" s="44">
        <f>COUNTIF('Scopes'!$M$40:$M$46,L$3)</f>
        <v>0</v>
      </c>
      <c r="M20" s="44">
        <f>COUNTA('Scopes'!$G$40:$G$46)-SUM(H20:L20)</f>
        <v>7</v>
      </c>
      <c r="N20" s="43">
        <f t="shared" si="9"/>
        <v>0</v>
      </c>
      <c r="O20" s="44">
        <f t="shared" si="10"/>
        <v>0</v>
      </c>
      <c r="P20" s="44">
        <f t="shared" si="11"/>
        <v>7</v>
      </c>
      <c r="Q20" s="44">
        <f>COUNTIF('Scopes'!$R$40:$R$46,Q$3)</f>
        <v>0</v>
      </c>
      <c r="R20" s="44">
        <f>COUNTIF('Scopes'!$R$40:$R$46,R$3)</f>
        <v>0</v>
      </c>
      <c r="S20" s="44">
        <f>COUNTIF('Scopes'!$R$40:$R$46,S$3)</f>
        <v>0</v>
      </c>
      <c r="T20" s="44">
        <f>COUNTIF('Scopes'!$R$40:$R$46,T$3)</f>
        <v>0</v>
      </c>
      <c r="U20" s="44">
        <f>COUNTIF('Scopes'!$R$40:$R$46,U$3)</f>
        <v>0</v>
      </c>
      <c r="V20" s="44">
        <f>COUNTA('Scopes'!$G$40:$G$46)-SUM(Q20:U20)</f>
        <v>7</v>
      </c>
    </row>
    <row r="21" ht="15.75" customHeight="1">
      <c r="A21"/>
      <c r="B21" s="45"/>
      <c r="C21" s="42" t="s">
        <v>92</v>
      </c>
      <c r="D21" s="42" t="s">
        <v>97</v>
      </c>
      <c r="E21" s="43">
        <f t="shared" si="6"/>
        <v>0</v>
      </c>
      <c r="F21" s="44">
        <f t="shared" si="7"/>
        <v>0</v>
      </c>
      <c r="G21" s="44">
        <f t="shared" si="8"/>
        <v>22</v>
      </c>
      <c r="H21" s="44">
        <f>COUNTIF('Scopes'!$M$47:$M$68,H$3)</f>
        <v>0</v>
      </c>
      <c r="I21" s="44">
        <f>COUNTIF('Scopes'!$M$47:$M$68,I$3)</f>
        <v>0</v>
      </c>
      <c r="J21" s="44">
        <f>COUNTIF('Scopes'!$M$47:$M$68,J$3)</f>
        <v>0</v>
      </c>
      <c r="K21" s="44">
        <f>COUNTIF('Scopes'!$M$47:$M$68,K$3)</f>
        <v>0</v>
      </c>
      <c r="L21" s="44">
        <f>COUNTIF('Scopes'!$M$47:$M$68,L$3)</f>
        <v>0</v>
      </c>
      <c r="M21" s="44">
        <f>COUNTA('Scopes'!$G$47:$G$68)-SUM(H21:L21)</f>
        <v>22</v>
      </c>
      <c r="N21" s="43">
        <f t="shared" si="9"/>
        <v>0</v>
      </c>
      <c r="O21" s="44">
        <f t="shared" si="10"/>
        <v>0</v>
      </c>
      <c r="P21" s="44">
        <f t="shared" si="11"/>
        <v>22</v>
      </c>
      <c r="Q21" s="44">
        <f>COUNTIF('Scopes'!$R$47:$R$68,Q$3)</f>
        <v>0</v>
      </c>
      <c r="R21" s="44">
        <f>COUNTIF('Scopes'!$R$47:$R$68,R$3)</f>
        <v>0</v>
      </c>
      <c r="S21" s="44">
        <f>COUNTIF('Scopes'!$R$47:$R$68,S$3)</f>
        <v>0</v>
      </c>
      <c r="T21" s="44">
        <f>COUNTIF('Scopes'!$R$47:$R$68,T$3)</f>
        <v>0</v>
      </c>
      <c r="U21" s="44">
        <f>COUNTIF('Scopes'!$R$47:$R$68,U$3)</f>
        <v>0</v>
      </c>
      <c r="V21" s="44">
        <f>COUNTA('Scopes'!$G$47:$G$68)-SUM(Q21:U21)</f>
        <v>22</v>
      </c>
    </row>
    <row r="22" ht="15.75" customHeight="1">
      <c r="A22"/>
      <c r="B22" s="45"/>
      <c r="C22" s="42" t="s">
        <v>92</v>
      </c>
      <c r="D22" s="42" t="s">
        <v>98</v>
      </c>
      <c r="E22" s="43">
        <f t="shared" si="6"/>
        <v>0</v>
      </c>
      <c r="F22" s="44">
        <f t="shared" si="7"/>
        <v>0</v>
      </c>
      <c r="G22" s="44">
        <f t="shared" si="8"/>
        <v>5</v>
      </c>
      <c r="H22" s="44">
        <f>COUNTIF('Scopes'!$M$69:$M$73,H$3)</f>
        <v>0</v>
      </c>
      <c r="I22" s="44">
        <f>COUNTIF('Scopes'!$M$69:$M$73,I$3)</f>
        <v>0</v>
      </c>
      <c r="J22" s="44">
        <f>COUNTIF('Scopes'!$M$69:$M$73,J$3)</f>
        <v>0</v>
      </c>
      <c r="K22" s="44">
        <f>COUNTIF('Scopes'!$M$69:$M$73,K$3)</f>
        <v>0</v>
      </c>
      <c r="L22" s="44">
        <f>COUNTIF('Scopes'!$M$69:$M$73,L$3)</f>
        <v>0</v>
      </c>
      <c r="M22" s="44">
        <f>COUNTA('Scopes'!$G$69:$G$73)-SUM(H22:L22)</f>
        <v>5</v>
      </c>
      <c r="N22" s="43">
        <f t="shared" si="9"/>
        <v>0</v>
      </c>
      <c r="O22" s="44">
        <f t="shared" si="10"/>
        <v>0</v>
      </c>
      <c r="P22" s="44">
        <f t="shared" si="11"/>
        <v>5</v>
      </c>
      <c r="Q22" s="44">
        <f>COUNTIF('Scopes'!$R$69:$R$73,Q$3)</f>
        <v>0</v>
      </c>
      <c r="R22" s="44">
        <f>COUNTIF('Scopes'!$R$69:$R$73,R$3)</f>
        <v>0</v>
      </c>
      <c r="S22" s="44">
        <f>COUNTIF('Scopes'!$R$69:$R$73,S$3)</f>
        <v>0</v>
      </c>
      <c r="T22" s="44">
        <f>COUNTIF('Scopes'!$R$69:$R$73,T$3)</f>
        <v>0</v>
      </c>
      <c r="U22" s="44">
        <f>COUNTIF('Scopes'!$R$69:$R$73,U$3)</f>
        <v>0</v>
      </c>
      <c r="V22" s="44">
        <f>COUNTA('Scopes'!$G$69:$G$73)-SUM(Q22:U22)</f>
        <v>5</v>
      </c>
    </row>
    <row r="23" ht="15.75" customHeight="1">
      <c r="A23"/>
      <c r="B23" s="45"/>
      <c r="C23" s="42" t="s">
        <v>99</v>
      </c>
      <c r="D23" s="42" t="s">
        <v>100</v>
      </c>
      <c r="E23" s="43">
        <f t="shared" si="6"/>
        <v>0</v>
      </c>
      <c r="F23" s="44">
        <f t="shared" si="7"/>
        <v>0</v>
      </c>
      <c r="G23" s="44">
        <f t="shared" si="8"/>
        <v>7</v>
      </c>
      <c r="H23" s="44">
        <f>COUNTIF('Scopes'!$M$74:$M$80,H$3)</f>
        <v>0</v>
      </c>
      <c r="I23" s="44">
        <f>COUNTIF('Scopes'!$M$74:$M$80,I$3)</f>
        <v>0</v>
      </c>
      <c r="J23" s="44">
        <f>COUNTIF('Scopes'!$M$74:$M$80,J$3)</f>
        <v>0</v>
      </c>
      <c r="K23" s="44">
        <f>COUNTIF('Scopes'!$M$74:$M$80,K$3)</f>
        <v>0</v>
      </c>
      <c r="L23" s="44">
        <f>COUNTIF('Scopes'!$M$74:$M$80,L$3)</f>
        <v>0</v>
      </c>
      <c r="M23" s="44">
        <f>COUNTA('Scopes'!$G$74:$G$80)-SUM(H23:L23)</f>
        <v>7</v>
      </c>
      <c r="N23" s="43">
        <f t="shared" si="9"/>
        <v>0</v>
      </c>
      <c r="O23" s="44">
        <f t="shared" si="10"/>
        <v>0</v>
      </c>
      <c r="P23" s="44">
        <f t="shared" si="11"/>
        <v>7</v>
      </c>
      <c r="Q23" s="44">
        <f>COUNTIF('Scopes'!$R$74:$R$80,Q$3)</f>
        <v>0</v>
      </c>
      <c r="R23" s="44">
        <f>COUNTIF('Scopes'!$R$74:$R$80,R$3)</f>
        <v>0</v>
      </c>
      <c r="S23" s="44">
        <f>COUNTIF('Scopes'!$R$74:$R$80,S$3)</f>
        <v>0</v>
      </c>
      <c r="T23" s="44">
        <f>COUNTIF('Scopes'!$R$74:$R$80,T$3)</f>
        <v>0</v>
      </c>
      <c r="U23" s="44">
        <f>COUNTIF('Scopes'!$R$74:$R$80,U$3)</f>
        <v>0</v>
      </c>
      <c r="V23" s="44">
        <f>COUNTA('Scopes'!$G$74:$G$80)-SUM(Q23:U23)</f>
        <v>7</v>
      </c>
    </row>
    <row r="24" ht="15.75" customHeight="1">
      <c r="A24"/>
      <c r="B24" s="45"/>
      <c r="C24" s="42" t="s">
        <v>99</v>
      </c>
      <c r="D24" s="42" t="s">
        <v>101</v>
      </c>
      <c r="E24" s="43">
        <f t="shared" si="6"/>
        <v>0</v>
      </c>
      <c r="F24" s="44">
        <f t="shared" si="7"/>
        <v>0</v>
      </c>
      <c r="G24" s="44">
        <f t="shared" si="8"/>
        <v>2</v>
      </c>
      <c r="H24" s="44">
        <f>COUNTIF('Scopes'!$M$81:$M$82,H$3)</f>
        <v>0</v>
      </c>
      <c r="I24" s="44">
        <f>COUNTIF('Scopes'!$M$81:$M$82,I$3)</f>
        <v>0</v>
      </c>
      <c r="J24" s="44">
        <f>COUNTIF('Scopes'!$M$81:$M$82,J$3)</f>
        <v>0</v>
      </c>
      <c r="K24" s="44">
        <f>COUNTIF('Scopes'!$M$81:$M$82,K$3)</f>
        <v>0</v>
      </c>
      <c r="L24" s="44">
        <f>COUNTIF('Scopes'!$M$81:$M$82,L$3)</f>
        <v>0</v>
      </c>
      <c r="M24" s="44">
        <f>COUNTA('Scopes'!$G$81:$G$82)-SUM(H24:L24)</f>
        <v>2</v>
      </c>
      <c r="N24" s="43">
        <f t="shared" si="9"/>
        <v>0</v>
      </c>
      <c r="O24" s="44">
        <f t="shared" si="10"/>
        <v>0</v>
      </c>
      <c r="P24" s="44">
        <f t="shared" si="11"/>
        <v>2</v>
      </c>
      <c r="Q24" s="44">
        <f>COUNTIF('Scopes'!$R$81:$R$82,Q$3)</f>
        <v>0</v>
      </c>
      <c r="R24" s="44">
        <f>COUNTIF('Scopes'!$R$81:$R$82,R$3)</f>
        <v>0</v>
      </c>
      <c r="S24" s="44">
        <f>COUNTIF('Scopes'!$R$81:$R$82,S$3)</f>
        <v>0</v>
      </c>
      <c r="T24" s="44">
        <f>COUNTIF('Scopes'!$R$81:$R$82,T$3)</f>
        <v>0</v>
      </c>
      <c r="U24" s="44">
        <f>COUNTIF('Scopes'!$R$81:$R$82,U$3)</f>
        <v>0</v>
      </c>
      <c r="V24" s="44">
        <f>COUNTA('Scopes'!$G$81:$G$82)-SUM(Q24:U24)</f>
        <v>2</v>
      </c>
    </row>
    <row r="25" ht="15.75" customHeight="1">
      <c r="A25"/>
      <c r="B25" s="45"/>
      <c r="C25" s="42" t="s">
        <v>99</v>
      </c>
      <c r="D25" s="42" t="s">
        <v>102</v>
      </c>
      <c r="E25" s="43">
        <f t="shared" si="6"/>
        <v>0</v>
      </c>
      <c r="F25" s="44">
        <f t="shared" si="7"/>
        <v>0</v>
      </c>
      <c r="G25" s="44">
        <f t="shared" si="8"/>
        <v>4</v>
      </c>
      <c r="H25" s="44">
        <f>COUNTIF('Scopes'!$M$83:$M$86,H$3)</f>
        <v>0</v>
      </c>
      <c r="I25" s="44">
        <f>COUNTIF('Scopes'!$M$83:$M$86,I$3)</f>
        <v>0</v>
      </c>
      <c r="J25" s="44">
        <f>COUNTIF('Scopes'!$M$83:$M$86,J$3)</f>
        <v>0</v>
      </c>
      <c r="K25" s="44">
        <f>COUNTIF('Scopes'!$M$83:$M$86,K$3)</f>
        <v>0</v>
      </c>
      <c r="L25" s="44">
        <f>COUNTIF('Scopes'!$M$83:$M$86,L$3)</f>
        <v>0</v>
      </c>
      <c r="M25" s="44">
        <f>COUNTA('Scopes'!$G$83:$G$86)-SUM(H25:L25)</f>
        <v>4</v>
      </c>
      <c r="N25" s="43">
        <f t="shared" si="9"/>
        <v>0</v>
      </c>
      <c r="O25" s="44">
        <f t="shared" si="10"/>
        <v>0</v>
      </c>
      <c r="P25" s="44">
        <f t="shared" si="11"/>
        <v>4</v>
      </c>
      <c r="Q25" s="44">
        <f>COUNTIF('Scopes'!$R$83:$R$86,Q$3)</f>
        <v>0</v>
      </c>
      <c r="R25" s="44">
        <f>COUNTIF('Scopes'!$R$83:$R$86,R$3)</f>
        <v>0</v>
      </c>
      <c r="S25" s="44">
        <f>COUNTIF('Scopes'!$R$83:$R$86,S$3)</f>
        <v>0</v>
      </c>
      <c r="T25" s="44">
        <f>COUNTIF('Scopes'!$R$83:$R$86,T$3)</f>
        <v>0</v>
      </c>
      <c r="U25" s="44">
        <f>COUNTIF('Scopes'!$R$83:$R$86,U$3)</f>
        <v>0</v>
      </c>
      <c r="V25" s="44">
        <f>COUNTA('Scopes'!$G$83:$G$86)-SUM(Q25:U25)</f>
        <v>4</v>
      </c>
    </row>
    <row r="26" ht="15.75" customHeight="1">
      <c r="A26"/>
      <c r="B26" s="45"/>
      <c r="C26" s="42" t="s">
        <v>99</v>
      </c>
      <c r="D26" s="42" t="s">
        <v>103</v>
      </c>
      <c r="E26" s="43">
        <f t="shared" si="6"/>
        <v>0</v>
      </c>
      <c r="F26" s="44">
        <f t="shared" si="7"/>
        <v>0</v>
      </c>
      <c r="G26" s="44">
        <f t="shared" si="8"/>
        <v>9</v>
      </c>
      <c r="H26" s="44">
        <f>COUNTIF('Scopes'!$M$87:$M$95,H$3)</f>
        <v>0</v>
      </c>
      <c r="I26" s="44">
        <f>COUNTIF('Scopes'!$M$87:$M$95,I$3)</f>
        <v>0</v>
      </c>
      <c r="J26" s="44">
        <f>COUNTIF('Scopes'!$M$87:$M$95,J$3)</f>
        <v>0</v>
      </c>
      <c r="K26" s="44">
        <f>COUNTIF('Scopes'!$M$87:$M$95,K$3)</f>
        <v>0</v>
      </c>
      <c r="L26" s="44">
        <f>COUNTIF('Scopes'!$M$87:$M$95,L$3)</f>
        <v>0</v>
      </c>
      <c r="M26" s="44">
        <f>COUNTA('Scopes'!$G$87:$G$95)-SUM(H26:L26)</f>
        <v>9</v>
      </c>
      <c r="N26" s="43">
        <f t="shared" si="9"/>
        <v>0</v>
      </c>
      <c r="O26" s="44">
        <f t="shared" si="10"/>
        <v>0</v>
      </c>
      <c r="P26" s="44">
        <f t="shared" si="11"/>
        <v>9</v>
      </c>
      <c r="Q26" s="44">
        <f>COUNTIF('Scopes'!$R$87:$R$95,Q$3)</f>
        <v>0</v>
      </c>
      <c r="R26" s="44">
        <f>COUNTIF('Scopes'!$R$87:$R$95,R$3)</f>
        <v>0</v>
      </c>
      <c r="S26" s="44">
        <f>COUNTIF('Scopes'!$R$87:$R$95,S$3)</f>
        <v>0</v>
      </c>
      <c r="T26" s="44">
        <f>COUNTIF('Scopes'!$R$87:$R$95,T$3)</f>
        <v>0</v>
      </c>
      <c r="U26" s="44">
        <f>COUNTIF('Scopes'!$R$87:$R$95,U$3)</f>
        <v>0</v>
      </c>
      <c r="V26" s="44">
        <f>COUNTA('Scopes'!$G$87:$G$95)-SUM(Q26:U26)</f>
        <v>9</v>
      </c>
    </row>
    <row r="27" ht="15.75" customHeight="1">
      <c r="A27"/>
      <c r="B27" s="45"/>
      <c r="C27" s="42" t="s">
        <v>99</v>
      </c>
      <c r="D27" s="42" t="s">
        <v>104</v>
      </c>
      <c r="E27" s="43">
        <f t="shared" si="6"/>
        <v>0</v>
      </c>
      <c r="F27" s="44">
        <f t="shared" si="7"/>
        <v>0</v>
      </c>
      <c r="G27" s="44">
        <f t="shared" si="8"/>
        <v>12</v>
      </c>
      <c r="H27" s="44">
        <f>COUNTIF('Scopes'!$M$96:$M$107,H$3)</f>
        <v>0</v>
      </c>
      <c r="I27" s="44">
        <f>COUNTIF('Scopes'!$M$96:$M$107,I$3)</f>
        <v>0</v>
      </c>
      <c r="J27" s="44">
        <f>COUNTIF('Scopes'!$M$96:$M$107,J$3)</f>
        <v>0</v>
      </c>
      <c r="K27" s="44">
        <f>COUNTIF('Scopes'!$M$96:$M$107,K$3)</f>
        <v>0</v>
      </c>
      <c r="L27" s="44">
        <f>COUNTIF('Scopes'!$M$96:$M$107,L$3)</f>
        <v>0</v>
      </c>
      <c r="M27" s="44">
        <f>COUNTA('Scopes'!$G$96:$G$107)-SUM(H27:L27)</f>
        <v>12</v>
      </c>
      <c r="N27" s="43">
        <f t="shared" si="9"/>
        <v>0</v>
      </c>
      <c r="O27" s="44">
        <f t="shared" si="10"/>
        <v>0</v>
      </c>
      <c r="P27" s="44">
        <f t="shared" si="11"/>
        <v>12</v>
      </c>
      <c r="Q27" s="44">
        <f>COUNTIF('Scopes'!$R$96:$R$107,Q$3)</f>
        <v>0</v>
      </c>
      <c r="R27" s="44">
        <f>COUNTIF('Scopes'!$R$96:$R$107,R$3)</f>
        <v>0</v>
      </c>
      <c r="S27" s="44">
        <f>COUNTIF('Scopes'!$R$96:$R$107,S$3)</f>
        <v>0</v>
      </c>
      <c r="T27" s="44">
        <f>COUNTIF('Scopes'!$R$96:$R$107,T$3)</f>
        <v>0</v>
      </c>
      <c r="U27" s="44">
        <f>COUNTIF('Scopes'!$R$96:$R$107,U$3)</f>
        <v>0</v>
      </c>
      <c r="V27" s="44">
        <f>COUNTA('Scopes'!$G$96:$G$107)-SUM(Q27:U27)</f>
        <v>12</v>
      </c>
    </row>
    <row r="28" ht="15.75" customHeight="1">
      <c r="A28"/>
      <c r="B28" s="45"/>
      <c r="C28" s="42" t="s">
        <v>99</v>
      </c>
      <c r="D28" s="42" t="s">
        <v>105</v>
      </c>
      <c r="E28" s="43">
        <f t="shared" si="6"/>
        <v>0</v>
      </c>
      <c r="F28" s="44">
        <f t="shared" si="7"/>
        <v>0</v>
      </c>
      <c r="G28" s="44">
        <f t="shared" si="8"/>
        <v>12</v>
      </c>
      <c r="H28" s="44">
        <f>COUNTIF('Scopes'!$M$108:$M$119,H$3)</f>
        <v>0</v>
      </c>
      <c r="I28" s="44">
        <f>COUNTIF('Scopes'!$M$108:$M$119,I$3)</f>
        <v>0</v>
      </c>
      <c r="J28" s="44">
        <f>COUNTIF('Scopes'!$M$108:$M$119,J$3)</f>
        <v>0</v>
      </c>
      <c r="K28" s="44">
        <f>COUNTIF('Scopes'!$M$108:$M$119,K$3)</f>
        <v>0</v>
      </c>
      <c r="L28" s="44">
        <f>COUNTIF('Scopes'!$M$108:$M$119,L$3)</f>
        <v>0</v>
      </c>
      <c r="M28" s="44">
        <f>COUNTA('Scopes'!$G$108:$G$119)-SUM(H28:L28)</f>
        <v>12</v>
      </c>
      <c r="N28" s="43">
        <f t="shared" si="9"/>
        <v>0</v>
      </c>
      <c r="O28" s="44">
        <f t="shared" si="10"/>
        <v>0</v>
      </c>
      <c r="P28" s="44">
        <f t="shared" si="11"/>
        <v>12</v>
      </c>
      <c r="Q28" s="44">
        <f>COUNTIF('Scopes'!$R$108:$R$119,Q$3)</f>
        <v>0</v>
      </c>
      <c r="R28" s="44">
        <f>COUNTIF('Scopes'!$R$108:$R$119,R$3)</f>
        <v>0</v>
      </c>
      <c r="S28" s="44">
        <f>COUNTIF('Scopes'!$R$108:$R$119,S$3)</f>
        <v>0</v>
      </c>
      <c r="T28" s="44">
        <f>COUNTIF('Scopes'!$R$108:$R$119,T$3)</f>
        <v>0</v>
      </c>
      <c r="U28" s="44">
        <f>COUNTIF('Scopes'!$R$108:$R$119,U$3)</f>
        <v>0</v>
      </c>
      <c r="V28" s="44">
        <f>COUNTA('Scopes'!$G$108:$G$119)-SUM(Q28:U28)</f>
        <v>12</v>
      </c>
    </row>
    <row r="29" ht="15.75" customHeight="1">
      <c r="A29"/>
      <c r="B29" s="45"/>
      <c r="C29" s="42" t="s">
        <v>99</v>
      </c>
      <c r="D29" s="42" t="s">
        <v>106</v>
      </c>
      <c r="E29" s="43">
        <f t="shared" si="6"/>
        <v>0</v>
      </c>
      <c r="F29" s="44">
        <f t="shared" si="7"/>
        <v>0</v>
      </c>
      <c r="G29" s="44">
        <f t="shared" si="8"/>
        <v>6</v>
      </c>
      <c r="H29" s="44">
        <f>COUNTIF('Scopes'!$M$120:$M$125,H$3)</f>
        <v>0</v>
      </c>
      <c r="I29" s="44">
        <f>COUNTIF('Scopes'!$M$120:$M$125,I$3)</f>
        <v>0</v>
      </c>
      <c r="J29" s="44">
        <f>COUNTIF('Scopes'!$M$120:$M$125,J$3)</f>
        <v>0</v>
      </c>
      <c r="K29" s="44">
        <f>COUNTIF('Scopes'!$M$120:$M$125,K$3)</f>
        <v>0</v>
      </c>
      <c r="L29" s="44">
        <f>COUNTIF('Scopes'!$M$120:$M$125,L$3)</f>
        <v>0</v>
      </c>
      <c r="M29" s="44">
        <f>COUNTA('Scopes'!$G$120:$G$125)-SUM(H29:L29)</f>
        <v>6</v>
      </c>
      <c r="N29" s="43">
        <f t="shared" si="9"/>
        <v>0</v>
      </c>
      <c r="O29" s="44">
        <f t="shared" si="10"/>
        <v>0</v>
      </c>
      <c r="P29" s="44">
        <f t="shared" si="11"/>
        <v>6</v>
      </c>
      <c r="Q29" s="44">
        <f>COUNTIF('Scopes'!$R$120:$R$125,Q$3)</f>
        <v>0</v>
      </c>
      <c r="R29" s="44">
        <f>COUNTIF('Scopes'!$R$120:$R$125,R$3)</f>
        <v>0</v>
      </c>
      <c r="S29" s="44">
        <f>COUNTIF('Scopes'!$R$120:$R$125,S$3)</f>
        <v>0</v>
      </c>
      <c r="T29" s="44">
        <f>COUNTIF('Scopes'!$R$120:$R$125,T$3)</f>
        <v>0</v>
      </c>
      <c r="U29" s="44">
        <f>COUNTIF('Scopes'!$R$120:$R$125,U$3)</f>
        <v>0</v>
      </c>
      <c r="V29" s="44">
        <f>COUNTA('Scopes'!$G$120:$G$125)-SUM(Q29:U29)</f>
        <v>6</v>
      </c>
    </row>
    <row r="30" ht="15.75" customHeight="1">
      <c r="A30"/>
      <c r="B30" s="45"/>
      <c r="C30" s="42" t="s">
        <v>99</v>
      </c>
      <c r="D30" s="42" t="s">
        <v>107</v>
      </c>
      <c r="E30" s="43">
        <f t="shared" si="6"/>
        <v>0</v>
      </c>
      <c r="F30" s="44">
        <f t="shared" si="7"/>
        <v>0</v>
      </c>
      <c r="G30" s="44">
        <f t="shared" si="8"/>
        <v>3</v>
      </c>
      <c r="H30" s="44">
        <f>COUNTIF('Scopes'!$M$126:$M$128,H$3)</f>
        <v>0</v>
      </c>
      <c r="I30" s="44">
        <f>COUNTIF('Scopes'!$M$126:$M$128,I$3)</f>
        <v>0</v>
      </c>
      <c r="J30" s="44">
        <f>COUNTIF('Scopes'!$M$126:$M$128,J$3)</f>
        <v>0</v>
      </c>
      <c r="K30" s="44">
        <f>COUNTIF('Scopes'!$M$126:$M$128,K$3)</f>
        <v>0</v>
      </c>
      <c r="L30" s="44">
        <f>COUNTIF('Scopes'!$M$126:$M$128,L$3)</f>
        <v>0</v>
      </c>
      <c r="M30" s="44">
        <f>COUNTA('Scopes'!$G$126:$G$128)-SUM(H30:L30)</f>
        <v>3</v>
      </c>
      <c r="N30" s="43">
        <f t="shared" si="9"/>
        <v>0</v>
      </c>
      <c r="O30" s="44">
        <f t="shared" si="10"/>
        <v>0</v>
      </c>
      <c r="P30" s="44">
        <f t="shared" si="11"/>
        <v>3</v>
      </c>
      <c r="Q30" s="44">
        <f>COUNTIF('Scopes'!$R$126:$R$128,Q$3)</f>
        <v>0</v>
      </c>
      <c r="R30" s="44">
        <f>COUNTIF('Scopes'!$R$126:$R$128,R$3)</f>
        <v>0</v>
      </c>
      <c r="S30" s="44">
        <f>COUNTIF('Scopes'!$R$126:$R$128,S$3)</f>
        <v>0</v>
      </c>
      <c r="T30" s="44">
        <f>COUNTIF('Scopes'!$R$126:$R$128,T$3)</f>
        <v>0</v>
      </c>
      <c r="U30" s="44">
        <f>COUNTIF('Scopes'!$R$126:$R$128,U$3)</f>
        <v>0</v>
      </c>
      <c r="V30" s="44">
        <f>COUNTA('Scopes'!$G$126:$G$128)-SUM(Q30:U30)</f>
        <v>3</v>
      </c>
    </row>
    <row r="31" ht="15.75" customHeight="1">
      <c r="A31"/>
      <c r="B31" s="45"/>
      <c r="C31" s="42" t="s">
        <v>99</v>
      </c>
      <c r="D31" s="42" t="s">
        <v>108</v>
      </c>
      <c r="E31" s="43">
        <f t="shared" si="6"/>
        <v>0</v>
      </c>
      <c r="F31" s="44">
        <f t="shared" si="7"/>
        <v>0</v>
      </c>
      <c r="G31" s="44">
        <f t="shared" si="8"/>
        <v>8</v>
      </c>
      <c r="H31" s="44">
        <f>COUNTIF('Scopes'!$M$129:$M$136,H$3)</f>
        <v>0</v>
      </c>
      <c r="I31" s="44">
        <f>COUNTIF('Scopes'!$M$129:$M$136,I$3)</f>
        <v>0</v>
      </c>
      <c r="J31" s="44">
        <f>COUNTIF('Scopes'!$M$129:$M$136,J$3)</f>
        <v>0</v>
      </c>
      <c r="K31" s="44">
        <f>COUNTIF('Scopes'!$M$129:$M$136,K$3)</f>
        <v>0</v>
      </c>
      <c r="L31" s="44">
        <f>COUNTIF('Scopes'!$M$129:$M$136,L$3)</f>
        <v>0</v>
      </c>
      <c r="M31" s="44">
        <f>COUNTA('Scopes'!$G$129:$G$136)-SUM(H31:L31)</f>
        <v>8</v>
      </c>
      <c r="N31" s="43">
        <f t="shared" si="9"/>
        <v>0</v>
      </c>
      <c r="O31" s="44">
        <f t="shared" si="10"/>
        <v>0</v>
      </c>
      <c r="P31" s="44">
        <f t="shared" si="11"/>
        <v>8</v>
      </c>
      <c r="Q31" s="44">
        <f>COUNTIF('Scopes'!$R$129:$R$136,Q$3)</f>
        <v>0</v>
      </c>
      <c r="R31" s="44">
        <f>COUNTIF('Scopes'!$R$129:$R$136,R$3)</f>
        <v>0</v>
      </c>
      <c r="S31" s="44">
        <f>COUNTIF('Scopes'!$R$129:$R$136,S$3)</f>
        <v>0</v>
      </c>
      <c r="T31" s="44">
        <f>COUNTIF('Scopes'!$R$129:$R$136,T$3)</f>
        <v>0</v>
      </c>
      <c r="U31" s="44">
        <f>COUNTIF('Scopes'!$R$129:$R$136,U$3)</f>
        <v>0</v>
      </c>
      <c r="V31" s="44">
        <f>COUNTA('Scopes'!$G$129:$G$136)-SUM(Q31:U31)</f>
        <v>8</v>
      </c>
    </row>
    <row r="32" ht="15.75" customHeight="1">
      <c r="A32"/>
      <c r="B32" s="45"/>
      <c r="C32" s="42" t="s">
        <v>99</v>
      </c>
      <c r="D32" s="42" t="s">
        <v>109</v>
      </c>
      <c r="E32" s="43">
        <f t="shared" si="6"/>
        <v>0</v>
      </c>
      <c r="F32" s="44">
        <f t="shared" si="7"/>
        <v>0</v>
      </c>
      <c r="G32" s="44">
        <f t="shared" si="8"/>
        <v>1</v>
      </c>
      <c r="H32" s="44">
        <f>COUNTIF('Scopes'!$M$137:$M$137,H$3)</f>
        <v>0</v>
      </c>
      <c r="I32" s="44">
        <f>COUNTIF('Scopes'!$M$137:$M$137,I$3)</f>
        <v>0</v>
      </c>
      <c r="J32" s="44">
        <f>COUNTIF('Scopes'!$M$137:$M$137,J$3)</f>
        <v>0</v>
      </c>
      <c r="K32" s="44">
        <f>COUNTIF('Scopes'!$M$137:$M$137,K$3)</f>
        <v>0</v>
      </c>
      <c r="L32" s="44">
        <f>COUNTIF('Scopes'!$M$137:$M$137,L$3)</f>
        <v>0</v>
      </c>
      <c r="M32" s="44">
        <f>COUNTA('Scopes'!$G$137:$G$137)-SUM(H32:L32)</f>
        <v>1</v>
      </c>
      <c r="N32" s="43">
        <f t="shared" si="9"/>
        <v>0</v>
      </c>
      <c r="O32" s="44">
        <f t="shared" si="10"/>
        <v>0</v>
      </c>
      <c r="P32" s="44">
        <f t="shared" si="11"/>
        <v>1</v>
      </c>
      <c r="Q32" s="44">
        <f>COUNTIF('Scopes'!$R$137:$R$137,Q$3)</f>
        <v>0</v>
      </c>
      <c r="R32" s="44">
        <f>COUNTIF('Scopes'!$R$137:$R$137,R$3)</f>
        <v>0</v>
      </c>
      <c r="S32" s="44">
        <f>COUNTIF('Scopes'!$R$137:$R$137,S$3)</f>
        <v>0</v>
      </c>
      <c r="T32" s="44">
        <f>COUNTIF('Scopes'!$R$137:$R$137,T$3)</f>
        <v>0</v>
      </c>
      <c r="U32" s="44">
        <f>COUNTIF('Scopes'!$R$137:$R$137,U$3)</f>
        <v>0</v>
      </c>
      <c r="V32" s="44">
        <f>COUNTA('Scopes'!$G$137:$G$137)-SUM(Q32:U32)</f>
        <v>1</v>
      </c>
    </row>
    <row r="33" ht="15.75" customHeight="1">
      <c r="A33"/>
      <c r="B33" s="45"/>
      <c r="C33" s="42" t="s">
        <v>110</v>
      </c>
      <c r="D33" s="42" t="s">
        <v>111</v>
      </c>
      <c r="E33" s="43">
        <f t="shared" si="6"/>
        <v>0</v>
      </c>
      <c r="F33" s="44">
        <f t="shared" si="7"/>
        <v>0</v>
      </c>
      <c r="G33" s="44">
        <f t="shared" si="8"/>
        <v>4</v>
      </c>
      <c r="H33" s="44">
        <f>COUNTIF('Scopes'!$M$138:$M$141,H$3)</f>
        <v>0</v>
      </c>
      <c r="I33" s="44">
        <f>COUNTIF('Scopes'!$M$138:$M$141,I$3)</f>
        <v>0</v>
      </c>
      <c r="J33" s="44">
        <f>COUNTIF('Scopes'!$M$138:$M$141,J$3)</f>
        <v>0</v>
      </c>
      <c r="K33" s="44">
        <f>COUNTIF('Scopes'!$M$138:$M$141,K$3)</f>
        <v>0</v>
      </c>
      <c r="L33" s="44">
        <f>COUNTIF('Scopes'!$M$138:$M$141,L$3)</f>
        <v>0</v>
      </c>
      <c r="M33" s="44">
        <f>COUNTA('Scopes'!$G$138:$G$141)-SUM(H33:L33)</f>
        <v>4</v>
      </c>
      <c r="N33" s="43">
        <f t="shared" si="9"/>
        <v>0</v>
      </c>
      <c r="O33" s="44">
        <f t="shared" si="10"/>
        <v>0</v>
      </c>
      <c r="P33" s="44">
        <f t="shared" si="11"/>
        <v>4</v>
      </c>
      <c r="Q33" s="44">
        <f>COUNTIF('Scopes'!$R$138:$R$141,Q$3)</f>
        <v>0</v>
      </c>
      <c r="R33" s="44">
        <f>COUNTIF('Scopes'!$R$138:$R$141,R$3)</f>
        <v>0</v>
      </c>
      <c r="S33" s="44">
        <f>COUNTIF('Scopes'!$R$138:$R$141,S$3)</f>
        <v>0</v>
      </c>
      <c r="T33" s="44">
        <f>COUNTIF('Scopes'!$R$138:$R$141,T$3)</f>
        <v>0</v>
      </c>
      <c r="U33" s="44">
        <f>COUNTIF('Scopes'!$R$138:$R$141,U$3)</f>
        <v>0</v>
      </c>
      <c r="V33" s="44">
        <f>COUNTA('Scopes'!$G$138:$G$141)-SUM(Q33:U33)</f>
        <v>4</v>
      </c>
    </row>
    <row r="34" ht="15.75" customHeight="1">
      <c r="A34"/>
      <c r="B34" s="45"/>
      <c r="C34" s="42" t="s">
        <v>110</v>
      </c>
      <c r="D34" s="42" t="s">
        <v>112</v>
      </c>
      <c r="E34" s="43">
        <f t="shared" si="6"/>
        <v>0</v>
      </c>
      <c r="F34" s="44">
        <f t="shared" si="7"/>
        <v>0</v>
      </c>
      <c r="G34" s="44">
        <f t="shared" si="8"/>
        <v>1</v>
      </c>
      <c r="H34" s="44">
        <f>COUNTIF('Scopes'!$M$142:$M$142,H$3)</f>
        <v>0</v>
      </c>
      <c r="I34" s="44">
        <f>COUNTIF('Scopes'!$M$142:$M$142,I$3)</f>
        <v>0</v>
      </c>
      <c r="J34" s="44">
        <f>COUNTIF('Scopes'!$M$142:$M$142,J$3)</f>
        <v>0</v>
      </c>
      <c r="K34" s="44">
        <f>COUNTIF('Scopes'!$M$142:$M$142,K$3)</f>
        <v>0</v>
      </c>
      <c r="L34" s="44">
        <f>COUNTIF('Scopes'!$M$142:$M$142,L$3)</f>
        <v>0</v>
      </c>
      <c r="M34" s="44">
        <f>COUNTA('Scopes'!$G$142:$G$142)-SUM(H34:L34)</f>
        <v>1</v>
      </c>
      <c r="N34" s="43">
        <f t="shared" si="9"/>
        <v>0</v>
      </c>
      <c r="O34" s="44">
        <f t="shared" si="10"/>
        <v>0</v>
      </c>
      <c r="P34" s="44">
        <f t="shared" si="11"/>
        <v>1</v>
      </c>
      <c r="Q34" s="44">
        <f>COUNTIF('Scopes'!$R$142:$R$142,Q$3)</f>
        <v>0</v>
      </c>
      <c r="R34" s="44">
        <f>COUNTIF('Scopes'!$R$142:$R$142,R$3)</f>
        <v>0</v>
      </c>
      <c r="S34" s="44">
        <f>COUNTIF('Scopes'!$R$142:$R$142,S$3)</f>
        <v>0</v>
      </c>
      <c r="T34" s="44">
        <f>COUNTIF('Scopes'!$R$142:$R$142,T$3)</f>
        <v>0</v>
      </c>
      <c r="U34" s="44">
        <f>COUNTIF('Scopes'!$R$142:$R$142,U$3)</f>
        <v>0</v>
      </c>
      <c r="V34" s="44">
        <f>COUNTA('Scopes'!$G$142:$G$142)-SUM(Q34:U34)</f>
        <v>1</v>
      </c>
    </row>
    <row r="35" ht="15.75" customHeight="1">
      <c r="A35"/>
      <c r="B35" s="45"/>
      <c r="C35" s="42" t="s">
        <v>110</v>
      </c>
      <c r="D35" s="42" t="s">
        <v>113</v>
      </c>
      <c r="E35" s="43">
        <f t="shared" si="6"/>
        <v>0</v>
      </c>
      <c r="F35" s="44">
        <f t="shared" si="7"/>
        <v>0</v>
      </c>
      <c r="G35" s="44">
        <f t="shared" si="8"/>
        <v>2</v>
      </c>
      <c r="H35" s="44">
        <f>COUNTIF('Scopes'!$M$143:$M$144,H$3)</f>
        <v>0</v>
      </c>
      <c r="I35" s="44">
        <f>COUNTIF('Scopes'!$M$143:$M$144,I$3)</f>
        <v>0</v>
      </c>
      <c r="J35" s="44">
        <f>COUNTIF('Scopes'!$M$143:$M$144,J$3)</f>
        <v>0</v>
      </c>
      <c r="K35" s="44">
        <f>COUNTIF('Scopes'!$M$143:$M$144,K$3)</f>
        <v>0</v>
      </c>
      <c r="L35" s="44">
        <f>COUNTIF('Scopes'!$M$143:$M$144,L$3)</f>
        <v>0</v>
      </c>
      <c r="M35" s="44">
        <f>COUNTA('Scopes'!$G$143:$G$144)-SUM(H35:L35)</f>
        <v>2</v>
      </c>
      <c r="N35" s="43">
        <f t="shared" si="9"/>
        <v>0</v>
      </c>
      <c r="O35" s="44">
        <f t="shared" si="10"/>
        <v>0</v>
      </c>
      <c r="P35" s="44">
        <f t="shared" si="11"/>
        <v>2</v>
      </c>
      <c r="Q35" s="44">
        <f>COUNTIF('Scopes'!$R$143:$R$144,Q$3)</f>
        <v>0</v>
      </c>
      <c r="R35" s="44">
        <f>COUNTIF('Scopes'!$R$143:$R$144,R$3)</f>
        <v>0</v>
      </c>
      <c r="S35" s="44">
        <f>COUNTIF('Scopes'!$R$143:$R$144,S$3)</f>
        <v>0</v>
      </c>
      <c r="T35" s="44">
        <f>COUNTIF('Scopes'!$R$143:$R$144,T$3)</f>
        <v>0</v>
      </c>
      <c r="U35" s="44">
        <f>COUNTIF('Scopes'!$R$143:$R$144,U$3)</f>
        <v>0</v>
      </c>
      <c r="V35" s="44">
        <f>COUNTA('Scopes'!$G$143:$G$144)-SUM(Q35:U35)</f>
        <v>2</v>
      </c>
    </row>
    <row r="36" ht="15.75" customHeight="1">
      <c r="A36"/>
      <c r="B36" s="45"/>
      <c r="C36" s="42" t="s">
        <v>89</v>
      </c>
      <c r="D36" s="42" t="s">
        <v>114</v>
      </c>
      <c r="E36" s="43">
        <f t="shared" si="6"/>
        <v>0</v>
      </c>
      <c r="F36" s="44">
        <f t="shared" si="7"/>
        <v>0</v>
      </c>
      <c r="G36" s="44">
        <f t="shared" si="8"/>
        <v>2</v>
      </c>
      <c r="H36" s="44">
        <f>COUNTIF('Scopes'!$M$145:$M$146,H$3)</f>
        <v>0</v>
      </c>
      <c r="I36" s="44">
        <f>COUNTIF('Scopes'!$M$145:$M$146,I$3)</f>
        <v>0</v>
      </c>
      <c r="J36" s="44">
        <f>COUNTIF('Scopes'!$M$145:$M$146,J$3)</f>
        <v>0</v>
      </c>
      <c r="K36" s="44">
        <f>COUNTIF('Scopes'!$M$145:$M$146,K$3)</f>
        <v>0</v>
      </c>
      <c r="L36" s="44">
        <f>COUNTIF('Scopes'!$M$145:$M$146,L$3)</f>
        <v>0</v>
      </c>
      <c r="M36" s="44">
        <f>COUNTA('Scopes'!$G$145:$G$146)-SUM(H36:L36)</f>
        <v>2</v>
      </c>
      <c r="N36" s="43">
        <f t="shared" si="9"/>
        <v>0</v>
      </c>
      <c r="O36" s="44">
        <f t="shared" si="10"/>
        <v>0</v>
      </c>
      <c r="P36" s="44">
        <f t="shared" si="11"/>
        <v>2</v>
      </c>
      <c r="Q36" s="44">
        <f>COUNTIF('Scopes'!$R$145:$R$146,Q$3)</f>
        <v>0</v>
      </c>
      <c r="R36" s="44">
        <f>COUNTIF('Scopes'!$R$145:$R$146,R$3)</f>
        <v>0</v>
      </c>
      <c r="S36" s="44">
        <f>COUNTIF('Scopes'!$R$145:$R$146,S$3)</f>
        <v>0</v>
      </c>
      <c r="T36" s="44">
        <f>COUNTIF('Scopes'!$R$145:$R$146,T$3)</f>
        <v>0</v>
      </c>
      <c r="U36" s="44">
        <f>COUNTIF('Scopes'!$R$145:$R$146,U$3)</f>
        <v>0</v>
      </c>
      <c r="V36" s="44">
        <f>COUNTA('Scopes'!$G$145:$G$146)-SUM(Q36:U36)</f>
        <v>2</v>
      </c>
    </row>
    <row r="37" ht="15.75" customHeight="1">
      <c r="A37"/>
      <c r="B37" s="45"/>
      <c r="C37" s="42" t="s">
        <v>89</v>
      </c>
      <c r="D37" s="42" t="s">
        <v>115</v>
      </c>
      <c r="E37" s="43">
        <f t="shared" si="6"/>
        <v>0</v>
      </c>
      <c r="F37" s="44">
        <f t="shared" si="7"/>
        <v>0</v>
      </c>
      <c r="G37" s="44">
        <f t="shared" si="8"/>
        <v>1</v>
      </c>
      <c r="H37" s="44">
        <f>COUNTIF('Scopes'!$M$147:$M$147,H$3)</f>
        <v>0</v>
      </c>
      <c r="I37" s="44">
        <f>COUNTIF('Scopes'!$M$147:$M$147,I$3)</f>
        <v>0</v>
      </c>
      <c r="J37" s="44">
        <f>COUNTIF('Scopes'!$M$147:$M$147,J$3)</f>
        <v>0</v>
      </c>
      <c r="K37" s="44">
        <f>COUNTIF('Scopes'!$M$147:$M$147,K$3)</f>
        <v>0</v>
      </c>
      <c r="L37" s="44">
        <f>COUNTIF('Scopes'!$M$147:$M$147,L$3)</f>
        <v>0</v>
      </c>
      <c r="M37" s="44">
        <f>COUNTA('Scopes'!$G$147:$G$147)-SUM(H37:L37)</f>
        <v>1</v>
      </c>
      <c r="N37" s="43">
        <f t="shared" si="9"/>
        <v>0</v>
      </c>
      <c r="O37" s="44">
        <f t="shared" si="10"/>
        <v>0</v>
      </c>
      <c r="P37" s="44">
        <f t="shared" si="11"/>
        <v>1</v>
      </c>
      <c r="Q37" s="44">
        <f>COUNTIF('Scopes'!$R$147:$R$147,Q$3)</f>
        <v>0</v>
      </c>
      <c r="R37" s="44">
        <f>COUNTIF('Scopes'!$R$147:$R$147,R$3)</f>
        <v>0</v>
      </c>
      <c r="S37" s="44">
        <f>COUNTIF('Scopes'!$R$147:$R$147,S$3)</f>
        <v>0</v>
      </c>
      <c r="T37" s="44">
        <f>COUNTIF('Scopes'!$R$147:$R$147,T$3)</f>
        <v>0</v>
      </c>
      <c r="U37" s="44">
        <f>COUNTIF('Scopes'!$R$147:$R$147,U$3)</f>
        <v>0</v>
      </c>
      <c r="V37" s="44">
        <f>COUNTA('Scopes'!$G$147:$G$147)-SUM(Q37:U37)</f>
        <v>1</v>
      </c>
    </row>
    <row r="38" ht="15.75" customHeight="1">
      <c r="A38"/>
      <c r="B38" s="45"/>
      <c r="C38" s="42" t="s">
        <v>89</v>
      </c>
      <c r="D38" s="42" t="s">
        <v>116</v>
      </c>
      <c r="E38" s="43">
        <f t="shared" si="6"/>
        <v>0</v>
      </c>
      <c r="F38" s="44">
        <f t="shared" si="7"/>
        <v>0</v>
      </c>
      <c r="G38" s="44">
        <f t="shared" si="8"/>
        <v>1</v>
      </c>
      <c r="H38" s="44">
        <f>COUNTIF('Scopes'!$M$148:$M$148,H$3)</f>
        <v>0</v>
      </c>
      <c r="I38" s="44">
        <f>COUNTIF('Scopes'!$M$148:$M$148,I$3)</f>
        <v>0</v>
      </c>
      <c r="J38" s="44">
        <f>COUNTIF('Scopes'!$M$148:$M$148,J$3)</f>
        <v>0</v>
      </c>
      <c r="K38" s="44">
        <f>COUNTIF('Scopes'!$M$148:$M$148,K$3)</f>
        <v>0</v>
      </c>
      <c r="L38" s="44">
        <f>COUNTIF('Scopes'!$M$148:$M$148,L$3)</f>
        <v>0</v>
      </c>
      <c r="M38" s="44">
        <f>COUNTA('Scopes'!$G$148:$G$148)-SUM(H38:L38)</f>
        <v>1</v>
      </c>
      <c r="N38" s="43">
        <f t="shared" si="9"/>
        <v>0</v>
      </c>
      <c r="O38" s="44">
        <f t="shared" si="10"/>
        <v>0</v>
      </c>
      <c r="P38" s="44">
        <f t="shared" si="11"/>
        <v>1</v>
      </c>
      <c r="Q38" s="44">
        <f>COUNTIF('Scopes'!$R$148:$R$148,Q$3)</f>
        <v>0</v>
      </c>
      <c r="R38" s="44">
        <f>COUNTIF('Scopes'!$R$148:$R$148,R$3)</f>
        <v>0</v>
      </c>
      <c r="S38" s="44">
        <f>COUNTIF('Scopes'!$R$148:$R$148,S$3)</f>
        <v>0</v>
      </c>
      <c r="T38" s="44">
        <f>COUNTIF('Scopes'!$R$148:$R$148,T$3)</f>
        <v>0</v>
      </c>
      <c r="U38" s="44">
        <f>COUNTIF('Scopes'!$R$148:$R$148,U$3)</f>
        <v>0</v>
      </c>
      <c r="V38" s="44">
        <f>COUNTA('Scopes'!$G$148:$G$148)-SUM(Q38:U38)</f>
        <v>1</v>
      </c>
    </row>
    <row r="39" ht="15.75" customHeight="1">
      <c r="A39"/>
      <c r="B39" s="12"/>
      <c r="C39" s="46" t="s">
        <v>71</v>
      </c>
      <c r="D39" s="46"/>
      <c r="E39" s="47">
        <f t="shared" si="6"/>
        <v>0</v>
      </c>
      <c r="F39" s="48">
        <f t="shared" si="7"/>
        <v>0</v>
      </c>
      <c r="G39" s="48">
        <f t="shared" si="8"/>
        <v>136</v>
      </c>
      <c r="H39" s="48">
        <f>SUM(H15:H38)</f>
        <v>0</v>
      </c>
      <c r="I39" s="48">
        <f>SUM(I15:I38)</f>
        <v>0</v>
      </c>
      <c r="J39" s="48">
        <f>SUM(J15:J38)</f>
        <v>0</v>
      </c>
      <c r="K39" s="48">
        <f>SUM(K15:K38)</f>
        <v>0</v>
      </c>
      <c r="L39" s="48">
        <f>SUM(L15:L38)</f>
        <v>0</v>
      </c>
      <c r="M39" s="48">
        <f>SUM(M15:M38)</f>
        <v>136</v>
      </c>
      <c r="N39" s="47">
        <f t="shared" si="9"/>
        <v>0</v>
      </c>
      <c r="O39" s="48">
        <f t="shared" si="10"/>
        <v>0</v>
      </c>
      <c r="P39" s="48">
        <f t="shared" si="11"/>
        <v>136</v>
      </c>
      <c r="Q39" s="48">
        <f>SUM(Q15:Q38)</f>
        <v>0</v>
      </c>
      <c r="R39" s="48">
        <f>SUM(R15:R38)</f>
        <v>0</v>
      </c>
      <c r="S39" s="48">
        <f>SUM(S15:S38)</f>
        <v>0</v>
      </c>
      <c r="T39" s="48">
        <f>SUM(T15:T38)</f>
        <v>0</v>
      </c>
      <c r="U39" s="48">
        <f>SUM(U15:U38)</f>
        <v>0</v>
      </c>
      <c r="V39" s="48">
        <f>SUM(V15:V38)</f>
        <v>136</v>
      </c>
    </row>
    <row r="40" ht="15.75" customHeight="1">
      <c r="A40"/>
      <c r="B40" s="41" t="s">
        <v>57</v>
      </c>
      <c r="C40" s="42" t="s">
        <v>80</v>
      </c>
      <c r="D40" s="42" t="s">
        <v>117</v>
      </c>
      <c r="E40" s="43">
        <f t="shared" si="6"/>
        <v>0</v>
      </c>
      <c r="F40" s="44">
        <f t="shared" si="7"/>
        <v>0</v>
      </c>
      <c r="G40" s="44">
        <f t="shared" si="8"/>
        <v>1</v>
      </c>
      <c r="H40" s="44">
        <f>COUNTIF('Frameworks'!$M$13:$M$13,H$3)</f>
        <v>0</v>
      </c>
      <c r="I40" s="44">
        <f>COUNTIF('Frameworks'!$M$13:$M$13,I$3)</f>
        <v>0</v>
      </c>
      <c r="J40" s="44">
        <f>COUNTIF('Frameworks'!$M$13:$M$13,J$3)</f>
        <v>0</v>
      </c>
      <c r="K40" s="44">
        <f>COUNTIF('Frameworks'!$M$13:$M$13,K$3)</f>
        <v>0</v>
      </c>
      <c r="L40" s="44">
        <f>COUNTIF('Frameworks'!$M$13:$M$13,L$3)</f>
        <v>0</v>
      </c>
      <c r="M40" s="44">
        <f>COUNTA('Frameworks'!$G$13:$G$13)-SUM(H40:L40)</f>
        <v>1</v>
      </c>
      <c r="N40" s="43">
        <f t="shared" si="9"/>
        <v>0</v>
      </c>
      <c r="O40" s="44">
        <f t="shared" si="10"/>
        <v>0</v>
      </c>
      <c r="P40" s="44">
        <f t="shared" si="11"/>
        <v>1</v>
      </c>
      <c r="Q40" s="44">
        <f>COUNTIF('Frameworks'!$R$13:$R$13,Q$3)</f>
        <v>0</v>
      </c>
      <c r="R40" s="44">
        <f>COUNTIF('Frameworks'!$R$13:$R$13,R$3)</f>
        <v>0</v>
      </c>
      <c r="S40" s="44">
        <f>COUNTIF('Frameworks'!$R$13:$R$13,S$3)</f>
        <v>0</v>
      </c>
      <c r="T40" s="44">
        <f>COUNTIF('Frameworks'!$R$13:$R$13,T$3)</f>
        <v>0</v>
      </c>
      <c r="U40" s="44">
        <f>COUNTIF('Frameworks'!$R$13:$R$13,U$3)</f>
        <v>0</v>
      </c>
      <c r="V40" s="44">
        <f>COUNTA('Frameworks'!$G$13:$G$13)-SUM(Q40:U40)</f>
        <v>1</v>
      </c>
    </row>
    <row r="41" ht="15.75" customHeight="1">
      <c r="A41"/>
      <c r="B41" s="45"/>
      <c r="C41" s="42" t="s">
        <v>80</v>
      </c>
      <c r="D41" s="42" t="s">
        <v>118</v>
      </c>
      <c r="E41" s="43">
        <f t="shared" si="6"/>
        <v>0</v>
      </c>
      <c r="F41" s="44">
        <f t="shared" si="7"/>
        <v>0</v>
      </c>
      <c r="G41" s="44">
        <f t="shared" si="8"/>
        <v>2</v>
      </c>
      <c r="H41" s="44">
        <f>COUNTIF('Frameworks'!$M$14:$M$15,H$3)</f>
        <v>0</v>
      </c>
      <c r="I41" s="44">
        <f>COUNTIF('Frameworks'!$M$14:$M$15,I$3)</f>
        <v>0</v>
      </c>
      <c r="J41" s="44">
        <f>COUNTIF('Frameworks'!$M$14:$M$15,J$3)</f>
        <v>0</v>
      </c>
      <c r="K41" s="44">
        <f>COUNTIF('Frameworks'!$M$14:$M$15,K$3)</f>
        <v>0</v>
      </c>
      <c r="L41" s="44">
        <f>COUNTIF('Frameworks'!$M$14:$M$15,L$3)</f>
        <v>0</v>
      </c>
      <c r="M41" s="44">
        <f>COUNTA('Frameworks'!$G$14:$G$15)-SUM(H41:L41)</f>
        <v>2</v>
      </c>
      <c r="N41" s="43">
        <f t="shared" si="9"/>
        <v>0</v>
      </c>
      <c r="O41" s="44">
        <f t="shared" si="10"/>
        <v>0</v>
      </c>
      <c r="P41" s="44">
        <f t="shared" si="11"/>
        <v>2</v>
      </c>
      <c r="Q41" s="44">
        <f>COUNTIF('Frameworks'!$R$14:$R$15,Q$3)</f>
        <v>0</v>
      </c>
      <c r="R41" s="44">
        <f>COUNTIF('Frameworks'!$R$14:$R$15,R$3)</f>
        <v>0</v>
      </c>
      <c r="S41" s="44">
        <f>COUNTIF('Frameworks'!$R$14:$R$15,S$3)</f>
        <v>0</v>
      </c>
      <c r="T41" s="44">
        <f>COUNTIF('Frameworks'!$R$14:$R$15,T$3)</f>
        <v>0</v>
      </c>
      <c r="U41" s="44">
        <f>COUNTIF('Frameworks'!$R$14:$R$15,U$3)</f>
        <v>0</v>
      </c>
      <c r="V41" s="44">
        <f>COUNTA('Frameworks'!$G$14:$G$15)-SUM(Q41:U41)</f>
        <v>2</v>
      </c>
    </row>
    <row r="42" ht="15.75" customHeight="1">
      <c r="A42"/>
      <c r="B42" s="45"/>
      <c r="C42" s="42" t="s">
        <v>80</v>
      </c>
      <c r="D42" s="42" t="s">
        <v>119</v>
      </c>
      <c r="E42" s="43">
        <f t="shared" si="6"/>
        <v>0</v>
      </c>
      <c r="F42" s="44">
        <f t="shared" si="7"/>
        <v>0</v>
      </c>
      <c r="G42" s="44">
        <f t="shared" si="8"/>
        <v>2</v>
      </c>
      <c r="H42" s="44">
        <f>COUNTIF('Frameworks'!$M$16:$M$17,H$3)</f>
        <v>0</v>
      </c>
      <c r="I42" s="44">
        <f>COUNTIF('Frameworks'!$M$16:$M$17,I$3)</f>
        <v>0</v>
      </c>
      <c r="J42" s="44">
        <f>COUNTIF('Frameworks'!$M$16:$M$17,J$3)</f>
        <v>0</v>
      </c>
      <c r="K42" s="44">
        <f>COUNTIF('Frameworks'!$M$16:$M$17,K$3)</f>
        <v>0</v>
      </c>
      <c r="L42" s="44">
        <f>COUNTIF('Frameworks'!$M$16:$M$17,L$3)</f>
        <v>0</v>
      </c>
      <c r="M42" s="44">
        <f>COUNTA('Frameworks'!$G$16:$G$17)-SUM(H42:L42)</f>
        <v>2</v>
      </c>
      <c r="N42" s="43">
        <f t="shared" si="9"/>
        <v>0</v>
      </c>
      <c r="O42" s="44">
        <f t="shared" si="10"/>
        <v>0</v>
      </c>
      <c r="P42" s="44">
        <f t="shared" si="11"/>
        <v>2</v>
      </c>
      <c r="Q42" s="44">
        <f>COUNTIF('Frameworks'!$R$16:$R$17,Q$3)</f>
        <v>0</v>
      </c>
      <c r="R42" s="44">
        <f>COUNTIF('Frameworks'!$R$16:$R$17,R$3)</f>
        <v>0</v>
      </c>
      <c r="S42" s="44">
        <f>COUNTIF('Frameworks'!$R$16:$R$17,S$3)</f>
        <v>0</v>
      </c>
      <c r="T42" s="44">
        <f>COUNTIF('Frameworks'!$R$16:$R$17,T$3)</f>
        <v>0</v>
      </c>
      <c r="U42" s="44">
        <f>COUNTIF('Frameworks'!$R$16:$R$17,U$3)</f>
        <v>0</v>
      </c>
      <c r="V42" s="44">
        <f>COUNTA('Frameworks'!$G$16:$G$17)-SUM(Q42:U42)</f>
        <v>2</v>
      </c>
    </row>
    <row r="43" ht="31.5" customHeight="1">
      <c r="A43"/>
      <c r="B43" s="45"/>
      <c r="C43" s="42" t="s">
        <v>120</v>
      </c>
      <c r="D43" s="42" t="s">
        <v>121</v>
      </c>
      <c r="E43" s="43">
        <f t="shared" si="6"/>
        <v>0</v>
      </c>
      <c r="F43" s="44">
        <f t="shared" si="7"/>
        <v>0</v>
      </c>
      <c r="G43" s="44">
        <f t="shared" si="8"/>
        <v>3</v>
      </c>
      <c r="H43" s="44">
        <f>COUNTIF('Frameworks'!$M$18:$M$20,H$3)</f>
        <v>0</v>
      </c>
      <c r="I43" s="44">
        <f>COUNTIF('Frameworks'!$M$18:$M$20,I$3)</f>
        <v>0</v>
      </c>
      <c r="J43" s="44">
        <f>COUNTIF('Frameworks'!$M$18:$M$20,J$3)</f>
        <v>0</v>
      </c>
      <c r="K43" s="44">
        <f>COUNTIF('Frameworks'!$M$18:$M$20,K$3)</f>
        <v>0</v>
      </c>
      <c r="L43" s="44">
        <f>COUNTIF('Frameworks'!$M$18:$M$20,L$3)</f>
        <v>0</v>
      </c>
      <c r="M43" s="44">
        <f>COUNTA('Frameworks'!$G$18:$G$20)-SUM(H43:L43)</f>
        <v>3</v>
      </c>
      <c r="N43" s="43">
        <f t="shared" si="9"/>
        <v>0</v>
      </c>
      <c r="O43" s="44">
        <f t="shared" si="10"/>
        <v>0</v>
      </c>
      <c r="P43" s="44">
        <f t="shared" si="11"/>
        <v>3</v>
      </c>
      <c r="Q43" s="44">
        <f>COUNTIF('Frameworks'!$R$18:$R$20,Q$3)</f>
        <v>0</v>
      </c>
      <c r="R43" s="44">
        <f>COUNTIF('Frameworks'!$R$18:$R$20,R$3)</f>
        <v>0</v>
      </c>
      <c r="S43" s="44">
        <f>COUNTIF('Frameworks'!$R$18:$R$20,S$3)</f>
        <v>0</v>
      </c>
      <c r="T43" s="44">
        <f>COUNTIF('Frameworks'!$R$18:$R$20,T$3)</f>
        <v>0</v>
      </c>
      <c r="U43" s="44">
        <f>COUNTIF('Frameworks'!$R$18:$R$20,U$3)</f>
        <v>0</v>
      </c>
      <c r="V43" s="44">
        <f>COUNTA('Frameworks'!$G$18:$G$20)-SUM(Q43:U43)</f>
        <v>3</v>
      </c>
    </row>
    <row r="44" ht="31.5" customHeight="1">
      <c r="A44"/>
      <c r="B44" s="45"/>
      <c r="C44" s="42" t="s">
        <v>120</v>
      </c>
      <c r="D44" s="42" t="s">
        <v>96</v>
      </c>
      <c r="E44" s="43">
        <f t="shared" si="6"/>
        <v>0</v>
      </c>
      <c r="F44" s="44">
        <f t="shared" si="7"/>
        <v>0</v>
      </c>
      <c r="G44" s="44">
        <f t="shared" si="8"/>
        <v>10</v>
      </c>
      <c r="H44" s="44">
        <f>COUNTIF(Frameworks!$M$21:$M$30,H$3)</f>
        <v>0</v>
      </c>
      <c r="I44" s="44">
        <f>COUNTIF(Frameworks!$M$21:$M$30,I$3)</f>
        <v>0</v>
      </c>
      <c r="J44" s="44">
        <f>COUNTIF(Frameworks!$M$21:$M$30,J$3)</f>
        <v>0</v>
      </c>
      <c r="K44" s="44">
        <f>COUNTIF(Frameworks!$M$21:$M$30,K$3)</f>
        <v>0</v>
      </c>
      <c r="L44" s="44">
        <f>COUNTIF(Frameworks!$M$21:$M$30,L$3)</f>
        <v>0</v>
      </c>
      <c r="M44" s="44">
        <f>COUNTA(Frameworks!$G$21:$G$30)-SUM(H44:L44)</f>
        <v>10</v>
      </c>
      <c r="N44" s="43">
        <f t="shared" si="9"/>
        <v>0</v>
      </c>
      <c r="O44" s="44">
        <f t="shared" si="10"/>
        <v>0</v>
      </c>
      <c r="P44" s="44">
        <f t="shared" si="11"/>
        <v>10</v>
      </c>
      <c r="Q44" s="44">
        <f>COUNTIF(Frameworks!$R$21:$R$30,Q$3)</f>
        <v>0</v>
      </c>
      <c r="R44" s="44">
        <f>COUNTIF(Frameworks!$R$21:$R$30,R$3)</f>
        <v>0</v>
      </c>
      <c r="S44" s="44">
        <f>COUNTIF(Frameworks!$R$21:$R$30,S$3)</f>
        <v>0</v>
      </c>
      <c r="T44" s="44">
        <f>COUNTIF(Frameworks!$R$21:$R$30,T$3)</f>
        <v>0</v>
      </c>
      <c r="U44" s="44">
        <f>COUNTIF(Frameworks!$R$21:$R$30,U$3)</f>
        <v>0</v>
      </c>
      <c r="V44" s="44">
        <f>COUNTA(Frameworks!$G$21:$G$30)-SUM(Q44:U44)</f>
        <v>10</v>
      </c>
    </row>
    <row r="45" ht="31.5" customHeight="1">
      <c r="A45"/>
      <c r="B45" s="45"/>
      <c r="C45" s="42" t="s">
        <v>120</v>
      </c>
      <c r="D45" s="42" t="s">
        <v>97</v>
      </c>
      <c r="E45" s="43">
        <f t="shared" si="6"/>
        <v>0</v>
      </c>
      <c r="F45" s="44">
        <f t="shared" si="7"/>
        <v>0</v>
      </c>
      <c r="G45" s="44">
        <f t="shared" si="8"/>
        <v>10</v>
      </c>
      <c r="H45" s="44">
        <f>COUNTIF(Frameworks!$M$31:$M$40,H$3)</f>
        <v>0</v>
      </c>
      <c r="I45" s="44">
        <f>COUNTIF(Frameworks!$M$31:$M$40,I$3)</f>
        <v>0</v>
      </c>
      <c r="J45" s="44">
        <f>COUNTIF(Frameworks!$M$31:$M$40,J$3)</f>
        <v>0</v>
      </c>
      <c r="K45" s="44">
        <f>COUNTIF(Frameworks!$M$31:$M$40,K$3)</f>
        <v>0</v>
      </c>
      <c r="L45" s="44">
        <f>COUNTIF(Frameworks!$M$31:$M$40,L$3)</f>
        <v>0</v>
      </c>
      <c r="M45" s="44">
        <f>COUNTA(Frameworks!$G$31:$G$40)-SUM(H45:L45)</f>
        <v>10</v>
      </c>
      <c r="N45" s="43">
        <f t="shared" si="9"/>
        <v>0</v>
      </c>
      <c r="O45" s="44">
        <f t="shared" si="10"/>
        <v>0</v>
      </c>
      <c r="P45" s="44">
        <f t="shared" si="11"/>
        <v>10</v>
      </c>
      <c r="Q45" s="44">
        <f>COUNTIF(Frameworks!$R$31:$R$40,Q$3)</f>
        <v>0</v>
      </c>
      <c r="R45" s="44">
        <f>COUNTIF(Frameworks!$R$31:$R$40,R$3)</f>
        <v>0</v>
      </c>
      <c r="S45" s="44">
        <f>COUNTIF(Frameworks!$R$31:$R$40,S$3)</f>
        <v>0</v>
      </c>
      <c r="T45" s="44">
        <f>COUNTIF(Frameworks!$R$31:$R$40,T$3)</f>
        <v>0</v>
      </c>
      <c r="U45" s="44">
        <f>COUNTIF(Frameworks!$R$31:$R$40,U$3)</f>
        <v>0</v>
      </c>
      <c r="V45" s="44">
        <f>COUNTA(Frameworks!$G$31:$G$40)-SUM(Q45:U45)</f>
        <v>10</v>
      </c>
    </row>
    <row r="46" ht="31.5" customHeight="1">
      <c r="A46"/>
      <c r="B46" s="45"/>
      <c r="C46" s="42" t="s">
        <v>120</v>
      </c>
      <c r="D46" s="42" t="s">
        <v>122</v>
      </c>
      <c r="E46" s="43">
        <f t="shared" si="6"/>
        <v>0</v>
      </c>
      <c r="F46" s="44">
        <f t="shared" si="7"/>
        <v>0</v>
      </c>
      <c r="G46" s="44">
        <f t="shared" si="8"/>
        <v>2</v>
      </c>
      <c r="H46" s="44">
        <f>COUNTIF(Frameworks!$M$41:$M$42,H$3)</f>
        <v>0</v>
      </c>
      <c r="I46" s="44">
        <f>COUNTIF(Frameworks!$M$41:$M$42,I$3)</f>
        <v>0</v>
      </c>
      <c r="J46" s="44">
        <f>COUNTIF(Frameworks!$M$41:$M$42,J$3)</f>
        <v>0</v>
      </c>
      <c r="K46" s="44">
        <f>COUNTIF(Frameworks!$M$41:$M$42,K$3)</f>
        <v>0</v>
      </c>
      <c r="L46" s="44">
        <f>COUNTIF(Frameworks!$M$41:$M$42,L$3)</f>
        <v>0</v>
      </c>
      <c r="M46" s="44">
        <f>COUNTA(Frameworks!$G$41:$G$42)-SUM(H46:L46)</f>
        <v>2</v>
      </c>
      <c r="N46" s="43">
        <f t="shared" si="9"/>
        <v>0</v>
      </c>
      <c r="O46" s="44">
        <f t="shared" si="10"/>
        <v>0</v>
      </c>
      <c r="P46" s="44">
        <f t="shared" si="11"/>
        <v>2</v>
      </c>
      <c r="Q46" s="44">
        <f>COUNTIF(Frameworks!$R$41:$R$42,Q$3)</f>
        <v>0</v>
      </c>
      <c r="R46" s="44">
        <f>COUNTIF(Frameworks!$R$41:$R$42,R$3)</f>
        <v>0</v>
      </c>
      <c r="S46" s="44">
        <f>COUNTIF(Frameworks!$R$41:$R$42,S$3)</f>
        <v>0</v>
      </c>
      <c r="T46" s="44">
        <f>COUNTIF(Frameworks!$R$41:$R$42,T$3)</f>
        <v>0</v>
      </c>
      <c r="U46" s="44">
        <f>COUNTIF(Frameworks!$R$41:$R$42,U$3)</f>
        <v>0</v>
      </c>
      <c r="V46" s="44">
        <f>COUNTA(Frameworks!$G$41:$G$42)-SUM(Q46:U46)</f>
        <v>2</v>
      </c>
    </row>
    <row r="47" ht="31.5" customHeight="1">
      <c r="A47"/>
      <c r="B47" s="45"/>
      <c r="C47" s="42" t="s">
        <v>123</v>
      </c>
      <c r="D47" s="42" t="s">
        <v>100</v>
      </c>
      <c r="E47" s="43">
        <f t="shared" si="6"/>
        <v>0</v>
      </c>
      <c r="F47" s="44">
        <f t="shared" si="7"/>
        <v>0</v>
      </c>
      <c r="G47" s="44">
        <f t="shared" si="8"/>
        <v>2</v>
      </c>
      <c r="H47" s="44">
        <f>COUNTIF(Frameworks!$M$43:$M$44,H$3)</f>
        <v>0</v>
      </c>
      <c r="I47" s="44">
        <f>COUNTIF(Frameworks!$M$43:$M$44,I$3)</f>
        <v>0</v>
      </c>
      <c r="J47" s="44">
        <f>COUNTIF(Frameworks!$M$43:$M$44,J$3)</f>
        <v>0</v>
      </c>
      <c r="K47" s="44">
        <f>COUNTIF(Frameworks!$M$43:$M$44,K$3)</f>
        <v>0</v>
      </c>
      <c r="L47" s="44">
        <f>COUNTIF(Frameworks!$M$43:$M$44,L$3)</f>
        <v>0</v>
      </c>
      <c r="M47" s="44">
        <f>COUNTA(Frameworks!$G$43:$G$44)-SUM(H47:L47)</f>
        <v>2</v>
      </c>
      <c r="N47" s="43">
        <f t="shared" si="9"/>
        <v>0</v>
      </c>
      <c r="O47" s="44">
        <f t="shared" si="10"/>
        <v>0</v>
      </c>
      <c r="P47" s="44">
        <f t="shared" si="11"/>
        <v>2</v>
      </c>
      <c r="Q47" s="44">
        <f>COUNTIF(Frameworks!$R$43:$R$44,Q$3)</f>
        <v>0</v>
      </c>
      <c r="R47" s="44">
        <f>COUNTIF(Frameworks!$R$43:$R$44,R$3)</f>
        <v>0</v>
      </c>
      <c r="S47" s="44">
        <f>COUNTIF(Frameworks!$R$43:$R$44,S$3)</f>
        <v>0</v>
      </c>
      <c r="T47" s="44">
        <f>COUNTIF(Frameworks!$R$43:$R$44,T$3)</f>
        <v>0</v>
      </c>
      <c r="U47" s="44">
        <f>COUNTIF(Frameworks!$R$43:$R$44,U$3)</f>
        <v>0</v>
      </c>
      <c r="V47" s="44">
        <f>COUNTA(Frameworks!$G$43:$G$44)-SUM(Q47:U47)</f>
        <v>2</v>
      </c>
    </row>
    <row r="48" ht="31.5" customHeight="1">
      <c r="A48"/>
      <c r="B48" s="45"/>
      <c r="C48" s="42" t="s">
        <v>123</v>
      </c>
      <c r="D48" s="42" t="s">
        <v>124</v>
      </c>
      <c r="E48" s="43">
        <f t="shared" si="6"/>
        <v>0</v>
      </c>
      <c r="F48" s="44">
        <f t="shared" si="7"/>
        <v>0</v>
      </c>
      <c r="G48" s="44">
        <f t="shared" si="8"/>
        <v>1</v>
      </c>
      <c r="H48" s="44">
        <f>COUNTIF(Frameworks!$M$46,H$3)</f>
        <v>0</v>
      </c>
      <c r="I48" s="44">
        <f>COUNTIF(Frameworks!$M$46,I$3)</f>
        <v>0</v>
      </c>
      <c r="J48" s="44">
        <f>COUNTIF(Frameworks!$M$46,J$3)</f>
        <v>0</v>
      </c>
      <c r="K48" s="44">
        <f>COUNTIF(Frameworks!$M$46,K$3)</f>
        <v>0</v>
      </c>
      <c r="L48" s="44">
        <f>COUNTIF(Frameworks!$M$46,L$3)</f>
        <v>0</v>
      </c>
      <c r="M48" s="44">
        <f>COUNTA(Frameworks!$G$46)-SUM(H48:L48)</f>
        <v>1</v>
      </c>
      <c r="N48" s="43">
        <f t="shared" si="9"/>
        <v>0</v>
      </c>
      <c r="O48" s="44">
        <f t="shared" si="10"/>
        <v>0</v>
      </c>
      <c r="P48" s="44">
        <f t="shared" si="11"/>
        <v>1</v>
      </c>
      <c r="Q48" s="44">
        <f>COUNTIF(Frameworks!$R$46,Q$3)</f>
        <v>0</v>
      </c>
      <c r="R48" s="44">
        <f>COUNTIF(Frameworks!$R$46,R$3)</f>
        <v>0</v>
      </c>
      <c r="S48" s="44">
        <f>COUNTIF(Frameworks!$R$46,S$3)</f>
        <v>0</v>
      </c>
      <c r="T48" s="44">
        <f>COUNTIF(Frameworks!$R$46,T$3)</f>
        <v>0</v>
      </c>
      <c r="U48" s="44">
        <f>COUNTIF(Frameworks!$R$46,U$3)</f>
        <v>0</v>
      </c>
      <c r="V48" s="44">
        <f>COUNTA(Frameworks!$G$46)-SUM(Q48:U48)</f>
        <v>1</v>
      </c>
    </row>
    <row r="49" ht="31.5" customHeight="1">
      <c r="A49"/>
      <c r="B49" s="45"/>
      <c r="C49" s="42" t="s">
        <v>123</v>
      </c>
      <c r="D49" s="42" t="s">
        <v>125</v>
      </c>
      <c r="E49" s="43">
        <f t="shared" si="6"/>
        <v>0</v>
      </c>
      <c r="F49" s="44">
        <f t="shared" si="7"/>
        <v>0</v>
      </c>
      <c r="G49" s="44">
        <f t="shared" si="8"/>
        <v>2</v>
      </c>
      <c r="H49" s="44">
        <f>COUNTIF(Frameworks!$M$47:$M$48,H$3)</f>
        <v>0</v>
      </c>
      <c r="I49" s="44">
        <f>COUNTIF(Frameworks!$M$47:$M$48,I$3)</f>
        <v>0</v>
      </c>
      <c r="J49" s="44">
        <f>COUNTIF(Frameworks!$M$47:$M$48,J$3)</f>
        <v>0</v>
      </c>
      <c r="K49" s="44">
        <f>COUNTIF(Frameworks!$M$47:$M$48,K$3)</f>
        <v>0</v>
      </c>
      <c r="L49" s="44">
        <f>COUNTIF(Frameworks!$M$47:$M$48,L$3)</f>
        <v>0</v>
      </c>
      <c r="M49" s="44">
        <f>COUNTA(Frameworks!$G$47:$G$48)-SUM(H49:L49)</f>
        <v>2</v>
      </c>
      <c r="N49" s="43">
        <f t="shared" si="9"/>
        <v>0</v>
      </c>
      <c r="O49" s="44">
        <f t="shared" si="10"/>
        <v>0</v>
      </c>
      <c r="P49" s="44">
        <f t="shared" si="11"/>
        <v>2</v>
      </c>
      <c r="Q49" s="44">
        <f>COUNTIF(Frameworks!$R$47:$R$48,Q$3)</f>
        <v>0</v>
      </c>
      <c r="R49" s="44">
        <f>COUNTIF(Frameworks!$R$47:$R$48,R$3)</f>
        <v>0</v>
      </c>
      <c r="S49" s="44">
        <f>COUNTIF(Frameworks!$R$47:$R$48,S$3)</f>
        <v>0</v>
      </c>
      <c r="T49" s="44">
        <f>COUNTIF(Frameworks!$R$47:$R$48,T$3)</f>
        <v>0</v>
      </c>
      <c r="U49" s="44">
        <f>COUNTIF(Frameworks!$R$47:$R$48,U$3)</f>
        <v>0</v>
      </c>
      <c r="V49" s="44">
        <f>COUNTA(Frameworks!$G$47:$G$48)-SUM(Q49:U49)</f>
        <v>2</v>
      </c>
    </row>
    <row r="50" ht="31.5" customHeight="1">
      <c r="A50"/>
      <c r="B50" s="45"/>
      <c r="C50" s="42" t="s">
        <v>123</v>
      </c>
      <c r="D50" s="42" t="s">
        <v>102</v>
      </c>
      <c r="E50" s="43">
        <f t="shared" si="6"/>
        <v>0</v>
      </c>
      <c r="F50" s="44">
        <f t="shared" si="7"/>
        <v>0</v>
      </c>
      <c r="G50" s="44">
        <f t="shared" si="8"/>
        <v>8</v>
      </c>
      <c r="H50" s="44">
        <f>COUNTIF(Frameworks!$M$49:$M$56,H$3)</f>
        <v>0</v>
      </c>
      <c r="I50" s="44">
        <f>COUNTIF(Frameworks!$M$49:$M$56,I$3)</f>
        <v>0</v>
      </c>
      <c r="J50" s="44">
        <f>COUNTIF(Frameworks!$M$49:$M$56,J$3)</f>
        <v>0</v>
      </c>
      <c r="K50" s="44">
        <f>COUNTIF(Frameworks!$M$49:$M$56,K$3)</f>
        <v>0</v>
      </c>
      <c r="L50" s="44">
        <f>COUNTIF(Frameworks!$M$49:$M$56,L$3)</f>
        <v>0</v>
      </c>
      <c r="M50" s="44">
        <f>COUNTA(Frameworks!$G$49:$G$56)-SUM(H50:L50)</f>
        <v>8</v>
      </c>
      <c r="N50" s="43">
        <f t="shared" si="9"/>
        <v>0</v>
      </c>
      <c r="O50" s="44">
        <f t="shared" si="10"/>
        <v>0</v>
      </c>
      <c r="P50" s="44">
        <f t="shared" si="11"/>
        <v>8</v>
      </c>
      <c r="Q50" s="44">
        <f>COUNTIF(Frameworks!$R$49:$R$56,Q$3)</f>
        <v>0</v>
      </c>
      <c r="R50" s="44">
        <f>COUNTIF(Frameworks!$R$49:$R$56,R$3)</f>
        <v>0</v>
      </c>
      <c r="S50" s="44">
        <f>COUNTIF(Frameworks!$R$49:$R$56,S$3)</f>
        <v>0</v>
      </c>
      <c r="T50" s="44">
        <f>COUNTIF(Frameworks!$R$49:$R$56,T$3)</f>
        <v>0</v>
      </c>
      <c r="U50" s="44">
        <f>COUNTIF(Frameworks!$R$49:$R$56,U$3)</f>
        <v>0</v>
      </c>
      <c r="V50" s="44">
        <f>COUNTA(Frameworks!$G$49:$G$56)-SUM(Q50:U50)</f>
        <v>8</v>
      </c>
    </row>
    <row r="51" ht="31.5" customHeight="1">
      <c r="A51"/>
      <c r="B51" s="45"/>
      <c r="C51" s="42" t="s">
        <v>123</v>
      </c>
      <c r="D51" s="42" t="s">
        <v>126</v>
      </c>
      <c r="E51" s="43">
        <f t="shared" si="6"/>
        <v>0</v>
      </c>
      <c r="F51" s="44">
        <f t="shared" si="7"/>
        <v>0</v>
      </c>
      <c r="G51" s="44">
        <f t="shared" si="8"/>
        <v>13</v>
      </c>
      <c r="H51" s="44">
        <f>COUNTIF(Frameworks!$M$57:$M$69,H$3)</f>
        <v>0</v>
      </c>
      <c r="I51" s="44">
        <f>COUNTIF(Frameworks!$M$57:$M$69,I$3)</f>
        <v>0</v>
      </c>
      <c r="J51" s="44">
        <f>COUNTIF(Frameworks!$M$57:$M$69,J$3)</f>
        <v>0</v>
      </c>
      <c r="K51" s="44">
        <f>COUNTIF(Frameworks!$M$57:$M$69,K$3)</f>
        <v>0</v>
      </c>
      <c r="L51" s="44">
        <f>COUNTIF(Frameworks!$M$57:$M$69,L$3)</f>
        <v>0</v>
      </c>
      <c r="M51" s="44">
        <f>COUNTA(Frameworks!$G$57:$G$69)-SUM(H51:L51)</f>
        <v>13</v>
      </c>
      <c r="N51" s="43">
        <f t="shared" si="9"/>
        <v>0</v>
      </c>
      <c r="O51" s="44">
        <f t="shared" si="10"/>
        <v>0</v>
      </c>
      <c r="P51" s="44">
        <f t="shared" si="11"/>
        <v>13</v>
      </c>
      <c r="Q51" s="44">
        <f>COUNTIF(Frameworks!$R$57:$R$69,Q$3)</f>
        <v>0</v>
      </c>
      <c r="R51" s="44">
        <f>COUNTIF(Frameworks!$R$57:$R$69,R$3)</f>
        <v>0</v>
      </c>
      <c r="S51" s="44">
        <f>COUNTIF(Frameworks!$R$57:$R$69,S$3)</f>
        <v>0</v>
      </c>
      <c r="T51" s="44">
        <f>COUNTIF(Frameworks!$R$57:$R$69,T$3)</f>
        <v>0</v>
      </c>
      <c r="U51" s="44">
        <f>COUNTIF(Frameworks!$R$57:$R$69,U$3)</f>
        <v>0</v>
      </c>
      <c r="V51" s="44">
        <f>COUNTA(Frameworks!$G$57:$G$69)-SUM(Q51:U51)</f>
        <v>13</v>
      </c>
    </row>
    <row r="52" ht="31.5" customHeight="1">
      <c r="A52"/>
      <c r="B52" s="45"/>
      <c r="C52" s="42" t="s">
        <v>127</v>
      </c>
      <c r="D52" s="42" t="s">
        <v>128</v>
      </c>
      <c r="E52" s="43">
        <f t="shared" si="6"/>
        <v>0</v>
      </c>
      <c r="F52" s="44">
        <f t="shared" si="7"/>
        <v>0</v>
      </c>
      <c r="G52" s="44">
        <f t="shared" si="8"/>
        <v>7</v>
      </c>
      <c r="H52" s="44">
        <f>COUNTIF(Frameworks!$M$70:$M$76,H$3)</f>
        <v>0</v>
      </c>
      <c r="I52" s="44">
        <f>COUNTIF(Frameworks!$M$70:$M$76,I$3)</f>
        <v>0</v>
      </c>
      <c r="J52" s="44">
        <f>COUNTIF(Frameworks!$M$70:$M$76,J$3)</f>
        <v>0</v>
      </c>
      <c r="K52" s="44">
        <f>COUNTIF(Frameworks!$M$70:$M$76,K$3)</f>
        <v>0</v>
      </c>
      <c r="L52" s="44">
        <f>COUNTIF(Frameworks!$M$70:$M$76,L$3)</f>
        <v>0</v>
      </c>
      <c r="M52" s="44">
        <f>COUNTA(Frameworks!$G$70:$G$76)-SUM(H52:L52)</f>
        <v>7</v>
      </c>
      <c r="N52" s="43">
        <f t="shared" si="9"/>
        <v>0</v>
      </c>
      <c r="O52" s="44">
        <f t="shared" si="10"/>
        <v>0</v>
      </c>
      <c r="P52" s="44">
        <f t="shared" si="11"/>
        <v>7</v>
      </c>
      <c r="Q52" s="44">
        <f>COUNTIF(Frameworks!$R$70:$R$76,Q$3)</f>
        <v>0</v>
      </c>
      <c r="R52" s="44">
        <f>COUNTIF(Frameworks!$R$70:$R$76,R$3)</f>
        <v>0</v>
      </c>
      <c r="S52" s="44">
        <f>COUNTIF(Frameworks!$R$70:$R$76,S$3)</f>
        <v>0</v>
      </c>
      <c r="T52" s="44">
        <f>COUNTIF(Frameworks!$R$70:$R$76,T$3)</f>
        <v>0</v>
      </c>
      <c r="U52" s="44">
        <f>COUNTIF(Frameworks!$R$70:$R$76,U$3)</f>
        <v>0</v>
      </c>
      <c r="V52" s="44">
        <f>COUNTA(Frameworks!$G$70:$G$76)-SUM(Q52:U52)</f>
        <v>7</v>
      </c>
    </row>
    <row r="53" ht="31.5" customHeight="1">
      <c r="A53"/>
      <c r="B53" s="45"/>
      <c r="C53" s="42" t="s">
        <v>127</v>
      </c>
      <c r="D53" s="42" t="s">
        <v>129</v>
      </c>
      <c r="E53" s="43">
        <f t="shared" si="6"/>
        <v>0</v>
      </c>
      <c r="F53" s="44">
        <f t="shared" si="7"/>
        <v>0</v>
      </c>
      <c r="G53" s="44">
        <f t="shared" si="8"/>
        <v>4</v>
      </c>
      <c r="H53" s="44">
        <f>COUNTIF(Frameworks!$M$77:$M$80,H$3)</f>
        <v>0</v>
      </c>
      <c r="I53" s="44">
        <f>COUNTIF(Frameworks!$M$77:$M$80,I$3)</f>
        <v>0</v>
      </c>
      <c r="J53" s="44">
        <f>COUNTIF(Frameworks!$M$77:$M$80,J$3)</f>
        <v>0</v>
      </c>
      <c r="K53" s="44">
        <f>COUNTIF(Frameworks!$M$77:$M$80,K$3)</f>
        <v>0</v>
      </c>
      <c r="L53" s="44">
        <f>COUNTIF(Frameworks!$M$77:$M$80,L$3)</f>
        <v>0</v>
      </c>
      <c r="M53" s="44">
        <f>COUNTA(Frameworks!$G$77:$G$80)-SUM(H53:L53)</f>
        <v>4</v>
      </c>
      <c r="N53" s="43">
        <f t="shared" si="9"/>
        <v>0</v>
      </c>
      <c r="O53" s="44">
        <f t="shared" si="10"/>
        <v>0</v>
      </c>
      <c r="P53" s="44">
        <f t="shared" si="11"/>
        <v>4</v>
      </c>
      <c r="Q53" s="44">
        <f>COUNTIF(Frameworks!$R$77:$R$80,Q$3)</f>
        <v>0</v>
      </c>
      <c r="R53" s="44">
        <f>COUNTIF(Frameworks!$R$77:$R$80,R$3)</f>
        <v>0</v>
      </c>
      <c r="S53" s="44">
        <f>COUNTIF(Frameworks!$R$77:$R$80,S$3)</f>
        <v>0</v>
      </c>
      <c r="T53" s="44">
        <f>COUNTIF(Frameworks!$R$77:$R$80,T$3)</f>
        <v>0</v>
      </c>
      <c r="U53" s="44">
        <f>COUNTIF(Frameworks!$R$77:$R$80,U$3)</f>
        <v>0</v>
      </c>
      <c r="V53" s="44">
        <f>COUNTA(Frameworks!$G$77:$G$80)-SUM(Q53:U53)</f>
        <v>4</v>
      </c>
    </row>
    <row r="54" ht="31.5" customHeight="1">
      <c r="A54"/>
      <c r="B54" s="45"/>
      <c r="C54" s="42" t="s">
        <v>127</v>
      </c>
      <c r="D54" s="42" t="s">
        <v>130</v>
      </c>
      <c r="E54" s="43">
        <f t="shared" si="6"/>
        <v>0</v>
      </c>
      <c r="F54" s="44">
        <f t="shared" si="7"/>
        <v>0</v>
      </c>
      <c r="G54" s="44">
        <f t="shared" si="8"/>
        <v>17</v>
      </c>
      <c r="H54" s="44">
        <f>COUNTIF(Frameworks!$M$81:$M$97,H$3)</f>
        <v>0</v>
      </c>
      <c r="I54" s="44">
        <f>COUNTIF(Frameworks!$M$81:$M$97,I$3)</f>
        <v>0</v>
      </c>
      <c r="J54" s="44">
        <f>COUNTIF(Frameworks!$M$81:$M$97,J$3)</f>
        <v>0</v>
      </c>
      <c r="K54" s="44">
        <f>COUNTIF(Frameworks!$M$81:$M$97,K$3)</f>
        <v>0</v>
      </c>
      <c r="L54" s="44">
        <f>COUNTIF(Frameworks!$M$81:$M$97,L$3)</f>
        <v>0</v>
      </c>
      <c r="M54" s="44">
        <f>COUNTA(Frameworks!$G$81:$G$97)-SUM(H54:L54)</f>
        <v>17</v>
      </c>
      <c r="N54" s="43">
        <f t="shared" si="9"/>
        <v>0</v>
      </c>
      <c r="O54" s="44">
        <f t="shared" si="10"/>
        <v>0</v>
      </c>
      <c r="P54" s="44">
        <f t="shared" si="11"/>
        <v>17</v>
      </c>
      <c r="Q54" s="44">
        <f>COUNTIF(Frameworks!$R$81:$R$97,Q$3)</f>
        <v>0</v>
      </c>
      <c r="R54" s="44">
        <f>COUNTIF(Frameworks!$R$81:$R$97,R$3)</f>
        <v>0</v>
      </c>
      <c r="S54" s="44">
        <f>COUNTIF(Frameworks!$R$81:$R$97,S$3)</f>
        <v>0</v>
      </c>
      <c r="T54" s="44">
        <f>COUNTIF(Frameworks!$R$81:$R$97,T$3)</f>
        <v>0</v>
      </c>
      <c r="U54" s="44">
        <f>COUNTIF(Frameworks!$R$81:$R$97,U$3)</f>
        <v>0</v>
      </c>
      <c r="V54" s="44">
        <f>COUNTA(Frameworks!$G$81:$G$97)-SUM(Q54:U54)</f>
        <v>17</v>
      </c>
    </row>
    <row r="55" ht="15.75" customHeight="1">
      <c r="A55"/>
      <c r="B55" s="45"/>
      <c r="C55" s="42" t="s">
        <v>131</v>
      </c>
      <c r="D55" s="42" t="s">
        <v>100</v>
      </c>
      <c r="E55" s="43">
        <f t="shared" si="6"/>
        <v>0</v>
      </c>
      <c r="F55" s="44">
        <f t="shared" si="7"/>
        <v>0</v>
      </c>
      <c r="G55" s="44">
        <f t="shared" si="8"/>
        <v>2</v>
      </c>
      <c r="H55" s="44">
        <f>COUNTIF(Frameworks!$M$98:$M$99,H$3)</f>
        <v>0</v>
      </c>
      <c r="I55" s="44">
        <f>COUNTIF(Frameworks!$M$98:$M$99,I$3)</f>
        <v>0</v>
      </c>
      <c r="J55" s="44">
        <f>COUNTIF(Frameworks!$M$98:$M$99,J$3)</f>
        <v>0</v>
      </c>
      <c r="K55" s="44">
        <f>COUNTIF(Frameworks!$M$98:$M$99,K$3)</f>
        <v>0</v>
      </c>
      <c r="L55" s="44">
        <f>COUNTIF(Frameworks!$M$98:$M$99,L$3)</f>
        <v>0</v>
      </c>
      <c r="M55" s="44">
        <f>COUNTA(Frameworks!$G$98:$G$99)-SUM(H55:L55)</f>
        <v>2</v>
      </c>
      <c r="N55" s="43">
        <f t="shared" si="9"/>
        <v>0</v>
      </c>
      <c r="O55" s="44">
        <f t="shared" si="10"/>
        <v>0</v>
      </c>
      <c r="P55" s="44">
        <f t="shared" si="11"/>
        <v>2</v>
      </c>
      <c r="Q55" s="44">
        <f>COUNTIF(Frameworks!$R$98:$R$99,Q$3)</f>
        <v>0</v>
      </c>
      <c r="R55" s="44">
        <f>COUNTIF(Frameworks!$R$98:$R$99,R$3)</f>
        <v>0</v>
      </c>
      <c r="S55" s="44">
        <f>COUNTIF(Frameworks!$R$98:$R$99,S$3)</f>
        <v>0</v>
      </c>
      <c r="T55" s="44">
        <f>COUNTIF(Frameworks!$R$98:$R$99,T$3)</f>
        <v>0</v>
      </c>
      <c r="U55" s="44">
        <f>COUNTIF(Frameworks!$R$98:$R$99,U$3)</f>
        <v>0</v>
      </c>
      <c r="V55" s="44">
        <f>COUNTA(Frameworks!$G$98:$G$99)-SUM(Q55:U55)</f>
        <v>2</v>
      </c>
    </row>
    <row r="56" ht="15.75" customHeight="1">
      <c r="A56"/>
      <c r="B56" s="45"/>
      <c r="C56" s="42" t="s">
        <v>131</v>
      </c>
      <c r="D56" s="42" t="s">
        <v>132</v>
      </c>
      <c r="E56" s="43">
        <f t="shared" si="6"/>
        <v>0</v>
      </c>
      <c r="F56" s="44">
        <f t="shared" si="7"/>
        <v>0</v>
      </c>
      <c r="G56" s="44">
        <f t="shared" si="8"/>
        <v>3</v>
      </c>
      <c r="H56" s="44">
        <f>COUNTIF(Frameworks!$M$100:$M$102,H$3)</f>
        <v>0</v>
      </c>
      <c r="I56" s="44">
        <f>COUNTIF(Frameworks!$M$100:$M$102,I$3)</f>
        <v>0</v>
      </c>
      <c r="J56" s="44">
        <f>COUNTIF(Frameworks!$M$100:$M$102,J$3)</f>
        <v>0</v>
      </c>
      <c r="K56" s="44">
        <f>COUNTIF(Frameworks!$M$100:$M$102,K$3)</f>
        <v>0</v>
      </c>
      <c r="L56" s="44">
        <f>COUNTIF(Frameworks!$M$100:$M$102,L$3)</f>
        <v>0</v>
      </c>
      <c r="M56" s="44">
        <f>COUNTA(Frameworks!$G$100:$G$102)-SUM(H56:L56)</f>
        <v>3</v>
      </c>
      <c r="N56" s="43">
        <f t="shared" si="9"/>
        <v>0</v>
      </c>
      <c r="O56" s="44">
        <f t="shared" si="10"/>
        <v>0</v>
      </c>
      <c r="P56" s="44">
        <f t="shared" si="11"/>
        <v>3</v>
      </c>
      <c r="Q56" s="44">
        <f>COUNTIF(Frameworks!$R$100:$R$102,Q$3)</f>
        <v>0</v>
      </c>
      <c r="R56" s="44">
        <f>COUNTIF(Frameworks!$R$100:$R$102,R$3)</f>
        <v>0</v>
      </c>
      <c r="S56" s="44">
        <f>COUNTIF(Frameworks!$R$100:$R$102,S$3)</f>
        <v>0</v>
      </c>
      <c r="T56" s="44">
        <f>COUNTIF(Frameworks!$R$100:$R$102,T$3)</f>
        <v>0</v>
      </c>
      <c r="U56" s="44">
        <f>COUNTIF(Frameworks!$R$100:$R$102,U$3)</f>
        <v>0</v>
      </c>
      <c r="V56" s="44">
        <f>COUNTA(Frameworks!$G$100:$G$102)-SUM(Q56:U56)</f>
        <v>3</v>
      </c>
    </row>
    <row r="57" ht="15.75" customHeight="1">
      <c r="A57"/>
      <c r="B57" s="45"/>
      <c r="C57" s="42" t="s">
        <v>131</v>
      </c>
      <c r="D57" s="42" t="s">
        <v>133</v>
      </c>
      <c r="E57" s="43">
        <f t="shared" si="6"/>
        <v>0</v>
      </c>
      <c r="F57" s="44">
        <f t="shared" si="7"/>
        <v>0</v>
      </c>
      <c r="G57" s="44">
        <f t="shared" si="8"/>
        <v>2</v>
      </c>
      <c r="H57" s="44">
        <f>COUNTIF(Frameworks!$M$103:$M$104,H$3)</f>
        <v>0</v>
      </c>
      <c r="I57" s="44">
        <f>COUNTIF(Frameworks!$M$103:$M$104,I$3)</f>
        <v>0</v>
      </c>
      <c r="J57" s="44">
        <f>COUNTIF(Frameworks!$M$103:$M$104,J$3)</f>
        <v>0</v>
      </c>
      <c r="K57" s="44">
        <f>COUNTIF(Frameworks!$M$103:$M$104,K$3)</f>
        <v>0</v>
      </c>
      <c r="L57" s="44">
        <f>COUNTIF(Frameworks!$M$103:$M$104,L$3)</f>
        <v>0</v>
      </c>
      <c r="M57" s="44">
        <f>COUNTA(Frameworks!$G$103:$G$104)-SUM(H57:L57)</f>
        <v>2</v>
      </c>
      <c r="N57" s="43">
        <f t="shared" si="9"/>
        <v>0</v>
      </c>
      <c r="O57" s="44">
        <f t="shared" si="10"/>
        <v>0</v>
      </c>
      <c r="P57" s="44">
        <f t="shared" si="11"/>
        <v>2</v>
      </c>
      <c r="Q57" s="44">
        <f>COUNTIF(Frameworks!$R$103:$R$104,Q$3)</f>
        <v>0</v>
      </c>
      <c r="R57" s="44">
        <f>COUNTIF(Frameworks!$R$103:$R$104,R$3)</f>
        <v>0</v>
      </c>
      <c r="S57" s="44">
        <f>COUNTIF(Frameworks!$R$103:$R$104,S$3)</f>
        <v>0</v>
      </c>
      <c r="T57" s="44">
        <f>COUNTIF(Frameworks!$R$103:$R$104,T$3)</f>
        <v>0</v>
      </c>
      <c r="U57" s="44">
        <f>COUNTIF(Frameworks!$R$103:$R$104,U$3)</f>
        <v>0</v>
      </c>
      <c r="V57" s="44">
        <f>COUNTA(Frameworks!$G$103:$G$104)-SUM(Q57:U57)</f>
        <v>2</v>
      </c>
    </row>
    <row r="58" ht="15.75" customHeight="1">
      <c r="A58"/>
      <c r="B58" s="45"/>
      <c r="C58" s="42" t="s">
        <v>131</v>
      </c>
      <c r="D58" s="42" t="s">
        <v>134</v>
      </c>
      <c r="E58" s="43">
        <f t="shared" si="6"/>
        <v>0</v>
      </c>
      <c r="F58" s="44">
        <f t="shared" si="7"/>
        <v>0</v>
      </c>
      <c r="G58" s="44">
        <f t="shared" si="8"/>
        <v>5</v>
      </c>
      <c r="H58" s="44">
        <f>COUNTIF(Frameworks!$M$105:$M$109,H$3)</f>
        <v>0</v>
      </c>
      <c r="I58" s="44">
        <f>COUNTIF(Frameworks!$M$105:$M$109,I$3)</f>
        <v>0</v>
      </c>
      <c r="J58" s="44">
        <f>COUNTIF(Frameworks!$M$105:$M$109,J$3)</f>
        <v>0</v>
      </c>
      <c r="K58" s="44">
        <f>COUNTIF(Frameworks!$M$105:$M$109,K$3)</f>
        <v>0</v>
      </c>
      <c r="L58" s="44">
        <f>COUNTIF(Frameworks!$M$105:$M$109,L$3)</f>
        <v>0</v>
      </c>
      <c r="M58" s="44">
        <f>COUNTA(Frameworks!$G$105:$G$109)-SUM(H58:L58)</f>
        <v>5</v>
      </c>
      <c r="N58" s="43">
        <f t="shared" si="9"/>
        <v>0</v>
      </c>
      <c r="O58" s="44">
        <f t="shared" si="10"/>
        <v>0</v>
      </c>
      <c r="P58" s="44">
        <f t="shared" si="11"/>
        <v>5</v>
      </c>
      <c r="Q58" s="44">
        <f>COUNTIF(Frameworks!$R$105:$R$109,Q$3)</f>
        <v>0</v>
      </c>
      <c r="R58" s="44">
        <f>COUNTIF(Frameworks!$R$105:$R$109,R$3)</f>
        <v>0</v>
      </c>
      <c r="S58" s="44">
        <f>COUNTIF(Frameworks!$R$105:$R$109,S$3)</f>
        <v>0</v>
      </c>
      <c r="T58" s="44">
        <f>COUNTIF(Frameworks!$R$105:$R$109,T$3)</f>
        <v>0</v>
      </c>
      <c r="U58" s="44">
        <f>COUNTIF(Frameworks!$R$105:$R$109,U$3)</f>
        <v>0</v>
      </c>
      <c r="V58" s="44">
        <f>COUNTA(Frameworks!$G$105:$G$109)-SUM(Q58:U58)</f>
        <v>5</v>
      </c>
    </row>
    <row r="59" ht="31.5" customHeight="1">
      <c r="A59"/>
      <c r="B59" s="45"/>
      <c r="C59" s="42" t="s">
        <v>135</v>
      </c>
      <c r="D59" s="42" t="s">
        <v>136</v>
      </c>
      <c r="E59" s="43">
        <f t="shared" si="6"/>
        <v>0</v>
      </c>
      <c r="F59" s="44">
        <f t="shared" si="7"/>
        <v>0</v>
      </c>
      <c r="G59" s="44">
        <f t="shared" si="8"/>
        <v>7</v>
      </c>
      <c r="H59" s="44">
        <f>COUNTIF(Frameworks!$M$110:$M$116,H$3)</f>
        <v>0</v>
      </c>
      <c r="I59" s="44">
        <f>COUNTIF(Frameworks!$M$110:$M$116,I$3)</f>
        <v>0</v>
      </c>
      <c r="J59" s="44">
        <f>COUNTIF(Frameworks!$M$110:$M$116,J$3)</f>
        <v>0</v>
      </c>
      <c r="K59" s="44">
        <f>COUNTIF(Frameworks!$M$110:$M$116,K$3)</f>
        <v>0</v>
      </c>
      <c r="L59" s="44">
        <f>COUNTIF(Frameworks!$M$110:$M$116,L$3)</f>
        <v>0</v>
      </c>
      <c r="M59" s="44">
        <f>COUNTA(Frameworks!$G$110:$G$116)-SUM(H59:L59)</f>
        <v>7</v>
      </c>
      <c r="N59" s="43">
        <f t="shared" si="9"/>
        <v>0</v>
      </c>
      <c r="O59" s="44">
        <f t="shared" si="10"/>
        <v>0</v>
      </c>
      <c r="P59" s="44">
        <f t="shared" si="11"/>
        <v>7</v>
      </c>
      <c r="Q59" s="44">
        <f>COUNTIF(Frameworks!$R$110:$R$116,Q$3)</f>
        <v>0</v>
      </c>
      <c r="R59" s="44">
        <f>COUNTIF(Frameworks!$R$110:$R$116,R$3)</f>
        <v>0</v>
      </c>
      <c r="S59" s="44">
        <f>COUNTIF(Frameworks!$R$110:$R$116,S$3)</f>
        <v>0</v>
      </c>
      <c r="T59" s="44">
        <f>COUNTIF(Frameworks!$R$110:$R$116,T$3)</f>
        <v>0</v>
      </c>
      <c r="U59" s="44">
        <f>COUNTIF(Frameworks!$R$110:$R$116,U$3)</f>
        <v>0</v>
      </c>
      <c r="V59" s="44">
        <f>COUNTA(Frameworks!$G$110:$G$116)-SUM(Q59:U59)</f>
        <v>7</v>
      </c>
    </row>
    <row r="60" ht="31.5" customHeight="1">
      <c r="A60"/>
      <c r="B60" s="45"/>
      <c r="C60" s="42" t="s">
        <v>135</v>
      </c>
      <c r="D60" s="42" t="s">
        <v>137</v>
      </c>
      <c r="E60" s="43">
        <f t="shared" si="6"/>
        <v>0</v>
      </c>
      <c r="F60" s="44">
        <f t="shared" si="7"/>
        <v>0</v>
      </c>
      <c r="G60" s="44">
        <f t="shared" si="8"/>
        <v>2</v>
      </c>
      <c r="H60" s="44">
        <f>COUNTIF(Frameworks!$M$117:$M$118,H$3)</f>
        <v>0</v>
      </c>
      <c r="I60" s="44">
        <f>COUNTIF(Frameworks!$M$117:$M$118,I$3)</f>
        <v>0</v>
      </c>
      <c r="J60" s="44">
        <f>COUNTIF(Frameworks!$M$117:$M$118,J$3)</f>
        <v>0</v>
      </c>
      <c r="K60" s="44">
        <f>COUNTIF(Frameworks!$M$117:$M$118,K$3)</f>
        <v>0</v>
      </c>
      <c r="L60" s="44">
        <f>COUNTIF(Frameworks!$M$117:$M$118,L$3)</f>
        <v>0</v>
      </c>
      <c r="M60" s="44">
        <f>COUNTA(Frameworks!$G$117:$G$118)-SUM(H60:L60)</f>
        <v>2</v>
      </c>
      <c r="N60" s="43">
        <f t="shared" si="9"/>
        <v>0</v>
      </c>
      <c r="O60" s="44">
        <f t="shared" si="10"/>
        <v>0</v>
      </c>
      <c r="P60" s="44">
        <f t="shared" si="11"/>
        <v>2</v>
      </c>
      <c r="Q60" s="44">
        <f>COUNTIF(Frameworks!$R$117:$R$118,Q$3)</f>
        <v>0</v>
      </c>
      <c r="R60" s="44">
        <f>COUNTIF(Frameworks!$R$117:$R$118,R$3)</f>
        <v>0</v>
      </c>
      <c r="S60" s="44">
        <f>COUNTIF(Frameworks!$R$117:$R$118,S$3)</f>
        <v>0</v>
      </c>
      <c r="T60" s="44">
        <f>COUNTIF(Frameworks!$R$117:$R$118,T$3)</f>
        <v>0</v>
      </c>
      <c r="U60" s="44">
        <f>COUNTIF(Frameworks!$R$117:$R$118,U$3)</f>
        <v>0</v>
      </c>
      <c r="V60" s="44">
        <f>COUNTA(Frameworks!$G$117:$G$118)-SUM(Q60:U60)</f>
        <v>2</v>
      </c>
    </row>
    <row r="61" ht="15.75" customHeight="1">
      <c r="A61"/>
      <c r="B61" s="45"/>
      <c r="C61" s="42" t="s">
        <v>110</v>
      </c>
      <c r="D61" s="42" t="s">
        <v>138</v>
      </c>
      <c r="E61" s="43">
        <f t="shared" si="6"/>
        <v>0</v>
      </c>
      <c r="F61" s="44">
        <f t="shared" si="7"/>
        <v>0</v>
      </c>
      <c r="G61" s="44">
        <f t="shared" si="8"/>
        <v>3</v>
      </c>
      <c r="H61" s="44">
        <f>COUNTIF(Frameworks!$M$119:$M$121,H$3)</f>
        <v>0</v>
      </c>
      <c r="I61" s="44">
        <f>COUNTIF(Frameworks!$M$119:$M$121,I$3)</f>
        <v>0</v>
      </c>
      <c r="J61" s="44">
        <f>COUNTIF(Frameworks!$M$119:$M$121,J$3)</f>
        <v>0</v>
      </c>
      <c r="K61" s="44">
        <f>COUNTIF(Frameworks!$M$119:$M$121,K$3)</f>
        <v>0</v>
      </c>
      <c r="L61" s="44">
        <f>COUNTIF(Frameworks!$M$119:$M$121,L$3)</f>
        <v>0</v>
      </c>
      <c r="M61" s="44">
        <f>COUNTA(Frameworks!$G$119:$G$121)-SUM(H61:L61)</f>
        <v>3</v>
      </c>
      <c r="N61" s="43">
        <f t="shared" si="9"/>
        <v>0</v>
      </c>
      <c r="O61" s="44">
        <f t="shared" si="10"/>
        <v>0</v>
      </c>
      <c r="P61" s="44">
        <f t="shared" si="11"/>
        <v>3</v>
      </c>
      <c r="Q61" s="44">
        <f>COUNTIF(Frameworks!$R$119:$R$121,Q$3)</f>
        <v>0</v>
      </c>
      <c r="R61" s="44">
        <f>COUNTIF(Frameworks!$R$119:$R$121,R$3)</f>
        <v>0</v>
      </c>
      <c r="S61" s="44">
        <f>COUNTIF(Frameworks!$R$119:$R$121,S$3)</f>
        <v>0</v>
      </c>
      <c r="T61" s="44">
        <f>COUNTIF(Frameworks!$R$119:$R$121,T$3)</f>
        <v>0</v>
      </c>
      <c r="U61" s="44">
        <f>COUNTIF(Frameworks!$R$119:$R$121,U$3)</f>
        <v>0</v>
      </c>
      <c r="V61" s="44">
        <f>COUNTA(Frameworks!$G$119:$G$121)-SUM(Q61:U61)</f>
        <v>3</v>
      </c>
    </row>
    <row r="62" ht="15.75" customHeight="1">
      <c r="A62"/>
      <c r="B62" s="45"/>
      <c r="C62" s="42" t="s">
        <v>110</v>
      </c>
      <c r="D62" s="42" t="s">
        <v>139</v>
      </c>
      <c r="E62" s="43">
        <f t="shared" si="6"/>
        <v>0</v>
      </c>
      <c r="F62" s="44">
        <f t="shared" si="7"/>
        <v>0</v>
      </c>
      <c r="G62" s="44">
        <f t="shared" si="8"/>
        <v>2</v>
      </c>
      <c r="H62" s="44">
        <f>COUNTIF(Frameworks!$M$122:$M$123,H$3)</f>
        <v>0</v>
      </c>
      <c r="I62" s="44">
        <f>COUNTIF(Frameworks!$M$122:$M$123,I$3)</f>
        <v>0</v>
      </c>
      <c r="J62" s="44">
        <f>COUNTIF(Frameworks!$M$122:$M$123,J$3)</f>
        <v>0</v>
      </c>
      <c r="K62" s="44">
        <f>COUNTIF(Frameworks!$M$122:$M$123,K$3)</f>
        <v>0</v>
      </c>
      <c r="L62" s="44">
        <f>COUNTIF(Frameworks!$M$122:$M$123,L$3)</f>
        <v>0</v>
      </c>
      <c r="M62" s="44">
        <f>COUNTA(Frameworks!$G$122:$G$123)-SUM(H62:L62)</f>
        <v>2</v>
      </c>
      <c r="N62" s="43">
        <f t="shared" si="9"/>
        <v>0</v>
      </c>
      <c r="O62" s="44">
        <f t="shared" si="10"/>
        <v>0</v>
      </c>
      <c r="P62" s="44">
        <f t="shared" si="11"/>
        <v>2</v>
      </c>
      <c r="Q62" s="44">
        <f>COUNTIF(Frameworks!$R$122:$R$123,Q$3)</f>
        <v>0</v>
      </c>
      <c r="R62" s="44">
        <f>COUNTIF(Frameworks!$R$122:$R$123,R$3)</f>
        <v>0</v>
      </c>
      <c r="S62" s="44">
        <f>COUNTIF(Frameworks!$R$122:$R$123,S$3)</f>
        <v>0</v>
      </c>
      <c r="T62" s="44">
        <f>COUNTIF(Frameworks!$R$122:$R$123,T$3)</f>
        <v>0</v>
      </c>
      <c r="U62" s="44">
        <f>COUNTIF(Frameworks!$R$122:$R$123,U$3)</f>
        <v>0</v>
      </c>
      <c r="V62" s="44">
        <f>COUNTA(Frameworks!$G$122:$G$123)-SUM(Q62:U62)</f>
        <v>2</v>
      </c>
    </row>
    <row r="63" ht="15.75" customHeight="1">
      <c r="A63"/>
      <c r="B63" s="45"/>
      <c r="C63" s="42" t="s">
        <v>110</v>
      </c>
      <c r="D63" s="42" t="s">
        <v>140</v>
      </c>
      <c r="E63" s="43">
        <f t="shared" si="6"/>
        <v>0</v>
      </c>
      <c r="F63" s="44">
        <f t="shared" si="7"/>
        <v>0</v>
      </c>
      <c r="G63" s="44">
        <f t="shared" si="8"/>
        <v>1</v>
      </c>
      <c r="H63" s="44">
        <f>COUNTIF(Frameworks!$M$124,H$3)</f>
        <v>0</v>
      </c>
      <c r="I63" s="44">
        <f>COUNTIF(Frameworks!$M$124,I$3)</f>
        <v>0</v>
      </c>
      <c r="J63" s="44">
        <f>COUNTIF(Frameworks!$M$124,J$3)</f>
        <v>0</v>
      </c>
      <c r="K63" s="44">
        <f>COUNTIF(Frameworks!$M$124,K$3)</f>
        <v>0</v>
      </c>
      <c r="L63" s="44">
        <f>COUNTIF(Frameworks!$M$124,L$3)</f>
        <v>0</v>
      </c>
      <c r="M63" s="44">
        <f>COUNTA(Frameworks!$G$124)-SUM(H63:L63)</f>
        <v>1</v>
      </c>
      <c r="N63" s="43">
        <f t="shared" si="9"/>
        <v>0</v>
      </c>
      <c r="O63" s="44">
        <f t="shared" si="10"/>
        <v>0</v>
      </c>
      <c r="P63" s="44">
        <f t="shared" si="11"/>
        <v>1</v>
      </c>
      <c r="Q63" s="44">
        <f>COUNTIF(Frameworks!$R$124,Q$3)</f>
        <v>0</v>
      </c>
      <c r="R63" s="44">
        <f>COUNTIF(Frameworks!$R$124,R$3)</f>
        <v>0</v>
      </c>
      <c r="S63" s="44">
        <f>COUNTIF(Frameworks!$R$124,S$3)</f>
        <v>0</v>
      </c>
      <c r="T63" s="44">
        <f>COUNTIF(Frameworks!$R$124,T$3)</f>
        <v>0</v>
      </c>
      <c r="U63" s="44">
        <f>COUNTIF(Frameworks!$R$124,U$3)</f>
        <v>0</v>
      </c>
      <c r="V63" s="44">
        <f>COUNTA(Frameworks!$G$124)-SUM(Q63:U63)</f>
        <v>1</v>
      </c>
    </row>
    <row r="64" ht="15.75" customHeight="1">
      <c r="A64"/>
      <c r="B64" s="45"/>
      <c r="C64" s="42" t="s">
        <v>110</v>
      </c>
      <c r="D64" s="42" t="s">
        <v>141</v>
      </c>
      <c r="E64" s="43">
        <f t="shared" si="6"/>
        <v>0</v>
      </c>
      <c r="F64" s="44">
        <f t="shared" si="7"/>
        <v>0</v>
      </c>
      <c r="G64" s="44">
        <f t="shared" si="8"/>
        <v>2</v>
      </c>
      <c r="H64" s="44">
        <f>COUNTIF(Frameworks!$M$125:$M$126,H$3)</f>
        <v>0</v>
      </c>
      <c r="I64" s="44">
        <f>COUNTIF(Frameworks!$M$125:$M$126,I$3)</f>
        <v>0</v>
      </c>
      <c r="J64" s="44">
        <f>COUNTIF(Frameworks!$M$125:$M$126,J$3)</f>
        <v>0</v>
      </c>
      <c r="K64" s="44">
        <f>COUNTIF(Frameworks!$M$125:$M$126,K$3)</f>
        <v>0</v>
      </c>
      <c r="L64" s="44">
        <f>COUNTIF(Frameworks!$M$125:$M$126,L$3)</f>
        <v>0</v>
      </c>
      <c r="M64" s="44">
        <f>COUNTA(Frameworks!$G$125:$G$126)-SUM(H64:L64)</f>
        <v>2</v>
      </c>
      <c r="N64" s="43">
        <f t="shared" si="9"/>
        <v>0</v>
      </c>
      <c r="O64" s="44">
        <f t="shared" si="10"/>
        <v>0</v>
      </c>
      <c r="P64" s="44">
        <f t="shared" si="11"/>
        <v>2</v>
      </c>
      <c r="Q64" s="44">
        <f>COUNTIF(Frameworks!$R$125:$R$126,Q$3)</f>
        <v>0</v>
      </c>
      <c r="R64" s="44">
        <f>COUNTIF(Frameworks!$R$125:$R$126,R$3)</f>
        <v>0</v>
      </c>
      <c r="S64" s="44">
        <f>COUNTIF(Frameworks!$R$125:$R$126,S$3)</f>
        <v>0</v>
      </c>
      <c r="T64" s="44">
        <f>COUNTIF(Frameworks!$R$125:$R$126,T$3)</f>
        <v>0</v>
      </c>
      <c r="U64" s="44">
        <f>COUNTIF(Frameworks!$R$125:$R$126,U$3)</f>
        <v>0</v>
      </c>
      <c r="V64" s="44">
        <f>COUNTA(Frameworks!$G$125:$G$126)-SUM(Q64:U64)</f>
        <v>2</v>
      </c>
    </row>
    <row r="65" ht="15.75" customHeight="1">
      <c r="A65"/>
      <c r="B65" s="45"/>
      <c r="C65" s="42" t="s">
        <v>110</v>
      </c>
      <c r="D65" s="42" t="s">
        <v>142</v>
      </c>
      <c r="E65" s="43">
        <f t="shared" si="6"/>
        <v>0</v>
      </c>
      <c r="F65" s="44">
        <f t="shared" si="7"/>
        <v>0</v>
      </c>
      <c r="G65" s="44">
        <f t="shared" si="8"/>
        <v>4</v>
      </c>
      <c r="H65" s="44">
        <f>COUNTIF(Frameworks!$M$127:$M$130,H$3)</f>
        <v>0</v>
      </c>
      <c r="I65" s="44">
        <f>COUNTIF(Frameworks!$M$127:$M$130,I$3)</f>
        <v>0</v>
      </c>
      <c r="J65" s="44">
        <f>COUNTIF(Frameworks!$M$127:$M$130,J$3)</f>
        <v>0</v>
      </c>
      <c r="K65" s="44">
        <f>COUNTIF(Frameworks!$M$127:$M$130,K$3)</f>
        <v>0</v>
      </c>
      <c r="L65" s="44">
        <f>COUNTIF(Frameworks!$M$127:$M$130,L$3)</f>
        <v>0</v>
      </c>
      <c r="M65" s="44">
        <f>COUNTA(Frameworks!$G$127:$G$130)-SUM(H65:L65)</f>
        <v>4</v>
      </c>
      <c r="N65" s="43">
        <f t="shared" si="9"/>
        <v>0</v>
      </c>
      <c r="O65" s="44">
        <f t="shared" si="10"/>
        <v>0</v>
      </c>
      <c r="P65" s="44">
        <f t="shared" si="11"/>
        <v>4</v>
      </c>
      <c r="Q65" s="44">
        <f>COUNTIF(Frameworks!$R$127:$R$130,Q$3)</f>
        <v>0</v>
      </c>
      <c r="R65" s="44">
        <f>COUNTIF(Frameworks!$R$127:$R$130,R$3)</f>
        <v>0</v>
      </c>
      <c r="S65" s="44">
        <f>COUNTIF(Frameworks!$R$127:$R$130,S$3)</f>
        <v>0</v>
      </c>
      <c r="T65" s="44">
        <f>COUNTIF(Frameworks!$R$127:$R$130,T$3)</f>
        <v>0</v>
      </c>
      <c r="U65" s="44">
        <f>COUNTIF(Frameworks!$R$127:$R$130,U$3)</f>
        <v>0</v>
      </c>
      <c r="V65" s="44">
        <f>COUNTA(Frameworks!$G$127:$G$130)-SUM(Q65:U65)</f>
        <v>4</v>
      </c>
    </row>
    <row r="66" ht="15.75" customHeight="1">
      <c r="A66"/>
      <c r="B66" s="45"/>
      <c r="C66" s="42" t="s">
        <v>89</v>
      </c>
      <c r="D66" s="42" t="s">
        <v>143</v>
      </c>
      <c r="E66" s="43">
        <f t="shared" si="6"/>
        <v>0</v>
      </c>
      <c r="F66" s="44">
        <f t="shared" si="7"/>
        <v>0</v>
      </c>
      <c r="G66" s="44">
        <f t="shared" si="8"/>
        <v>2</v>
      </c>
      <c r="H66" s="44">
        <f>COUNTIF(Frameworks!$M$131:$M$132,H$3)</f>
        <v>0</v>
      </c>
      <c r="I66" s="44">
        <f>COUNTIF(Frameworks!$M$131:$M$132,I$3)</f>
        <v>0</v>
      </c>
      <c r="J66" s="44">
        <f>COUNTIF(Frameworks!$M$131:$M$132,J$3)</f>
        <v>0</v>
      </c>
      <c r="K66" s="44">
        <f>COUNTIF(Frameworks!$M$131:$M$132,K$3)</f>
        <v>0</v>
      </c>
      <c r="L66" s="44">
        <f>COUNTIF(Frameworks!$M$131:$M$132,L$3)</f>
        <v>0</v>
      </c>
      <c r="M66" s="44">
        <f>COUNTA(Frameworks!$G$131:$G$132)-SUM(H66:L66)</f>
        <v>2</v>
      </c>
      <c r="N66" s="43">
        <f t="shared" si="9"/>
        <v>0</v>
      </c>
      <c r="O66" s="44">
        <f t="shared" si="10"/>
        <v>0</v>
      </c>
      <c r="P66" s="44">
        <f t="shared" si="11"/>
        <v>2</v>
      </c>
      <c r="Q66" s="44">
        <f>COUNTIF(Frameworks!$R$131:$R$132,Q$3)</f>
        <v>0</v>
      </c>
      <c r="R66" s="44">
        <f>COUNTIF(Frameworks!$R$131:$R$132,R$3)</f>
        <v>0</v>
      </c>
      <c r="S66" s="44">
        <f>COUNTIF(Frameworks!$R$131:$R$132,S$3)</f>
        <v>0</v>
      </c>
      <c r="T66" s="44">
        <f>COUNTIF(Frameworks!$R$131:$R$132,T$3)</f>
        <v>0</v>
      </c>
      <c r="U66" s="44">
        <f>COUNTIF(Frameworks!$R$131:$R$132,U$3)</f>
        <v>0</v>
      </c>
      <c r="V66" s="44">
        <f>COUNTA(Frameworks!$G$131:$G$132)-SUM(Q66:U66)</f>
        <v>2</v>
      </c>
    </row>
    <row r="67" ht="15.75" customHeight="1">
      <c r="A67"/>
      <c r="B67" s="45"/>
      <c r="C67" s="42" t="s">
        <v>89</v>
      </c>
      <c r="D67" s="42" t="s">
        <v>116</v>
      </c>
      <c r="E67" s="43">
        <f t="shared" si="6"/>
        <v>0</v>
      </c>
      <c r="F67" s="44">
        <f t="shared" si="7"/>
        <v>0</v>
      </c>
      <c r="G67" s="44">
        <f t="shared" si="8"/>
        <v>3</v>
      </c>
      <c r="H67" s="44">
        <f>COUNTIF(Frameworks!$M$133:$M$135,H$3)</f>
        <v>0</v>
      </c>
      <c r="I67" s="44">
        <f>COUNTIF(Frameworks!$M$133:$M$135,I$3)</f>
        <v>0</v>
      </c>
      <c r="J67" s="44">
        <f>COUNTIF(Frameworks!$M$133:$M$135,J$3)</f>
        <v>0</v>
      </c>
      <c r="K67" s="44">
        <f>COUNTIF(Frameworks!$M$133:$M$135,K$3)</f>
        <v>0</v>
      </c>
      <c r="L67" s="44">
        <f>COUNTIF(Frameworks!$M$133:$M$135,L$3)</f>
        <v>0</v>
      </c>
      <c r="M67" s="44">
        <f>COUNTA(Frameworks!$G$133:$G$135)-SUM(H67:L67)</f>
        <v>3</v>
      </c>
      <c r="N67" s="43">
        <f t="shared" si="9"/>
        <v>0</v>
      </c>
      <c r="O67" s="44">
        <f t="shared" si="10"/>
        <v>0</v>
      </c>
      <c r="P67" s="44">
        <f t="shared" si="11"/>
        <v>3</v>
      </c>
      <c r="Q67" s="44">
        <f>COUNTIF(Frameworks!$R$133:$R$135,Q$3)</f>
        <v>0</v>
      </c>
      <c r="R67" s="44">
        <f>COUNTIF(Frameworks!$R$133:$R$135,R$3)</f>
        <v>0</v>
      </c>
      <c r="S67" s="44">
        <f>COUNTIF(Frameworks!$R$133:$R$135,S$3)</f>
        <v>0</v>
      </c>
      <c r="T67" s="44">
        <f>COUNTIF(Frameworks!$R$133:$R$135,T$3)</f>
        <v>0</v>
      </c>
      <c r="U67" s="44">
        <f>COUNTIF(Frameworks!$R$133:$R$135,U$3)</f>
        <v>0</v>
      </c>
      <c r="V67" s="44">
        <f>COUNTA(Frameworks!$G$133:$G$135)-SUM(Q67:U67)</f>
        <v>3</v>
      </c>
    </row>
    <row r="68" ht="15.75" customHeight="1">
      <c r="A68"/>
      <c r="B68" s="12"/>
      <c r="C68" s="46" t="s">
        <v>71</v>
      </c>
      <c r="D68" s="46"/>
      <c r="E68" s="47">
        <f t="shared" si="6"/>
        <v>0</v>
      </c>
      <c r="F68" s="48">
        <f t="shared" si="7"/>
        <v>0</v>
      </c>
      <c r="G68" s="48">
        <f t="shared" si="8"/>
        <v>122</v>
      </c>
      <c r="H68" s="48">
        <f>SUM(H40:H67)</f>
        <v>0</v>
      </c>
      <c r="I68" s="48">
        <f>SUM(I40:I67)</f>
        <v>0</v>
      </c>
      <c r="J68" s="48">
        <f>SUM(J40:J67)</f>
        <v>0</v>
      </c>
      <c r="K68" s="48">
        <f>SUM(K40:K67)</f>
        <v>0</v>
      </c>
      <c r="L68" s="48">
        <f>SUM(L40:L67)</f>
        <v>0</v>
      </c>
      <c r="M68" s="48">
        <f>SUM(M40:M67)</f>
        <v>122</v>
      </c>
      <c r="N68" s="47">
        <f t="shared" si="9"/>
        <v>0</v>
      </c>
      <c r="O68" s="48">
        <f t="shared" si="10"/>
        <v>0</v>
      </c>
      <c r="P68" s="48">
        <f t="shared" si="11"/>
        <v>122</v>
      </c>
      <c r="Q68" s="48">
        <f>SUM(Q40:Q67)</f>
        <v>0</v>
      </c>
      <c r="R68" s="48">
        <f>SUM(R40:R67)</f>
        <v>0</v>
      </c>
      <c r="S68" s="48">
        <f>SUM(S40:S67)</f>
        <v>0</v>
      </c>
      <c r="T68" s="48">
        <f>SUM(T40:T67)</f>
        <v>0</v>
      </c>
      <c r="U68" s="48">
        <f>SUM(U40:U67)</f>
        <v>0</v>
      </c>
      <c r="V68" s="48">
        <f>SUM(V40:V67)</f>
        <v>122</v>
      </c>
    </row>
    <row r="69" ht="15.75" customHeight="1">
      <c r="A69"/>
      <c r="B69" s="41" t="s">
        <v>144</v>
      </c>
      <c r="C69" s="42" t="s">
        <v>80</v>
      </c>
      <c r="D69" s="42" t="s">
        <v>145</v>
      </c>
      <c r="E69" s="43">
        <f t="shared" si="6"/>
        <v>0</v>
      </c>
      <c r="F69" s="44">
        <f t="shared" si="7"/>
        <v>0</v>
      </c>
      <c r="G69" s="44">
        <f t="shared" si="8"/>
        <v>2</v>
      </c>
      <c r="H69" s="44">
        <f>COUNTIF('Users'!$M$13:$M$14,H$3)</f>
        <v>0</v>
      </c>
      <c r="I69" s="44">
        <f>COUNTIF('Users'!$M$13:$M$14,I$3)</f>
        <v>0</v>
      </c>
      <c r="J69" s="44">
        <f>COUNTIF('Users'!$M$13:$M$14,J$3)</f>
        <v>0</v>
      </c>
      <c r="K69" s="44">
        <f>COUNTIF('Users'!$M$13:$M$14,K$3)</f>
        <v>0</v>
      </c>
      <c r="L69" s="44">
        <f>COUNTIF('Users'!$M$13:$M$14,L$3)</f>
        <v>0</v>
      </c>
      <c r="M69" s="44">
        <f>COUNTA('Users'!$G$13:$G$14)-SUM(H69:L69)</f>
        <v>2</v>
      </c>
      <c r="N69" s="43">
        <f t="shared" si="9"/>
        <v>0</v>
      </c>
      <c r="O69" s="44">
        <f t="shared" si="10"/>
        <v>0</v>
      </c>
      <c r="P69" s="44">
        <f t="shared" si="11"/>
        <v>2</v>
      </c>
      <c r="Q69" s="44">
        <f>COUNTIF('Users'!$R$13:$R$14,Q$3)</f>
        <v>0</v>
      </c>
      <c r="R69" s="44">
        <f>COUNTIF('Users'!$R$13:$R$14,R$3)</f>
        <v>0</v>
      </c>
      <c r="S69" s="44">
        <f>COUNTIF('Users'!$R$13:$R$14,S$3)</f>
        <v>0</v>
      </c>
      <c r="T69" s="44">
        <f>COUNTIF('Users'!$R$13:$R$14,T$3)</f>
        <v>0</v>
      </c>
      <c r="U69" s="44">
        <f>COUNTIF('Users'!$R$13:$R$14,U$3)</f>
        <v>0</v>
      </c>
      <c r="V69" s="44">
        <f>COUNTA('Users'!$G$13:$G$14)-SUM(Q69:U69)</f>
        <v>2</v>
      </c>
    </row>
    <row r="70" ht="15.75" customHeight="1">
      <c r="A70"/>
      <c r="B70" s="45"/>
      <c r="C70" s="42" t="s">
        <v>80</v>
      </c>
      <c r="D70" s="42" t="s">
        <v>146</v>
      </c>
      <c r="E70" s="43">
        <f t="shared" si="6"/>
        <v>0</v>
      </c>
      <c r="F70" s="44">
        <f t="shared" si="7"/>
        <v>0</v>
      </c>
      <c r="G70" s="44">
        <f t="shared" si="8"/>
        <v>1</v>
      </c>
      <c r="H70" s="44">
        <f>COUNTIF('Users'!$M$15:$M$15,H$3)</f>
        <v>0</v>
      </c>
      <c r="I70" s="44">
        <f>COUNTIF('Users'!$M$15:$M$15,I$3)</f>
        <v>0</v>
      </c>
      <c r="J70" s="44">
        <f>COUNTIF('Users'!$M$15:$M$15,J$3)</f>
        <v>0</v>
      </c>
      <c r="K70" s="44">
        <f>COUNTIF('Users'!$M$15:$M$15,K$3)</f>
        <v>0</v>
      </c>
      <c r="L70" s="44">
        <f>COUNTIF('Users'!$M$15:$M$15,L$3)</f>
        <v>0</v>
      </c>
      <c r="M70" s="44">
        <f>COUNTA('Users'!$G$15:$G$15)-SUM(H70:L70)</f>
        <v>1</v>
      </c>
      <c r="N70" s="43">
        <f t="shared" si="9"/>
        <v>0</v>
      </c>
      <c r="O70" s="44">
        <f t="shared" si="10"/>
        <v>0</v>
      </c>
      <c r="P70" s="44">
        <f t="shared" si="11"/>
        <v>1</v>
      </c>
      <c r="Q70" s="44">
        <f>COUNTIF('Users'!$R$15:$R$15,Q$3)</f>
        <v>0</v>
      </c>
      <c r="R70" s="44">
        <f>COUNTIF('Users'!$R$15:$R$15,R$3)</f>
        <v>0</v>
      </c>
      <c r="S70" s="44">
        <f>COUNTIF('Users'!$R$15:$R$15,S$3)</f>
        <v>0</v>
      </c>
      <c r="T70" s="44">
        <f>COUNTIF('Users'!$R$15:$R$15,T$3)</f>
        <v>0</v>
      </c>
      <c r="U70" s="44">
        <f>COUNTIF('Users'!$R$15:$R$15,U$3)</f>
        <v>0</v>
      </c>
      <c r="V70" s="44">
        <f>COUNTA('Users'!$G$15:$G$15)-SUM(Q70:U70)</f>
        <v>1</v>
      </c>
    </row>
    <row r="71" ht="15.75" customHeight="1">
      <c r="A71"/>
      <c r="B71" s="45"/>
      <c r="C71" s="42" t="s">
        <v>147</v>
      </c>
      <c r="D71" s="42" t="s">
        <v>148</v>
      </c>
      <c r="E71" s="43">
        <f t="shared" si="6"/>
        <v>0</v>
      </c>
      <c r="F71" s="44">
        <f t="shared" si="7"/>
        <v>0</v>
      </c>
      <c r="G71" s="44">
        <f t="shared" si="8"/>
        <v>2</v>
      </c>
      <c r="H71" s="44">
        <f>COUNTIF('Users'!$M$16:$M$17,H$3)</f>
        <v>0</v>
      </c>
      <c r="I71" s="44">
        <f>COUNTIF('Users'!$M$16:$M$17,I$3)</f>
        <v>0</v>
      </c>
      <c r="J71" s="44">
        <f>COUNTIF('Users'!$M$16:$M$17,J$3)</f>
        <v>0</v>
      </c>
      <c r="K71" s="44">
        <f>COUNTIF('Users'!$M$16:$M$17,K$3)</f>
        <v>0</v>
      </c>
      <c r="L71" s="44">
        <f>COUNTIF('Users'!$M$16:$M$17,L$3)</f>
        <v>0</v>
      </c>
      <c r="M71" s="44">
        <f>COUNTA('Users'!$G$16:$G$17)-SUM(H71:L71)</f>
        <v>2</v>
      </c>
      <c r="N71" s="43">
        <f t="shared" si="9"/>
        <v>0</v>
      </c>
      <c r="O71" s="44">
        <f t="shared" si="10"/>
        <v>0</v>
      </c>
      <c r="P71" s="44">
        <f t="shared" si="11"/>
        <v>2</v>
      </c>
      <c r="Q71" s="44">
        <f>COUNTIF('Users'!$R$16:$R$17,Q$3)</f>
        <v>0</v>
      </c>
      <c r="R71" s="44">
        <f>COUNTIF('Users'!$R$16:$R$17,R$3)</f>
        <v>0</v>
      </c>
      <c r="S71" s="44">
        <f>COUNTIF('Users'!$R$16:$R$17,S$3)</f>
        <v>0</v>
      </c>
      <c r="T71" s="44">
        <f>COUNTIF('Users'!$R$16:$R$17,T$3)</f>
        <v>0</v>
      </c>
      <c r="U71" s="44">
        <f>COUNTIF('Users'!$R$16:$R$17,U$3)</f>
        <v>0</v>
      </c>
      <c r="V71" s="44">
        <f>COUNTA('Users'!$G$16:$G$17)-SUM(Q71:U71)</f>
        <v>2</v>
      </c>
    </row>
    <row r="72" ht="15.75" customHeight="1">
      <c r="A72"/>
      <c r="B72" s="45"/>
      <c r="C72" s="42" t="s">
        <v>147</v>
      </c>
      <c r="D72" s="42" t="s">
        <v>149</v>
      </c>
      <c r="E72" s="43">
        <f t="shared" si="6"/>
        <v>0</v>
      </c>
      <c r="F72" s="44">
        <f t="shared" si="7"/>
        <v>0</v>
      </c>
      <c r="G72" s="44">
        <f t="shared" si="8"/>
        <v>1</v>
      </c>
      <c r="H72" s="44">
        <f>COUNTIF('Users'!$M$18:$M$18,H$3)</f>
        <v>0</v>
      </c>
      <c r="I72" s="44">
        <f>COUNTIF('Users'!$M$18:$M$18,I$3)</f>
        <v>0</v>
      </c>
      <c r="J72" s="44">
        <f>COUNTIF('Users'!$M$18:$M$18,J$3)</f>
        <v>0</v>
      </c>
      <c r="K72" s="44">
        <f>COUNTIF('Users'!$M$18:$M$18,K$3)</f>
        <v>0</v>
      </c>
      <c r="L72" s="44">
        <f>COUNTIF('Users'!$M$18:$M$18,L$3)</f>
        <v>0</v>
      </c>
      <c r="M72" s="44">
        <f>COUNTA('Users'!$G$18:$G$18)-SUM(H72:L72)</f>
        <v>1</v>
      </c>
      <c r="N72" s="43">
        <f t="shared" si="9"/>
        <v>0</v>
      </c>
      <c r="O72" s="44">
        <f t="shared" si="10"/>
        <v>0</v>
      </c>
      <c r="P72" s="44">
        <f t="shared" si="11"/>
        <v>1</v>
      </c>
      <c r="Q72" s="44">
        <f>COUNTIF('Users'!$R$18:$R$18,Q$3)</f>
        <v>0</v>
      </c>
      <c r="R72" s="44">
        <f>COUNTIF('Users'!$R$18:$R$18,R$3)</f>
        <v>0</v>
      </c>
      <c r="S72" s="44">
        <f>COUNTIF('Users'!$R$18:$R$18,S$3)</f>
        <v>0</v>
      </c>
      <c r="T72" s="44">
        <f>COUNTIF('Users'!$R$18:$R$18,T$3)</f>
        <v>0</v>
      </c>
      <c r="U72" s="44">
        <f>COUNTIF('Users'!$R$18:$R$18,U$3)</f>
        <v>0</v>
      </c>
      <c r="V72" s="44">
        <f>COUNTA('Users'!$G$18:$G$18)-SUM(Q72:U72)</f>
        <v>1</v>
      </c>
    </row>
    <row r="73" ht="31.5" customHeight="1">
      <c r="A73"/>
      <c r="B73" s="45"/>
      <c r="C73" s="42" t="s">
        <v>150</v>
      </c>
      <c r="D73" s="42" t="s">
        <v>151</v>
      </c>
      <c r="E73" s="43">
        <f t="shared" si="6"/>
        <v>0</v>
      </c>
      <c r="F73" s="44">
        <f t="shared" si="7"/>
        <v>0</v>
      </c>
      <c r="G73" s="44">
        <f t="shared" si="8"/>
        <v>2</v>
      </c>
      <c r="H73" s="44">
        <f>COUNTIF('Users'!$M$19:$M$20,H$3)</f>
        <v>0</v>
      </c>
      <c r="I73" s="44">
        <f>COUNTIF('Users'!$M$19:$M$20,I$3)</f>
        <v>0</v>
      </c>
      <c r="J73" s="44">
        <f>COUNTIF('Users'!$M$19:$M$20,J$3)</f>
        <v>0</v>
      </c>
      <c r="K73" s="44">
        <f>COUNTIF('Users'!$M$19:$M$20,K$3)</f>
        <v>0</v>
      </c>
      <c r="L73" s="44">
        <f>COUNTIF('Users'!$M$19:$M$20,L$3)</f>
        <v>0</v>
      </c>
      <c r="M73" s="44">
        <f>COUNTA('Users'!$G$19:$G$20)-SUM(H73:L73)</f>
        <v>2</v>
      </c>
      <c r="N73" s="43">
        <f t="shared" si="9"/>
        <v>0</v>
      </c>
      <c r="O73" s="44">
        <f t="shared" si="10"/>
        <v>0</v>
      </c>
      <c r="P73" s="44">
        <f t="shared" si="11"/>
        <v>2</v>
      </c>
      <c r="Q73" s="44">
        <f>COUNTIF('Users'!$R$19:$R$20,Q$3)</f>
        <v>0</v>
      </c>
      <c r="R73" s="44">
        <f>COUNTIF('Users'!$R$19:$R$20,R$3)</f>
        <v>0</v>
      </c>
      <c r="S73" s="44">
        <f>COUNTIF('Users'!$R$19:$R$20,S$3)</f>
        <v>0</v>
      </c>
      <c r="T73" s="44">
        <f>COUNTIF('Users'!$R$19:$R$20,T$3)</f>
        <v>0</v>
      </c>
      <c r="U73" s="44">
        <f>COUNTIF('Users'!$R$19:$R$20,U$3)</f>
        <v>0</v>
      </c>
      <c r="V73" s="44">
        <f>COUNTA('Users'!$G$19:$G$20)-SUM(Q73:U73)</f>
        <v>2</v>
      </c>
    </row>
    <row r="74" ht="15.75" customHeight="1">
      <c r="A74"/>
      <c r="B74" s="45"/>
      <c r="C74" s="42" t="s">
        <v>152</v>
      </c>
      <c r="D74" s="42" t="s">
        <v>153</v>
      </c>
      <c r="E74" s="43">
        <f t="shared" ref="E74:E97" si="12">F74/G74</f>
        <v>0</v>
      </c>
      <c r="F74" s="44">
        <f t="shared" ref="F74:F96" si="13">SUM(H74:L74)</f>
        <v>0</v>
      </c>
      <c r="G74" s="44">
        <f t="shared" ref="G74:G96" si="14">SUM(H74:M74)</f>
        <v>2</v>
      </c>
      <c r="H74" s="44">
        <f>COUNTIF('Users'!$M$21:$M$22,H$3)</f>
        <v>0</v>
      </c>
      <c r="I74" s="44">
        <f>COUNTIF('Users'!$M$21:$M$22,I$3)</f>
        <v>0</v>
      </c>
      <c r="J74" s="44">
        <f>COUNTIF('Users'!$M$21:$M$22,J$3)</f>
        <v>0</v>
      </c>
      <c r="K74" s="44">
        <f>COUNTIF('Users'!$M$21:$M$22,K$3)</f>
        <v>0</v>
      </c>
      <c r="L74" s="44">
        <f>COUNTIF('Users'!$M$21:$M$22,L$3)</f>
        <v>0</v>
      </c>
      <c r="M74" s="44">
        <f>COUNTA('Users'!$G$21:$G$22)-SUM(H74:L74)</f>
        <v>2</v>
      </c>
      <c r="N74" s="43">
        <f t="shared" ref="N74:N97" si="15">O74/P74</f>
        <v>0</v>
      </c>
      <c r="O74" s="44">
        <f t="shared" ref="O74:O96" si="16">SUM(Q74:U74)</f>
        <v>0</v>
      </c>
      <c r="P74" s="44">
        <f t="shared" ref="P74:P96" si="17">SUM(Q74:V74)</f>
        <v>2</v>
      </c>
      <c r="Q74" s="44">
        <f>COUNTIF('Users'!$R$21:$R$22,Q$3)</f>
        <v>0</v>
      </c>
      <c r="R74" s="44">
        <f>COUNTIF('Users'!$R$21:$R$22,R$3)</f>
        <v>0</v>
      </c>
      <c r="S74" s="44">
        <f>COUNTIF('Users'!$R$21:$R$22,S$3)</f>
        <v>0</v>
      </c>
      <c r="T74" s="44">
        <f>COUNTIF('Users'!$R$21:$R$22,T$3)</f>
        <v>0</v>
      </c>
      <c r="U74" s="44">
        <f>COUNTIF('Users'!$R$21:$R$22,U$3)</f>
        <v>0</v>
      </c>
      <c r="V74" s="44">
        <f>COUNTA('Users'!$G$21:$G$22)-SUM(Q74:U74)</f>
        <v>2</v>
      </c>
    </row>
    <row r="75" ht="15.75" customHeight="1">
      <c r="A75"/>
      <c r="B75" s="45"/>
      <c r="C75" s="42" t="s">
        <v>152</v>
      </c>
      <c r="D75" s="42" t="s">
        <v>154</v>
      </c>
      <c r="E75" s="43">
        <f t="shared" si="12"/>
        <v>0</v>
      </c>
      <c r="F75" s="44">
        <f t="shared" si="13"/>
        <v>0</v>
      </c>
      <c r="G75" s="44">
        <f t="shared" si="14"/>
        <v>14</v>
      </c>
      <c r="H75" s="44">
        <f>COUNTIF('Users'!$M$23:$M$36,H$3)</f>
        <v>0</v>
      </c>
      <c r="I75" s="44">
        <f>COUNTIF('Users'!$M$23:$M$36,I$3)</f>
        <v>0</v>
      </c>
      <c r="J75" s="44">
        <f>COUNTIF('Users'!$M$23:$M$36,J$3)</f>
        <v>0</v>
      </c>
      <c r="K75" s="44">
        <f>COUNTIF('Users'!$M$23:$M$36,K$3)</f>
        <v>0</v>
      </c>
      <c r="L75" s="44">
        <f>COUNTIF('Users'!$M$23:$M$36,L$3)</f>
        <v>0</v>
      </c>
      <c r="M75" s="44">
        <f>COUNTA('Users'!$G$23:$G$36)-SUM(H75:L75)</f>
        <v>14</v>
      </c>
      <c r="N75" s="43">
        <f t="shared" si="15"/>
        <v>0</v>
      </c>
      <c r="O75" s="44">
        <f t="shared" si="16"/>
        <v>0</v>
      </c>
      <c r="P75" s="44">
        <f t="shared" si="17"/>
        <v>14</v>
      </c>
      <c r="Q75" s="44">
        <f>COUNTIF('Users'!$R$23:$R$36,Q$3)</f>
        <v>0</v>
      </c>
      <c r="R75" s="44">
        <f>COUNTIF('Users'!$R$23:$R$36,R$3)</f>
        <v>0</v>
      </c>
      <c r="S75" s="44">
        <f>COUNTIF('Users'!$R$23:$R$36,S$3)</f>
        <v>0</v>
      </c>
      <c r="T75" s="44">
        <f>COUNTIF('Users'!$R$23:$R$36,T$3)</f>
        <v>0</v>
      </c>
      <c r="U75" s="44">
        <f>COUNTIF('Users'!$R$23:$R$36,U$3)</f>
        <v>0</v>
      </c>
      <c r="V75" s="44">
        <f>COUNTA('Users'!$G$23:$G$36)-SUM(Q75:U75)</f>
        <v>14</v>
      </c>
    </row>
    <row r="76" ht="15.75" customHeight="1">
      <c r="A76"/>
      <c r="B76" s="45"/>
      <c r="C76" s="42" t="s">
        <v>152</v>
      </c>
      <c r="D76" s="42" t="s">
        <v>155</v>
      </c>
      <c r="E76" s="43">
        <f t="shared" si="12"/>
        <v>0</v>
      </c>
      <c r="F76" s="44">
        <f t="shared" si="13"/>
        <v>0</v>
      </c>
      <c r="G76" s="44">
        <f t="shared" si="14"/>
        <v>4</v>
      </c>
      <c r="H76" s="44">
        <f>COUNTIF('Users'!$M$37:$M$40,H$3)</f>
        <v>0</v>
      </c>
      <c r="I76" s="44">
        <f>COUNTIF('Users'!$M$37:$M$40,I$3)</f>
        <v>0</v>
      </c>
      <c r="J76" s="44">
        <f>COUNTIF('Users'!$M$37:$M$40,J$3)</f>
        <v>0</v>
      </c>
      <c r="K76" s="44">
        <f>COUNTIF('Users'!$M$37:$M$40,K$3)</f>
        <v>0</v>
      </c>
      <c r="L76" s="44">
        <f>COUNTIF('Users'!$M$37:$M$40,L$3)</f>
        <v>0</v>
      </c>
      <c r="M76" s="44">
        <f>COUNTA('Users'!$G$37:$G$40)-SUM(H76:L76)</f>
        <v>4</v>
      </c>
      <c r="N76" s="43">
        <f t="shared" si="15"/>
        <v>0</v>
      </c>
      <c r="O76" s="44">
        <f t="shared" si="16"/>
        <v>0</v>
      </c>
      <c r="P76" s="44">
        <f t="shared" si="17"/>
        <v>4</v>
      </c>
      <c r="Q76" s="44">
        <f>COUNTIF('Users'!$R$37:$R$40,Q$3)</f>
        <v>0</v>
      </c>
      <c r="R76" s="44">
        <f>COUNTIF('Users'!$R$37:$R$40,R$3)</f>
        <v>0</v>
      </c>
      <c r="S76" s="44">
        <f>COUNTIF('Users'!$R$37:$R$40,S$3)</f>
        <v>0</v>
      </c>
      <c r="T76" s="44">
        <f>COUNTIF('Users'!$R$37:$R$40,T$3)</f>
        <v>0</v>
      </c>
      <c r="U76" s="44">
        <f>COUNTIF('Users'!$R$37:$R$40,U$3)</f>
        <v>0</v>
      </c>
      <c r="V76" s="44">
        <f>COUNTA('Users'!$G$37:$G$40)-SUM(Q76:U76)</f>
        <v>4</v>
      </c>
    </row>
    <row r="77" ht="15.75" customHeight="1">
      <c r="A77"/>
      <c r="B77" s="45"/>
      <c r="C77" s="42" t="s">
        <v>156</v>
      </c>
      <c r="D77" s="42" t="s">
        <v>156</v>
      </c>
      <c r="E77" s="43">
        <f t="shared" si="12"/>
        <v>0</v>
      </c>
      <c r="F77" s="44">
        <f t="shared" si="13"/>
        <v>0</v>
      </c>
      <c r="G77" s="44">
        <f t="shared" si="14"/>
        <v>9</v>
      </c>
      <c r="H77" s="44">
        <f>COUNTIF('Users'!$M$41:$M$49,H$3)</f>
        <v>0</v>
      </c>
      <c r="I77" s="44">
        <f>COUNTIF('Users'!$M$41:$M$49,I$3)</f>
        <v>0</v>
      </c>
      <c r="J77" s="44">
        <f>COUNTIF('Users'!$M$41:$M$49,J$3)</f>
        <v>0</v>
      </c>
      <c r="K77" s="44">
        <f>COUNTIF('Users'!$M$41:$M$49,K$3)</f>
        <v>0</v>
      </c>
      <c r="L77" s="44">
        <f>COUNTIF('Users'!$M$41:$M$49,L$3)</f>
        <v>0</v>
      </c>
      <c r="M77" s="44">
        <f>COUNTA('Users'!$G$41:$G$49)-SUM(H77:L77)</f>
        <v>9</v>
      </c>
      <c r="N77" s="43">
        <f t="shared" si="15"/>
        <v>0</v>
      </c>
      <c r="O77" s="44">
        <f t="shared" si="16"/>
        <v>0</v>
      </c>
      <c r="P77" s="44">
        <f t="shared" si="17"/>
        <v>9</v>
      </c>
      <c r="Q77" s="44">
        <f>COUNTIF('Users'!$R$41:$R$49,Q$3)</f>
        <v>0</v>
      </c>
      <c r="R77" s="44">
        <f>COUNTIF('Users'!$R$41:$R$49,R$3)</f>
        <v>0</v>
      </c>
      <c r="S77" s="44">
        <f>COUNTIF('Users'!$R$41:$R$49,S$3)</f>
        <v>0</v>
      </c>
      <c r="T77" s="44">
        <f>COUNTIF('Users'!$R$41:$R$49,T$3)</f>
        <v>0</v>
      </c>
      <c r="U77" s="44">
        <f>COUNTIF('Users'!$R$41:$R$49,U$3)</f>
        <v>0</v>
      </c>
      <c r="V77" s="44">
        <f>COUNTA('Users'!$G$41:$G$49)-SUM(Q77:U77)</f>
        <v>9</v>
      </c>
    </row>
    <row r="78" ht="15.75" customHeight="1">
      <c r="A78"/>
      <c r="B78" s="45"/>
      <c r="C78" s="42" t="s">
        <v>157</v>
      </c>
      <c r="D78" s="42" t="s">
        <v>158</v>
      </c>
      <c r="E78" s="43">
        <f t="shared" si="12"/>
        <v>0</v>
      </c>
      <c r="F78" s="44">
        <f t="shared" si="13"/>
        <v>0</v>
      </c>
      <c r="G78" s="44">
        <f t="shared" si="14"/>
        <v>6</v>
      </c>
      <c r="H78" s="44">
        <f>COUNTIF('Users'!$M$50:$M$55,H$3)</f>
        <v>0</v>
      </c>
      <c r="I78" s="44">
        <f>COUNTIF('Users'!$M$50:$M$55,I$3)</f>
        <v>0</v>
      </c>
      <c r="J78" s="44">
        <f>COUNTIF('Users'!$M$50:$M$55,J$3)</f>
        <v>0</v>
      </c>
      <c r="K78" s="44">
        <f>COUNTIF('Users'!$M$50:$M$55,K$3)</f>
        <v>0</v>
      </c>
      <c r="L78" s="44">
        <f>COUNTIF('Users'!$M$50:$M$55,L$3)</f>
        <v>0</v>
      </c>
      <c r="M78" s="44">
        <f>COUNTA('Users'!$G$50:$G$55)-SUM(H78:L78)</f>
        <v>6</v>
      </c>
      <c r="N78" s="43">
        <f t="shared" si="15"/>
        <v>0</v>
      </c>
      <c r="O78" s="44">
        <f t="shared" si="16"/>
        <v>0</v>
      </c>
      <c r="P78" s="44">
        <f t="shared" si="17"/>
        <v>6</v>
      </c>
      <c r="Q78" s="44">
        <f>COUNTIF('Users'!$R$50:$R$55,Q$3)</f>
        <v>0</v>
      </c>
      <c r="R78" s="44">
        <f>COUNTIF('Users'!$R$50:$R$55,R$3)</f>
        <v>0</v>
      </c>
      <c r="S78" s="44">
        <f>COUNTIF('Users'!$R$50:$R$55,S$3)</f>
        <v>0</v>
      </c>
      <c r="T78" s="44">
        <f>COUNTIF('Users'!$R$50:$R$55,T$3)</f>
        <v>0</v>
      </c>
      <c r="U78" s="44">
        <f>COUNTIF('Users'!$R$50:$R$55,U$3)</f>
        <v>0</v>
      </c>
      <c r="V78" s="44">
        <f>COUNTA('Users'!$G$50:$G$55)-SUM(Q78:U78)</f>
        <v>6</v>
      </c>
    </row>
    <row r="79" ht="15.75" customHeight="1">
      <c r="A79"/>
      <c r="B79" s="45"/>
      <c r="C79" s="42" t="s">
        <v>157</v>
      </c>
      <c r="D79" s="42" t="s">
        <v>159</v>
      </c>
      <c r="E79" s="43">
        <f t="shared" si="12"/>
        <v>0</v>
      </c>
      <c r="F79" s="44">
        <f t="shared" si="13"/>
        <v>0</v>
      </c>
      <c r="G79" s="44">
        <f t="shared" si="14"/>
        <v>4</v>
      </c>
      <c r="H79" s="44">
        <f>COUNTIF('Users'!$M$56:$M$59,H$3)</f>
        <v>0</v>
      </c>
      <c r="I79" s="44">
        <f>COUNTIF('Users'!$M$56:$M$59,I$3)</f>
        <v>0</v>
      </c>
      <c r="J79" s="44">
        <f>COUNTIF('Users'!$M$56:$M$59,J$3)</f>
        <v>0</v>
      </c>
      <c r="K79" s="44">
        <f>COUNTIF('Users'!$M$56:$M$59,K$3)</f>
        <v>0</v>
      </c>
      <c r="L79" s="44">
        <f>COUNTIF('Users'!$M$56:$M$59,L$3)</f>
        <v>0</v>
      </c>
      <c r="M79" s="44">
        <f>COUNTA('Users'!$G$56:$G$59)-SUM(H79:L79)</f>
        <v>4</v>
      </c>
      <c r="N79" s="43">
        <f t="shared" si="15"/>
        <v>0</v>
      </c>
      <c r="O79" s="44">
        <f t="shared" si="16"/>
        <v>0</v>
      </c>
      <c r="P79" s="44">
        <f t="shared" si="17"/>
        <v>4</v>
      </c>
      <c r="Q79" s="44">
        <f>COUNTIF('Users'!$R$56:$R$59,Q$3)</f>
        <v>0</v>
      </c>
      <c r="R79" s="44">
        <f>COUNTIF('Users'!$R$56:$R$59,R$3)</f>
        <v>0</v>
      </c>
      <c r="S79" s="44">
        <f>COUNTIF('Users'!$R$56:$R$59,S$3)</f>
        <v>0</v>
      </c>
      <c r="T79" s="44">
        <f>COUNTIF('Users'!$R$56:$R$59,T$3)</f>
        <v>0</v>
      </c>
      <c r="U79" s="44">
        <f>COUNTIF('Users'!$R$56:$R$59,U$3)</f>
        <v>0</v>
      </c>
      <c r="V79" s="44">
        <f>COUNTA('Users'!$G$56:$G$59)-SUM(Q79:U79)</f>
        <v>4</v>
      </c>
    </row>
    <row r="80" ht="15.75" customHeight="1">
      <c r="A80"/>
      <c r="B80" s="45"/>
      <c r="C80" s="42" t="s">
        <v>157</v>
      </c>
      <c r="D80" s="42" t="s">
        <v>160</v>
      </c>
      <c r="E80" s="43">
        <f t="shared" si="12"/>
        <v>0</v>
      </c>
      <c r="F80" s="44">
        <f t="shared" si="13"/>
        <v>0</v>
      </c>
      <c r="G80" s="44">
        <f t="shared" si="14"/>
        <v>2</v>
      </c>
      <c r="H80" s="44">
        <f>COUNTIF('Users'!$M$60:$M$61,H$3)</f>
        <v>0</v>
      </c>
      <c r="I80" s="44">
        <f>COUNTIF('Users'!$M$60:$M$61,I$3)</f>
        <v>0</v>
      </c>
      <c r="J80" s="44">
        <f>COUNTIF('Users'!$M$60:$M$61,J$3)</f>
        <v>0</v>
      </c>
      <c r="K80" s="44">
        <f>COUNTIF('Users'!$M$60:$M$61,K$3)</f>
        <v>0</v>
      </c>
      <c r="L80" s="44">
        <f>COUNTIF('Users'!$M$60:$M$61,L$3)</f>
        <v>0</v>
      </c>
      <c r="M80" s="44">
        <f>COUNTA('Users'!$G$60:$G$61)-SUM(H80:L80)</f>
        <v>2</v>
      </c>
      <c r="N80" s="43">
        <f t="shared" si="15"/>
        <v>0</v>
      </c>
      <c r="O80" s="44">
        <f t="shared" si="16"/>
        <v>0</v>
      </c>
      <c r="P80" s="44">
        <f t="shared" si="17"/>
        <v>2</v>
      </c>
      <c r="Q80" s="44">
        <f>COUNTIF('Users'!$R$60:$R$61,Q$3)</f>
        <v>0</v>
      </c>
      <c r="R80" s="44">
        <f>COUNTIF('Users'!$R$60:$R$61,R$3)</f>
        <v>0</v>
      </c>
      <c r="S80" s="44">
        <f>COUNTIF('Users'!$R$60:$R$61,S$3)</f>
        <v>0</v>
      </c>
      <c r="T80" s="44">
        <f>COUNTIF('Users'!$R$60:$R$61,T$3)</f>
        <v>0</v>
      </c>
      <c r="U80" s="44">
        <f>COUNTIF('Users'!$R$60:$R$61,U$3)</f>
        <v>0</v>
      </c>
      <c r="V80" s="44">
        <f>COUNTA('Users'!$G$60:$G$61)-SUM(Q80:U80)</f>
        <v>2</v>
      </c>
    </row>
    <row r="81" ht="15.75" customHeight="1">
      <c r="A81"/>
      <c r="B81" s="45"/>
      <c r="C81" s="42" t="s">
        <v>161</v>
      </c>
      <c r="D81" s="42" t="s">
        <v>162</v>
      </c>
      <c r="E81" s="43">
        <f t="shared" si="12"/>
        <v>0</v>
      </c>
      <c r="F81" s="44">
        <f t="shared" si="13"/>
        <v>0</v>
      </c>
      <c r="G81" s="44">
        <f t="shared" si="14"/>
        <v>2</v>
      </c>
      <c r="H81" s="44">
        <f>COUNTIF('Users'!$M$62:$M$63,H$3)</f>
        <v>0</v>
      </c>
      <c r="I81" s="44">
        <f>COUNTIF('Users'!$M$62:$M$63,I$3)</f>
        <v>0</v>
      </c>
      <c r="J81" s="44">
        <f>COUNTIF('Users'!$M$62:$M$63,J$3)</f>
        <v>0</v>
      </c>
      <c r="K81" s="44">
        <f>COUNTIF('Users'!$M$62:$M$63,K$3)</f>
        <v>0</v>
      </c>
      <c r="L81" s="44">
        <f>COUNTIF('Users'!$M$62:$M$63,L$3)</f>
        <v>0</v>
      </c>
      <c r="M81" s="44">
        <f>COUNTA('Users'!$G$62:$G$63)-SUM(H81:L81)</f>
        <v>2</v>
      </c>
      <c r="N81" s="43">
        <f t="shared" si="15"/>
        <v>0</v>
      </c>
      <c r="O81" s="44">
        <f t="shared" si="16"/>
        <v>0</v>
      </c>
      <c r="P81" s="44">
        <f t="shared" si="17"/>
        <v>2</v>
      </c>
      <c r="Q81" s="44">
        <f>COUNTIF('Users'!$R$62:$R$63,Q$3)</f>
        <v>0</v>
      </c>
      <c r="R81" s="44">
        <f>COUNTIF('Users'!$R$62:$R$63,R$3)</f>
        <v>0</v>
      </c>
      <c r="S81" s="44">
        <f>COUNTIF('Users'!$R$62:$R$63,S$3)</f>
        <v>0</v>
      </c>
      <c r="T81" s="44">
        <f>COUNTIF('Users'!$R$62:$R$63,T$3)</f>
        <v>0</v>
      </c>
      <c r="U81" s="44">
        <f>COUNTIF('Users'!$R$62:$R$63,U$3)</f>
        <v>0</v>
      </c>
      <c r="V81" s="44">
        <f>COUNTA('Users'!$G$62:$G$63)-SUM(Q81:U81)</f>
        <v>2</v>
      </c>
    </row>
    <row r="82" ht="15.75" customHeight="1">
      <c r="A82"/>
      <c r="B82" s="45"/>
      <c r="C82" s="42" t="s">
        <v>110</v>
      </c>
      <c r="D82" s="42" t="s">
        <v>111</v>
      </c>
      <c r="E82" s="43">
        <f t="shared" si="12"/>
        <v>0</v>
      </c>
      <c r="F82" s="44">
        <f t="shared" si="13"/>
        <v>0</v>
      </c>
      <c r="G82" s="44">
        <f t="shared" si="14"/>
        <v>3</v>
      </c>
      <c r="H82" s="44">
        <f>COUNTIF('Users'!$M$64:$M$66,H$3)</f>
        <v>0</v>
      </c>
      <c r="I82" s="44">
        <f>COUNTIF('Users'!$M$64:$M$66,I$3)</f>
        <v>0</v>
      </c>
      <c r="J82" s="44">
        <f>COUNTIF('Users'!$M$64:$M$66,J$3)</f>
        <v>0</v>
      </c>
      <c r="K82" s="44">
        <f>COUNTIF('Users'!$M$64:$M$66,K$3)</f>
        <v>0</v>
      </c>
      <c r="L82" s="44">
        <f>COUNTIF('Users'!$M$64:$M$66,L$3)</f>
        <v>0</v>
      </c>
      <c r="M82" s="44">
        <f>COUNTA('Users'!$G$64:$G$66)-SUM(H82:L82)</f>
        <v>3</v>
      </c>
      <c r="N82" s="43">
        <f t="shared" si="15"/>
        <v>0</v>
      </c>
      <c r="O82" s="44">
        <f t="shared" si="16"/>
        <v>0</v>
      </c>
      <c r="P82" s="44">
        <f t="shared" si="17"/>
        <v>3</v>
      </c>
      <c r="Q82" s="44">
        <f>COUNTIF('Users'!$R$64:$R$66,Q$3)</f>
        <v>0</v>
      </c>
      <c r="R82" s="44">
        <f>COUNTIF('Users'!$R$64:$R$66,R$3)</f>
        <v>0</v>
      </c>
      <c r="S82" s="44">
        <f>COUNTIF('Users'!$R$64:$R$66,S$3)</f>
        <v>0</v>
      </c>
      <c r="T82" s="44">
        <f>COUNTIF('Users'!$R$64:$R$66,T$3)</f>
        <v>0</v>
      </c>
      <c r="U82" s="44">
        <f>COUNTIF('Users'!$R$64:$R$66,U$3)</f>
        <v>0</v>
      </c>
      <c r="V82" s="44">
        <f>COUNTA('Users'!$G$64:$G$66)-SUM(Q82:U82)</f>
        <v>3</v>
      </c>
    </row>
    <row r="83" ht="15.75" customHeight="1">
      <c r="A83"/>
      <c r="B83" s="45"/>
      <c r="C83" s="42" t="s">
        <v>110</v>
      </c>
      <c r="D83" s="42" t="s">
        <v>112</v>
      </c>
      <c r="E83" s="43">
        <f t="shared" si="12"/>
        <v>0</v>
      </c>
      <c r="F83" s="44">
        <f t="shared" si="13"/>
        <v>0</v>
      </c>
      <c r="G83" s="44">
        <f t="shared" si="14"/>
        <v>1</v>
      </c>
      <c r="H83" s="44">
        <f>COUNTIF('Users'!$M$67:$M$67,H$3)</f>
        <v>0</v>
      </c>
      <c r="I83" s="44">
        <f>COUNTIF('Users'!$M$67:$M$67,I$3)</f>
        <v>0</v>
      </c>
      <c r="J83" s="44">
        <f>COUNTIF('Users'!$M$67:$M$67,J$3)</f>
        <v>0</v>
      </c>
      <c r="K83" s="44">
        <f>COUNTIF('Users'!$M$67:$M$67,K$3)</f>
        <v>0</v>
      </c>
      <c r="L83" s="44">
        <f>COUNTIF('Users'!$M$67:$M$67,L$3)</f>
        <v>0</v>
      </c>
      <c r="M83" s="44">
        <f>COUNTA('Users'!$G$67:$G$67)-SUM(H83:L83)</f>
        <v>1</v>
      </c>
      <c r="N83" s="43">
        <f t="shared" si="15"/>
        <v>0</v>
      </c>
      <c r="O83" s="44">
        <f t="shared" si="16"/>
        <v>0</v>
      </c>
      <c r="P83" s="44">
        <f t="shared" si="17"/>
        <v>1</v>
      </c>
      <c r="Q83" s="44">
        <f>COUNTIF('Users'!$R$67:$R$67,Q$3)</f>
        <v>0</v>
      </c>
      <c r="R83" s="44">
        <f>COUNTIF('Users'!$R$67:$R$67,R$3)</f>
        <v>0</v>
      </c>
      <c r="S83" s="44">
        <f>COUNTIF('Users'!$R$67:$R$67,S$3)</f>
        <v>0</v>
      </c>
      <c r="T83" s="44">
        <f>COUNTIF('Users'!$R$67:$R$67,T$3)</f>
        <v>0</v>
      </c>
      <c r="U83" s="44">
        <f>COUNTIF('Users'!$R$67:$R$67,U$3)</f>
        <v>0</v>
      </c>
      <c r="V83" s="44">
        <f>COUNTA('Users'!$G$67:$G$67)-SUM(Q83:U83)</f>
        <v>1</v>
      </c>
    </row>
    <row r="84" ht="15.75" customHeight="1">
      <c r="A84"/>
      <c r="B84" s="45"/>
      <c r="C84" s="42" t="s">
        <v>110</v>
      </c>
      <c r="D84" s="42" t="s">
        <v>113</v>
      </c>
      <c r="E84" s="43">
        <f t="shared" si="12"/>
        <v>0</v>
      </c>
      <c r="F84" s="44">
        <f t="shared" si="13"/>
        <v>0</v>
      </c>
      <c r="G84" s="44">
        <f t="shared" si="14"/>
        <v>1</v>
      </c>
      <c r="H84" s="44">
        <f>COUNTIF('Users'!$M$68:$M$68,H$3)</f>
        <v>0</v>
      </c>
      <c r="I84" s="44">
        <f>COUNTIF('Users'!$M$68:$M$68,I$3)</f>
        <v>0</v>
      </c>
      <c r="J84" s="44">
        <f>COUNTIF('Users'!$M$68:$M$68,J$3)</f>
        <v>0</v>
      </c>
      <c r="K84" s="44">
        <f>COUNTIF('Users'!$M$68:$M$68,K$3)</f>
        <v>0</v>
      </c>
      <c r="L84" s="44">
        <f>COUNTIF('Users'!$M$68:$M$68,L$3)</f>
        <v>0</v>
      </c>
      <c r="M84" s="44">
        <f>COUNTA('Users'!$G$68:$G$68)-SUM(H84:L84)</f>
        <v>1</v>
      </c>
      <c r="N84" s="43">
        <f t="shared" si="15"/>
        <v>0</v>
      </c>
      <c r="O84" s="44">
        <f t="shared" si="16"/>
        <v>0</v>
      </c>
      <c r="P84" s="44">
        <f t="shared" si="17"/>
        <v>1</v>
      </c>
      <c r="Q84" s="44">
        <f>COUNTIF('Users'!$R$68:$R$68,Q$3)</f>
        <v>0</v>
      </c>
      <c r="R84" s="44">
        <f>COUNTIF('Users'!$R$68:$R$68,R$3)</f>
        <v>0</v>
      </c>
      <c r="S84" s="44">
        <f>COUNTIF('Users'!$R$68:$R$68,S$3)</f>
        <v>0</v>
      </c>
      <c r="T84" s="44">
        <f>COUNTIF('Users'!$R$68:$R$68,T$3)</f>
        <v>0</v>
      </c>
      <c r="U84" s="44">
        <f>COUNTIF('Users'!$R$68:$R$68,U$3)</f>
        <v>0</v>
      </c>
      <c r="V84" s="44">
        <f>COUNTA('Users'!$G$68:$G$68)-SUM(Q84:U84)</f>
        <v>1</v>
      </c>
    </row>
    <row r="85" ht="15.75" customHeight="1">
      <c r="A85"/>
      <c r="B85" s="45"/>
      <c r="C85" s="42" t="s">
        <v>89</v>
      </c>
      <c r="D85" s="42" t="s">
        <v>114</v>
      </c>
      <c r="E85" s="43">
        <f t="shared" si="12"/>
        <v>0</v>
      </c>
      <c r="F85" s="44">
        <f t="shared" si="13"/>
        <v>0</v>
      </c>
      <c r="G85" s="44">
        <f t="shared" si="14"/>
        <v>3</v>
      </c>
      <c r="H85" s="44">
        <f>COUNTIF('Users'!$M$69:$M$71,H$3)</f>
        <v>0</v>
      </c>
      <c r="I85" s="44">
        <f>COUNTIF('Users'!$M$69:$M$71,I$3)</f>
        <v>0</v>
      </c>
      <c r="J85" s="44">
        <f>COUNTIF('Users'!$M$69:$M$71,J$3)</f>
        <v>0</v>
      </c>
      <c r="K85" s="44">
        <f>COUNTIF('Users'!$M$69:$M$71,K$3)</f>
        <v>0</v>
      </c>
      <c r="L85" s="44">
        <f>COUNTIF('Users'!$M$69:$M$71,L$3)</f>
        <v>0</v>
      </c>
      <c r="M85" s="44">
        <f>COUNTA('Users'!$G$69:$G$71)-SUM(H85:L85)</f>
        <v>3</v>
      </c>
      <c r="N85" s="43">
        <f t="shared" si="15"/>
        <v>0</v>
      </c>
      <c r="O85" s="44">
        <f t="shared" si="16"/>
        <v>0</v>
      </c>
      <c r="P85" s="44">
        <f t="shared" si="17"/>
        <v>3</v>
      </c>
      <c r="Q85" s="44">
        <f>COUNTIF('Users'!$R$69:$R$71,Q$3)</f>
        <v>0</v>
      </c>
      <c r="R85" s="44">
        <f>COUNTIF('Users'!$R$69:$R$71,R$3)</f>
        <v>0</v>
      </c>
      <c r="S85" s="44">
        <f>COUNTIF('Users'!$R$69:$R$71,S$3)</f>
        <v>0</v>
      </c>
      <c r="T85" s="44">
        <f>COUNTIF('Users'!$R$69:$R$71,T$3)</f>
        <v>0</v>
      </c>
      <c r="U85" s="44">
        <f>COUNTIF('Users'!$R$69:$R$71,U$3)</f>
        <v>0</v>
      </c>
      <c r="V85" s="44">
        <f>COUNTA('Users'!$G$69:$G$71)-SUM(Q85:U85)</f>
        <v>3</v>
      </c>
    </row>
    <row r="86" ht="15.75" customHeight="1">
      <c r="A86"/>
      <c r="B86" s="45"/>
      <c r="C86" s="42" t="s">
        <v>89</v>
      </c>
      <c r="D86" s="42" t="s">
        <v>163</v>
      </c>
      <c r="E86" s="43">
        <f t="shared" si="12"/>
        <v>0</v>
      </c>
      <c r="F86" s="44">
        <f t="shared" si="13"/>
        <v>0</v>
      </c>
      <c r="G86" s="44">
        <f t="shared" si="14"/>
        <v>1</v>
      </c>
      <c r="H86" s="44">
        <f>COUNTIF('Users'!$M$72:$M$72,H$3)</f>
        <v>0</v>
      </c>
      <c r="I86" s="44">
        <f>COUNTIF('Users'!$M$72:$M$72,I$3)</f>
        <v>0</v>
      </c>
      <c r="J86" s="44">
        <f>COUNTIF('Users'!$M$72:$M$72,J$3)</f>
        <v>0</v>
      </c>
      <c r="K86" s="44">
        <f>COUNTIF('Users'!$M$72:$M$72,K$3)</f>
        <v>0</v>
      </c>
      <c r="L86" s="44">
        <f>COUNTIF('Users'!$M$72:$M$72,L$3)</f>
        <v>0</v>
      </c>
      <c r="M86" s="44">
        <f>COUNTA('Users'!$G$72:$G$72)-SUM(H86:L86)</f>
        <v>1</v>
      </c>
      <c r="N86" s="43">
        <f t="shared" si="15"/>
        <v>0</v>
      </c>
      <c r="O86" s="44">
        <f t="shared" si="16"/>
        <v>0</v>
      </c>
      <c r="P86" s="44">
        <f t="shared" si="17"/>
        <v>1</v>
      </c>
      <c r="Q86" s="44">
        <f>COUNTIF('Users'!$R$72:$R$72,Q$3)</f>
        <v>0</v>
      </c>
      <c r="R86" s="44">
        <f>COUNTIF('Users'!$R$72:$R$72,R$3)</f>
        <v>0</v>
      </c>
      <c r="S86" s="44">
        <f>COUNTIF('Users'!$R$72:$R$72,S$3)</f>
        <v>0</v>
      </c>
      <c r="T86" s="44">
        <f>COUNTIF('Users'!$R$72:$R$72,T$3)</f>
        <v>0</v>
      </c>
      <c r="U86" s="44">
        <f>COUNTIF('Users'!$R$72:$R$72,U$3)</f>
        <v>0</v>
      </c>
      <c r="V86" s="44">
        <f>COUNTA('Users'!$G$72:$G$72)-SUM(Q86:U86)</f>
        <v>1</v>
      </c>
    </row>
    <row r="87" ht="15.75" customHeight="1">
      <c r="A87"/>
      <c r="B87" s="45"/>
      <c r="C87" s="42" t="s">
        <v>89</v>
      </c>
      <c r="D87" s="42" t="s">
        <v>115</v>
      </c>
      <c r="E87" s="43">
        <f t="shared" si="12"/>
        <v>0</v>
      </c>
      <c r="F87" s="44">
        <f t="shared" si="13"/>
        <v>0</v>
      </c>
      <c r="G87" s="44">
        <f t="shared" si="14"/>
        <v>1</v>
      </c>
      <c r="H87" s="44">
        <f>COUNTIF('Users'!$M$73:$M$73,H$3)</f>
        <v>0</v>
      </c>
      <c r="I87" s="44">
        <f>COUNTIF('Users'!$M$73:$M$73,I$3)</f>
        <v>0</v>
      </c>
      <c r="J87" s="44">
        <f>COUNTIF('Users'!$M$73:$M$73,J$3)</f>
        <v>0</v>
      </c>
      <c r="K87" s="44">
        <f>COUNTIF('Users'!$M$73:$M$73,K$3)</f>
        <v>0</v>
      </c>
      <c r="L87" s="44">
        <f>COUNTIF('Users'!$M$73:$M$73,L$3)</f>
        <v>0</v>
      </c>
      <c r="M87" s="44">
        <f>COUNTA('Users'!$G$73:$G$73)-SUM(H87:L87)</f>
        <v>1</v>
      </c>
      <c r="N87" s="43">
        <f t="shared" si="15"/>
        <v>0</v>
      </c>
      <c r="O87" s="44">
        <f t="shared" si="16"/>
        <v>0</v>
      </c>
      <c r="P87" s="44">
        <f t="shared" si="17"/>
        <v>1</v>
      </c>
      <c r="Q87" s="44">
        <f>COUNTIF('Users'!$R$73:$R$73,Q$3)</f>
        <v>0</v>
      </c>
      <c r="R87" s="44">
        <f>COUNTIF('Users'!$R$73:$R$73,R$3)</f>
        <v>0</v>
      </c>
      <c r="S87" s="44">
        <f>COUNTIF('Users'!$R$73:$R$73,S$3)</f>
        <v>0</v>
      </c>
      <c r="T87" s="44">
        <f>COUNTIF('Users'!$R$73:$R$73,T$3)</f>
        <v>0</v>
      </c>
      <c r="U87" s="44">
        <f>COUNTIF('Users'!$R$73:$R$73,U$3)</f>
        <v>0</v>
      </c>
      <c r="V87" s="44">
        <f>COUNTA('Users'!$G$73:$G$73)-SUM(Q87:U87)</f>
        <v>1</v>
      </c>
    </row>
    <row r="88" ht="15.75" customHeight="1">
      <c r="A88"/>
      <c r="B88" s="45"/>
      <c r="C88" s="42" t="s">
        <v>89</v>
      </c>
      <c r="D88" s="42" t="s">
        <v>116</v>
      </c>
      <c r="E88" s="43">
        <f t="shared" si="12"/>
        <v>0</v>
      </c>
      <c r="F88" s="44">
        <f t="shared" si="13"/>
        <v>0</v>
      </c>
      <c r="G88" s="44">
        <f t="shared" si="14"/>
        <v>1</v>
      </c>
      <c r="H88" s="44">
        <f>COUNTIF('Users'!$M$74:$M$74,H$3)</f>
        <v>0</v>
      </c>
      <c r="I88" s="44">
        <f>COUNTIF('Users'!$M$74:$M$74,I$3)</f>
        <v>0</v>
      </c>
      <c r="J88" s="44">
        <f>COUNTIF('Users'!$M$74:$M$74,J$3)</f>
        <v>0</v>
      </c>
      <c r="K88" s="44">
        <f>COUNTIF('Users'!$M$74:$M$74,K$3)</f>
        <v>0</v>
      </c>
      <c r="L88" s="44">
        <f>COUNTIF('Users'!$M$74:$M$74,L$3)</f>
        <v>0</v>
      </c>
      <c r="M88" s="44">
        <f>COUNTA('Users'!$G$74:$G$74)-SUM(H88:L88)</f>
        <v>1</v>
      </c>
      <c r="N88" s="43">
        <f t="shared" si="15"/>
        <v>0</v>
      </c>
      <c r="O88" s="44">
        <f t="shared" si="16"/>
        <v>0</v>
      </c>
      <c r="P88" s="44">
        <f t="shared" si="17"/>
        <v>1</v>
      </c>
      <c r="Q88" s="44">
        <f>COUNTIF('Users'!$R$74:$R$74,Q$3)</f>
        <v>0</v>
      </c>
      <c r="R88" s="44">
        <f>COUNTIF('Users'!$R$74:$R$74,R$3)</f>
        <v>0</v>
      </c>
      <c r="S88" s="44">
        <f>COUNTIF('Users'!$R$74:$R$74,S$3)</f>
        <v>0</v>
      </c>
      <c r="T88" s="44">
        <f>COUNTIF('Users'!$R$74:$R$74,T$3)</f>
        <v>0</v>
      </c>
      <c r="U88" s="44">
        <f>COUNTIF('Users'!$R$74:$R$74,U$3)</f>
        <v>0</v>
      </c>
      <c r="V88" s="44">
        <f>COUNTA('Users'!$G$74:$G$74)-SUM(Q88:U88)</f>
        <v>1</v>
      </c>
    </row>
    <row r="89" ht="15.75" customHeight="1">
      <c r="A89"/>
      <c r="B89" s="12"/>
      <c r="C89" s="46" t="s">
        <v>71</v>
      </c>
      <c r="D89" s="46"/>
      <c r="E89" s="47">
        <f t="shared" si="12"/>
        <v>0</v>
      </c>
      <c r="F89" s="48">
        <f t="shared" si="13"/>
        <v>0</v>
      </c>
      <c r="G89" s="48">
        <f t="shared" si="14"/>
        <v>62</v>
      </c>
      <c r="H89" s="48">
        <f>SUM(H69:H88)</f>
        <v>0</v>
      </c>
      <c r="I89" s="48">
        <f>SUM(I69:I88)</f>
        <v>0</v>
      </c>
      <c r="J89" s="48">
        <f>SUM(J69:J88)</f>
        <v>0</v>
      </c>
      <c r="K89" s="48">
        <f>SUM(K69:K88)</f>
        <v>0</v>
      </c>
      <c r="L89" s="48">
        <f>SUM(L69:L88)</f>
        <v>0</v>
      </c>
      <c r="M89" s="48">
        <f>SUM(M69:M88)</f>
        <v>62</v>
      </c>
      <c r="N89" s="47">
        <f t="shared" si="15"/>
        <v>0</v>
      </c>
      <c r="O89" s="48">
        <f t="shared" si="16"/>
        <v>0</v>
      </c>
      <c r="P89" s="48">
        <f t="shared" si="17"/>
        <v>62</v>
      </c>
      <c r="Q89" s="48">
        <f>SUM(Q69:Q88)</f>
        <v>0</v>
      </c>
      <c r="R89" s="48">
        <f>SUM(R69:R88)</f>
        <v>0</v>
      </c>
      <c r="S89" s="48">
        <f>SUM(S69:S88)</f>
        <v>0</v>
      </c>
      <c r="T89" s="48">
        <f>SUM(T69:T88)</f>
        <v>0</v>
      </c>
      <c r="U89" s="48">
        <f>SUM(U69:U88)</f>
        <v>0</v>
      </c>
      <c r="V89" s="48">
        <f>SUM(V69:V88)</f>
        <v>62</v>
      </c>
    </row>
    <row r="90" ht="15.75" customHeight="1">
      <c r="A90"/>
      <c r="B90" s="41" t="s">
        <v>164</v>
      </c>
      <c r="C90" s="42" t="s">
        <v>80</v>
      </c>
      <c r="D90" s="42" t="s">
        <v>165</v>
      </c>
      <c r="E90" s="43">
        <f t="shared" si="12"/>
        <v>0</v>
      </c>
      <c r="F90" s="44">
        <f t="shared" si="13"/>
        <v>0</v>
      </c>
      <c r="G90" s="44">
        <f t="shared" si="14"/>
        <v>1</v>
      </c>
      <c r="H90" s="44">
        <f>COUNTIF('Profile'!$M$13:$M$13,H$3)</f>
        <v>0</v>
      </c>
      <c r="I90" s="44">
        <f>COUNTIF('Profile'!$M$13:$M$13,I$3)</f>
        <v>0</v>
      </c>
      <c r="J90" s="44">
        <f>COUNTIF('Profile'!$M$13:$M$13,J$3)</f>
        <v>0</v>
      </c>
      <c r="K90" s="44">
        <f>COUNTIF('Profile'!$M$13:$M$13,K$3)</f>
        <v>0</v>
      </c>
      <c r="L90" s="44">
        <f>COUNTIF('Profile'!$M$13:$M$13,L$3)</f>
        <v>0</v>
      </c>
      <c r="M90" s="44">
        <f>COUNTA('Profile'!$G$13:$G$13)-SUM(H90:L90)</f>
        <v>1</v>
      </c>
      <c r="N90" s="43">
        <f t="shared" si="15"/>
        <v>0</v>
      </c>
      <c r="O90" s="44">
        <f t="shared" si="16"/>
        <v>0</v>
      </c>
      <c r="P90" s="44">
        <f t="shared" si="17"/>
        <v>1</v>
      </c>
      <c r="Q90" s="44">
        <f>COUNTIF('Profile'!$R$13:$R$13,Q$3)</f>
        <v>0</v>
      </c>
      <c r="R90" s="44">
        <f>COUNTIF('Profile'!$R$13:$R$13,R$3)</f>
        <v>0</v>
      </c>
      <c r="S90" s="44">
        <f>COUNTIF('Profile'!$R$13:$R$13,S$3)</f>
        <v>0</v>
      </c>
      <c r="T90" s="44">
        <f>COUNTIF('Profile'!$R$13:$R$13,T$3)</f>
        <v>0</v>
      </c>
      <c r="U90" s="44">
        <f>COUNTIF('Profile'!$R$13:$R$13,U$3)</f>
        <v>0</v>
      </c>
      <c r="V90" s="44">
        <f>COUNTA('Profile'!$G$13:$G$13)-SUM(Q90:U90)</f>
        <v>1</v>
      </c>
    </row>
    <row r="91" ht="15.75" customHeight="1">
      <c r="A91"/>
      <c r="B91" s="45"/>
      <c r="C91" s="42" t="s">
        <v>166</v>
      </c>
      <c r="D91" s="42" t="s">
        <v>167</v>
      </c>
      <c r="E91" s="43">
        <f t="shared" si="12"/>
        <v>0</v>
      </c>
      <c r="F91" s="44">
        <f t="shared" si="13"/>
        <v>0</v>
      </c>
      <c r="G91" s="44">
        <f t="shared" si="14"/>
        <v>2</v>
      </c>
      <c r="H91" s="44">
        <f>COUNTIF('Profile'!$M$14:$M$15,H$3)</f>
        <v>0</v>
      </c>
      <c r="I91" s="44">
        <f>COUNTIF('Profile'!$M$14:$M$15,I$3)</f>
        <v>0</v>
      </c>
      <c r="J91" s="44">
        <f>COUNTIF('Profile'!$M$14:$M$15,J$3)</f>
        <v>0</v>
      </c>
      <c r="K91" s="44">
        <f>COUNTIF('Profile'!$M$14:$M$15,K$3)</f>
        <v>0</v>
      </c>
      <c r="L91" s="44">
        <f>COUNTIF('Profile'!$M$14:$M$15,L$3)</f>
        <v>0</v>
      </c>
      <c r="M91" s="44">
        <f>COUNTA('Profile'!$G$14:$G$15)-SUM(H91:L91)</f>
        <v>2</v>
      </c>
      <c r="N91" s="43">
        <f t="shared" si="15"/>
        <v>0</v>
      </c>
      <c r="O91" s="44">
        <f t="shared" si="16"/>
        <v>0</v>
      </c>
      <c r="P91" s="44">
        <f t="shared" si="17"/>
        <v>2</v>
      </c>
      <c r="Q91" s="44">
        <f>COUNTIF('Profile'!$R$14:$R$15,Q$3)</f>
        <v>0</v>
      </c>
      <c r="R91" s="44">
        <f>COUNTIF('Profile'!$R$14:$R$15,R$3)</f>
        <v>0</v>
      </c>
      <c r="S91" s="44">
        <f>COUNTIF('Profile'!$R$14:$R$15,S$3)</f>
        <v>0</v>
      </c>
      <c r="T91" s="44">
        <f>COUNTIF('Profile'!$R$14:$R$15,T$3)</f>
        <v>0</v>
      </c>
      <c r="U91" s="44">
        <f>COUNTIF('Profile'!$R$14:$R$15,U$3)</f>
        <v>0</v>
      </c>
      <c r="V91" s="44">
        <f>COUNTA('Profile'!$G$14:$G$15)-SUM(Q91:U91)</f>
        <v>2</v>
      </c>
    </row>
    <row r="92" ht="15.75" customHeight="1">
      <c r="A92"/>
      <c r="B92" s="45"/>
      <c r="C92" s="42" t="s">
        <v>166</v>
      </c>
      <c r="D92" s="42" t="s">
        <v>168</v>
      </c>
      <c r="E92" s="43">
        <f t="shared" si="12"/>
        <v>0</v>
      </c>
      <c r="F92" s="44">
        <f t="shared" si="13"/>
        <v>0</v>
      </c>
      <c r="G92" s="44">
        <f t="shared" si="14"/>
        <v>3</v>
      </c>
      <c r="H92" s="44">
        <f>COUNTIF('Profile'!$M$16:$M$18,H$3)</f>
        <v>0</v>
      </c>
      <c r="I92" s="44">
        <f>COUNTIF('Profile'!$M$16:$M$18,I$3)</f>
        <v>0</v>
      </c>
      <c r="J92" s="44">
        <f>COUNTIF('Profile'!$M$16:$M$18,J$3)</f>
        <v>0</v>
      </c>
      <c r="K92" s="44">
        <f>COUNTIF('Profile'!$M$16:$M$18,K$3)</f>
        <v>0</v>
      </c>
      <c r="L92" s="44">
        <f>COUNTIF('Profile'!$M$16:$M$18,L$3)</f>
        <v>0</v>
      </c>
      <c r="M92" s="44">
        <f>COUNTA('Profile'!$G$16:$G$18)-SUM(H92:L92)</f>
        <v>3</v>
      </c>
      <c r="N92" s="43">
        <f t="shared" si="15"/>
        <v>0</v>
      </c>
      <c r="O92" s="44">
        <f t="shared" si="16"/>
        <v>0</v>
      </c>
      <c r="P92" s="44">
        <f t="shared" si="17"/>
        <v>3</v>
      </c>
      <c r="Q92" s="44">
        <f>COUNTIF('Profile'!$R$16:$R$18,Q$3)</f>
        <v>0</v>
      </c>
      <c r="R92" s="44">
        <f>COUNTIF('Profile'!$R$16:$R$18,R$3)</f>
        <v>0</v>
      </c>
      <c r="S92" s="44">
        <f>COUNTIF('Profile'!$R$16:$R$18,S$3)</f>
        <v>0</v>
      </c>
      <c r="T92" s="44">
        <f>COUNTIF('Profile'!$R$16:$R$18,T$3)</f>
        <v>0</v>
      </c>
      <c r="U92" s="44">
        <f>COUNTIF('Profile'!$R$16:$R$18,U$3)</f>
        <v>0</v>
      </c>
      <c r="V92" s="44">
        <f>COUNTA('Profile'!$G$16:$G$18)-SUM(Q92:U92)</f>
        <v>3</v>
      </c>
    </row>
    <row r="93" ht="15.75" customHeight="1">
      <c r="A93"/>
      <c r="B93" s="45"/>
      <c r="C93" s="42" t="s">
        <v>169</v>
      </c>
      <c r="D93" s="42" t="s">
        <v>170</v>
      </c>
      <c r="E93" s="43">
        <f t="shared" si="12"/>
        <v>0</v>
      </c>
      <c r="F93" s="44">
        <f t="shared" si="13"/>
        <v>0</v>
      </c>
      <c r="G93" s="44">
        <f t="shared" si="14"/>
        <v>5</v>
      </c>
      <c r="H93" s="44">
        <f>COUNTIF('Profile'!$M$19:$M$23,H$3)</f>
        <v>0</v>
      </c>
      <c r="I93" s="44">
        <f>COUNTIF('Profile'!$M$19:$M$23,I$3)</f>
        <v>0</v>
      </c>
      <c r="J93" s="44">
        <f>COUNTIF('Profile'!$M$19:$M$23,J$3)</f>
        <v>0</v>
      </c>
      <c r="K93" s="44">
        <f>COUNTIF('Profile'!$M$19:$M$23,K$3)</f>
        <v>0</v>
      </c>
      <c r="L93" s="44">
        <f>COUNTIF('Profile'!$M$19:$M$23,L$3)</f>
        <v>0</v>
      </c>
      <c r="M93" s="44">
        <f>COUNTA('Profile'!$G$19:$G$23)-SUM(H93:L93)</f>
        <v>5</v>
      </c>
      <c r="N93" s="43">
        <f t="shared" si="15"/>
        <v>0</v>
      </c>
      <c r="O93" s="44">
        <f t="shared" si="16"/>
        <v>0</v>
      </c>
      <c r="P93" s="44">
        <f t="shared" si="17"/>
        <v>5</v>
      </c>
      <c r="Q93" s="44">
        <f>COUNTIF('Profile'!$R$19:$R$23,Q$3)</f>
        <v>0</v>
      </c>
      <c r="R93" s="44">
        <f>COUNTIF('Profile'!$R$19:$R$23,R$3)</f>
        <v>0</v>
      </c>
      <c r="S93" s="44">
        <f>COUNTIF('Profile'!$R$19:$R$23,S$3)</f>
        <v>0</v>
      </c>
      <c r="T93" s="44">
        <f>COUNTIF('Profile'!$R$19:$R$23,T$3)</f>
        <v>0</v>
      </c>
      <c r="U93" s="44">
        <f>COUNTIF('Profile'!$R$19:$R$23,U$3)</f>
        <v>0</v>
      </c>
      <c r="V93" s="44">
        <f>COUNTA('Profile'!$G$19:$G$23)-SUM(Q93:U93)</f>
        <v>5</v>
      </c>
    </row>
    <row r="94" ht="15.75" customHeight="1">
      <c r="A94"/>
      <c r="B94" s="45"/>
      <c r="C94" s="42" t="s">
        <v>110</v>
      </c>
      <c r="D94" s="42" t="s">
        <v>113</v>
      </c>
      <c r="E94" s="43">
        <f t="shared" si="12"/>
        <v>0</v>
      </c>
      <c r="F94" s="44">
        <f t="shared" si="13"/>
        <v>0</v>
      </c>
      <c r="G94" s="44">
        <f t="shared" si="14"/>
        <v>1</v>
      </c>
      <c r="H94" s="44">
        <f>COUNTIF('Profile'!$M$24:$M$24,H$3)</f>
        <v>0</v>
      </c>
      <c r="I94" s="44">
        <f>COUNTIF('Profile'!$M$24:$M$24,I$3)</f>
        <v>0</v>
      </c>
      <c r="J94" s="44">
        <f>COUNTIF('Profile'!$M$24:$M$24,J$3)</f>
        <v>0</v>
      </c>
      <c r="K94" s="44">
        <f>COUNTIF('Profile'!$M$24:$M$24,K$3)</f>
        <v>0</v>
      </c>
      <c r="L94" s="44">
        <f>COUNTIF('Profile'!$M$24:$M$24,L$3)</f>
        <v>0</v>
      </c>
      <c r="M94" s="44">
        <f>COUNTA('Profile'!$G$24:$G$24)-SUM(H94:L94)</f>
        <v>1</v>
      </c>
      <c r="N94" s="43">
        <f t="shared" si="15"/>
        <v>0</v>
      </c>
      <c r="O94" s="44">
        <f t="shared" si="16"/>
        <v>0</v>
      </c>
      <c r="P94" s="44">
        <f t="shared" si="17"/>
        <v>1</v>
      </c>
      <c r="Q94" s="44">
        <f>COUNTIF('Profile'!$R$24:$R$24,Q$3)</f>
        <v>0</v>
      </c>
      <c r="R94" s="44">
        <f>COUNTIF('Profile'!$R$24:$R$24,R$3)</f>
        <v>0</v>
      </c>
      <c r="S94" s="44">
        <f>COUNTIF('Profile'!$R$24:$R$24,S$3)</f>
        <v>0</v>
      </c>
      <c r="T94" s="44">
        <f>COUNTIF('Profile'!$R$24:$R$24,T$3)</f>
        <v>0</v>
      </c>
      <c r="U94" s="44">
        <f>COUNTIF('Profile'!$R$24:$R$24,U$3)</f>
        <v>0</v>
      </c>
      <c r="V94" s="44">
        <f>COUNTA('Profile'!$G$24:$G$24)-SUM(Q94:U94)</f>
        <v>1</v>
      </c>
    </row>
    <row r="95" ht="15.75" customHeight="1">
      <c r="A95"/>
      <c r="B95" s="45"/>
      <c r="C95" s="42" t="s">
        <v>110</v>
      </c>
      <c r="D95" s="42" t="s">
        <v>112</v>
      </c>
      <c r="E95" s="43">
        <f t="shared" si="12"/>
        <v>0</v>
      </c>
      <c r="F95" s="44">
        <f t="shared" si="13"/>
        <v>0</v>
      </c>
      <c r="G95" s="44">
        <f t="shared" si="14"/>
        <v>1</v>
      </c>
      <c r="H95" s="44">
        <f>COUNTIF('Profile'!$M$25:$M$25,H$3)</f>
        <v>0</v>
      </c>
      <c r="I95" s="44">
        <f>COUNTIF('Profile'!$M$25:$M$25,I$3)</f>
        <v>0</v>
      </c>
      <c r="J95" s="44">
        <f>COUNTIF('Profile'!$M$25:$M$25,J$3)</f>
        <v>0</v>
      </c>
      <c r="K95" s="44">
        <f>COUNTIF('Profile'!$M$25:$M$25,K$3)</f>
        <v>0</v>
      </c>
      <c r="L95" s="44">
        <f>COUNTIF('Profile'!$M$25:$M$25,L$3)</f>
        <v>0</v>
      </c>
      <c r="M95" s="44">
        <f>COUNTA('Profile'!$G$25:$G$25)-SUM(H95:L95)</f>
        <v>1</v>
      </c>
      <c r="N95" s="43">
        <f t="shared" si="15"/>
        <v>0</v>
      </c>
      <c r="O95" s="44">
        <f t="shared" si="16"/>
        <v>0</v>
      </c>
      <c r="P95" s="44">
        <f t="shared" si="17"/>
        <v>1</v>
      </c>
      <c r="Q95" s="44">
        <f>COUNTIF('Profile'!$R$25:$R$25,Q$3)</f>
        <v>0</v>
      </c>
      <c r="R95" s="44">
        <f>COUNTIF('Profile'!$R$25:$R$25,R$3)</f>
        <v>0</v>
      </c>
      <c r="S95" s="44">
        <f>COUNTIF('Profile'!$R$25:$R$25,S$3)</f>
        <v>0</v>
      </c>
      <c r="T95" s="44">
        <f>COUNTIF('Profile'!$R$25:$R$25,T$3)</f>
        <v>0</v>
      </c>
      <c r="U95" s="44">
        <f>COUNTIF('Profile'!$R$25:$R$25,U$3)</f>
        <v>0</v>
      </c>
      <c r="V95" s="44">
        <f>COUNTA('Profile'!$G$25:$G$25)-SUM(Q95:U95)</f>
        <v>1</v>
      </c>
    </row>
    <row r="96" ht="15.75" customHeight="1">
      <c r="A96"/>
      <c r="B96" s="12"/>
      <c r="C96" s="46" t="s">
        <v>71</v>
      </c>
      <c r="D96" s="46"/>
      <c r="E96" s="47">
        <f t="shared" si="12"/>
        <v>0</v>
      </c>
      <c r="F96" s="48">
        <f t="shared" si="13"/>
        <v>0</v>
      </c>
      <c r="G96" s="48">
        <f t="shared" si="14"/>
        <v>13</v>
      </c>
      <c r="H96" s="48">
        <f>SUM(H90:H95)</f>
        <v>0</v>
      </c>
      <c r="I96" s="48">
        <f>SUM(I90:I95)</f>
        <v>0</v>
      </c>
      <c r="J96" s="48">
        <f>SUM(J90:J95)</f>
        <v>0</v>
      </c>
      <c r="K96" s="48">
        <f>SUM(K90:K95)</f>
        <v>0</v>
      </c>
      <c r="L96" s="48">
        <f>SUM(L90:L95)</f>
        <v>0</v>
      </c>
      <c r="M96" s="48">
        <f>SUM(M90:M95)</f>
        <v>13</v>
      </c>
      <c r="N96" s="47">
        <f t="shared" si="15"/>
        <v>0</v>
      </c>
      <c r="O96" s="48">
        <f t="shared" si="16"/>
        <v>0</v>
      </c>
      <c r="P96" s="48">
        <f t="shared" si="17"/>
        <v>13</v>
      </c>
      <c r="Q96" s="48">
        <f>SUM(Q90:Q95)</f>
        <v>0</v>
      </c>
      <c r="R96" s="48">
        <f>SUM(R90:R95)</f>
        <v>0</v>
      </c>
      <c r="S96" s="48">
        <f>SUM(S90:S95)</f>
        <v>0</v>
      </c>
      <c r="T96" s="48">
        <f>SUM(T90:T95)</f>
        <v>0</v>
      </c>
      <c r="U96" s="48">
        <f>SUM(U90:U95)</f>
        <v>0</v>
      </c>
      <c r="V96" s="48">
        <f>SUM(V90:V95)</f>
        <v>13</v>
      </c>
    </row>
    <row r="97" ht="15.75" customHeight="1">
      <c r="A97"/>
      <c r="B97" s="39" t="s">
        <v>71</v>
      </c>
      <c r="C97" s="46"/>
      <c r="D97" s="46"/>
      <c r="E97" s="47">
        <f t="shared" si="12"/>
        <v>0</v>
      </c>
      <c r="F97" s="48">
        <f>SUM(F14,F39,F68,F89,F96)</f>
        <v>0</v>
      </c>
      <c r="G97" s="48">
        <f>SUM(G14,G39,G68,G89,G96)</f>
        <v>385</v>
      </c>
      <c r="H97" s="48">
        <f>SUM(H14,H39,H68,H89,H96)</f>
        <v>0</v>
      </c>
      <c r="I97" s="48">
        <f>SUM(I14,I39,I68,I89,I96)</f>
        <v>0</v>
      </c>
      <c r="J97" s="48">
        <f>SUM(J14,J39,J68,J89,J96)</f>
        <v>0</v>
      </c>
      <c r="K97" s="48">
        <f>SUM(K14,K39,K68,K89,K96)</f>
        <v>0</v>
      </c>
      <c r="L97" s="48">
        <f>SUM(L14,L39,L68,L89,L96)</f>
        <v>0</v>
      </c>
      <c r="M97" s="48">
        <f>SUM(M14,M39,M68,M89,M96)</f>
        <v>385</v>
      </c>
      <c r="N97" s="47">
        <f t="shared" si="15"/>
        <v>0</v>
      </c>
      <c r="O97" s="48">
        <f>SUM(O14,O39,O68,O89,O96)</f>
        <v>0</v>
      </c>
      <c r="P97" s="48">
        <f>SUM(P14,P39,P68,P89,P96)</f>
        <v>385</v>
      </c>
      <c r="Q97" s="48">
        <f>SUM(Q14,Q39,Q68,Q89,Q96)</f>
        <v>0</v>
      </c>
      <c r="R97" s="48">
        <f>SUM(R14,R39,R68,R89,R96)</f>
        <v>0</v>
      </c>
      <c r="S97" s="48">
        <f>SUM(S14,S39,S68,S89,S96)</f>
        <v>0</v>
      </c>
      <c r="T97" s="48">
        <f>SUM(T14,T39,T68,T89,T96)</f>
        <v>0</v>
      </c>
      <c r="U97" s="48">
        <f>SUM(U14,U39,U68,U89,U96)</f>
        <v>0</v>
      </c>
      <c r="V97" s="48">
        <f>SUM(V14,V39,V68,V89,V96)</f>
        <v>385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7">
    <mergeCell ref="E2:M2"/>
    <mergeCell ref="N2:V2"/>
    <mergeCell ref="B4:B14"/>
    <mergeCell ref="B15:B39"/>
    <mergeCell ref="B40:B68"/>
    <mergeCell ref="B69:B89"/>
    <mergeCell ref="B90:B96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D76" activeCellId="0" sqref="D76"/>
    </sheetView>
  </sheetViews>
  <sheetFormatPr defaultColWidth="12.5703125" defaultRowHeight="15" customHeight="1"/>
  <cols>
    <col customWidth="1" min="1" max="1" style="50" width="4.140625"/>
    <col customWidth="1" min="2" max="3" style="49" width="22.85546875"/>
    <col customWidth="1" min="4" max="4" style="49" width="14.42578125"/>
    <col customWidth="1" min="5" max="5" style="49" width="21.7109375"/>
    <col customWidth="1" min="6" max="6" style="49" width="9.5703125"/>
    <col customWidth="1" min="7" max="7" style="49" width="9.42578125"/>
    <col customWidth="1" min="8" max="8" style="49" width="31.85546875"/>
    <col customWidth="1" min="9" max="9" style="49" width="21.5703125"/>
    <col customWidth="1" min="10" max="10" style="49" width="46.42578125"/>
    <col customWidth="1" min="11" max="11" style="49" width="34.42578125"/>
    <col customWidth="1" min="12" max="12" style="49" width="10.28515625"/>
    <col customWidth="1" min="13" max="16" style="49" width="9.5703125"/>
    <col customWidth="1" min="17" max="17" style="49" width="13.42578125"/>
    <col customWidth="1" min="18" max="19" style="49" width="9.5703125"/>
    <col customWidth="1" min="20" max="20" style="49" width="11.7109375"/>
    <col customWidth="1" min="21" max="21" style="49" width="9.5703125"/>
    <col customWidth="1" min="22" max="22" style="49" width="17.7109375"/>
    <col customWidth="1" min="23" max="23" style="49" width="34"/>
    <col customWidth="1" min="24" max="24" style="49" width="22.7109375"/>
    <col customWidth="1" min="25" max="29" style="49" width="34"/>
    <col customWidth="1" min="30" max="30" style="49" width="12.5703125"/>
    <col min="31" max="16384" style="49" width="12.5703125"/>
  </cols>
  <sheetData>
    <row r="1" ht="15.75" customHeight="1">
      <c r="A1" s="51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3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</row>
    <row r="2" ht="15.75" customHeight="1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49"/>
      <c r="M2" s="49"/>
      <c r="N2" s="49"/>
      <c r="O2" s="49"/>
      <c r="P2" s="49"/>
      <c r="Q2" s="49"/>
      <c r="R2" s="49"/>
      <c r="S2" s="49"/>
      <c r="T2" s="52"/>
      <c r="U2" s="52"/>
      <c r="V2" s="52"/>
      <c r="W2" s="52"/>
      <c r="X2" s="52"/>
      <c r="Y2" s="52"/>
      <c r="Z2" s="52"/>
      <c r="AA2" s="52"/>
      <c r="AB2" s="52"/>
      <c r="AC2" s="52"/>
    </row>
    <row r="3" ht="15.75" customHeight="1">
      <c r="A3" s="51"/>
      <c r="B3" s="54" t="s">
        <v>171</v>
      </c>
      <c r="C3" s="55" t="s">
        <v>172</v>
      </c>
      <c r="D3" s="56"/>
      <c r="E3" s="52"/>
      <c r="F3" s="52"/>
      <c r="G3" s="52"/>
      <c r="H3" s="52"/>
      <c r="I3" s="52"/>
      <c r="J3" s="52"/>
      <c r="K3" s="54" t="s">
        <v>173</v>
      </c>
      <c r="L3" s="40" t="s">
        <v>71</v>
      </c>
      <c r="M3" s="40" t="s">
        <v>72</v>
      </c>
      <c r="N3" s="40" t="s">
        <v>73</v>
      </c>
      <c r="O3" s="40" t="s">
        <v>74</v>
      </c>
      <c r="P3" s="57" t="s">
        <v>75</v>
      </c>
      <c r="Q3" s="40" t="s">
        <v>76</v>
      </c>
      <c r="R3" s="40" t="s">
        <v>77</v>
      </c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</row>
    <row r="4" ht="15.75" customHeight="1">
      <c r="A4" s="51"/>
      <c r="B4" s="54" t="s">
        <v>174</v>
      </c>
      <c r="C4" s="58" t="s">
        <v>175</v>
      </c>
      <c r="D4" s="59"/>
      <c r="E4" s="52"/>
      <c r="F4" s="52"/>
      <c r="G4" s="52"/>
      <c r="H4" s="52"/>
      <c r="I4" s="52"/>
      <c r="J4" s="52"/>
      <c r="K4" s="54" t="s">
        <v>176</v>
      </c>
      <c r="L4" s="60">
        <f>COUNTA($G$13:$G$112)</f>
        <v>52</v>
      </c>
      <c r="M4" s="61">
        <f>COUNTIF($M$13:$M941,M3)</f>
        <v>0</v>
      </c>
      <c r="N4" s="61">
        <f>COUNTIF($M$13:$M941,N3)</f>
        <v>0</v>
      </c>
      <c r="O4" s="61">
        <f>COUNTIF($M$13:$M941,O3)</f>
        <v>0</v>
      </c>
      <c r="P4" s="62">
        <f>COUNTIF($M$13:$M941,P3)</f>
        <v>0</v>
      </c>
      <c r="Q4" s="61">
        <f>COUNTIF($M$13:$M941,Q3)</f>
        <v>0</v>
      </c>
      <c r="R4" s="61">
        <f>L4-SUM(M4:Q4)</f>
        <v>52</v>
      </c>
      <c r="S4" s="63"/>
      <c r="T4" s="52"/>
      <c r="U4" s="52"/>
      <c r="V4" s="52"/>
      <c r="W4" s="52"/>
      <c r="X4" s="52"/>
      <c r="Y4" s="52"/>
      <c r="Z4" s="52"/>
      <c r="AA4" s="52"/>
      <c r="AB4" s="52"/>
      <c r="AC4" s="52"/>
    </row>
    <row r="5" ht="15.75" customHeight="1">
      <c r="A5" s="51"/>
      <c r="B5" s="54" t="s">
        <v>3</v>
      </c>
      <c r="C5" s="58" t="s">
        <v>177</v>
      </c>
      <c r="D5" s="59"/>
      <c r="E5" s="52"/>
      <c r="F5" s="52"/>
      <c r="G5" s="52"/>
      <c r="H5" s="52"/>
      <c r="I5" s="52"/>
      <c r="J5" s="52"/>
      <c r="K5" s="12"/>
      <c r="L5" s="12"/>
      <c r="M5" s="64">
        <f t="shared" ref="M5:R5" si="18">M4/$L$4</f>
        <v>0</v>
      </c>
      <c r="N5" s="64">
        <f t="shared" si="18"/>
        <v>0</v>
      </c>
      <c r="O5" s="64">
        <f t="shared" si="18"/>
        <v>0</v>
      </c>
      <c r="P5" s="65">
        <f t="shared" si="18"/>
        <v>0</v>
      </c>
      <c r="Q5" s="64">
        <f t="shared" si="18"/>
        <v>0</v>
      </c>
      <c r="R5" s="64">
        <f t="shared" si="18"/>
        <v>1</v>
      </c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</row>
    <row r="6" ht="15.75" customHeight="1">
      <c r="A6" s="51"/>
      <c r="B6" s="54" t="s">
        <v>178</v>
      </c>
      <c r="C6" s="66" t="s">
        <v>18</v>
      </c>
      <c r="D6" s="59"/>
      <c r="E6" s="52"/>
      <c r="F6" s="52"/>
      <c r="G6" s="52"/>
      <c r="H6" s="52"/>
      <c r="I6" s="52"/>
      <c r="J6" s="52"/>
      <c r="K6" s="54" t="s">
        <v>179</v>
      </c>
      <c r="L6" s="60">
        <f>COUNTA($G$13:$G$112)</f>
        <v>52</v>
      </c>
      <c r="M6" s="61">
        <f>COUNTIF($R$13:$R$115,M3)</f>
        <v>0</v>
      </c>
      <c r="N6" s="61">
        <f>COUNTIF($R$13:$R$115,N3)</f>
        <v>0</v>
      </c>
      <c r="O6" s="61">
        <f>COUNTIF($R$13:$R$115,O3)</f>
        <v>0</v>
      </c>
      <c r="P6" s="62">
        <f>COUNTIF($R$13:$R$115,P3)</f>
        <v>0</v>
      </c>
      <c r="Q6" s="61">
        <f>COUNTIF($R$13:$R$115,Q3)</f>
        <v>0</v>
      </c>
      <c r="R6" s="61">
        <f>L6-SUM(M6:Q6)</f>
        <v>52</v>
      </c>
      <c r="S6" s="63"/>
      <c r="T6" s="52"/>
      <c r="U6" s="52"/>
      <c r="V6" s="52"/>
      <c r="W6" s="52"/>
      <c r="X6" s="52"/>
      <c r="Y6" s="52"/>
      <c r="Z6" s="52"/>
      <c r="AA6" s="52"/>
      <c r="AB6" s="52"/>
      <c r="AC6" s="52"/>
    </row>
    <row r="7" ht="36" customHeight="1">
      <c r="A7" s="51"/>
      <c r="B7" s="54" t="s">
        <v>17</v>
      </c>
      <c r="C7" s="67" t="s">
        <v>180</v>
      </c>
      <c r="D7" s="68"/>
      <c r="E7" s="52"/>
      <c r="F7" s="52"/>
      <c r="G7" s="52"/>
      <c r="H7" s="52"/>
      <c r="I7" s="52"/>
      <c r="J7" s="52"/>
      <c r="K7" s="12"/>
      <c r="L7" s="12"/>
      <c r="M7" s="64">
        <f t="shared" ref="M7:R7" si="19">M6/$L$6</f>
        <v>0</v>
      </c>
      <c r="N7" s="64">
        <f t="shared" si="19"/>
        <v>0</v>
      </c>
      <c r="O7" s="64">
        <f t="shared" si="19"/>
        <v>0</v>
      </c>
      <c r="P7" s="65">
        <f t="shared" si="19"/>
        <v>0</v>
      </c>
      <c r="Q7" s="64">
        <f t="shared" si="19"/>
        <v>0</v>
      </c>
      <c r="R7" s="64">
        <f t="shared" si="19"/>
        <v>1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</row>
    <row r="8" ht="15.75" customHeight="1">
      <c r="A8" s="51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3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</row>
    <row r="9" ht="15.75" customHeight="1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3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</row>
    <row r="10" ht="15.75" customHeight="1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4" t="s">
        <v>176</v>
      </c>
      <c r="N10" s="4"/>
      <c r="O10" s="4"/>
      <c r="P10" s="4"/>
      <c r="Q10" s="5"/>
      <c r="R10" s="54" t="s">
        <v>179</v>
      </c>
      <c r="S10" s="4"/>
      <c r="T10" s="4"/>
      <c r="U10" s="4"/>
      <c r="V10" s="5"/>
      <c r="W10" s="52"/>
      <c r="X10" s="52"/>
      <c r="Y10" s="52"/>
      <c r="Z10" s="52"/>
      <c r="AA10" s="52"/>
      <c r="AB10" s="52"/>
      <c r="AC10" s="52"/>
    </row>
    <row r="11" ht="15.75" customHeight="1">
      <c r="A11" s="69"/>
      <c r="B11" s="40" t="s">
        <v>181</v>
      </c>
      <c r="C11" s="4"/>
      <c r="D11" s="5"/>
      <c r="E11" s="40"/>
      <c r="F11" s="70" t="s">
        <v>182</v>
      </c>
      <c r="G11" s="70" t="s">
        <v>183</v>
      </c>
      <c r="H11" s="70" t="s">
        <v>184</v>
      </c>
      <c r="I11" s="70" t="s">
        <v>185</v>
      </c>
      <c r="J11" s="70" t="s">
        <v>186</v>
      </c>
      <c r="K11" s="70" t="s">
        <v>187</v>
      </c>
      <c r="L11" s="70" t="s">
        <v>188</v>
      </c>
      <c r="M11" s="70" t="s">
        <v>189</v>
      </c>
      <c r="N11" s="70" t="s">
        <v>190</v>
      </c>
      <c r="O11" s="70" t="s">
        <v>191</v>
      </c>
      <c r="P11" s="71" t="s">
        <v>192</v>
      </c>
      <c r="Q11" s="70" t="s">
        <v>193</v>
      </c>
      <c r="R11" s="72" t="s">
        <v>189</v>
      </c>
      <c r="S11" s="72" t="s">
        <v>190</v>
      </c>
      <c r="T11" s="72" t="s">
        <v>191</v>
      </c>
      <c r="U11" s="72" t="s">
        <v>192</v>
      </c>
      <c r="V11" s="72" t="s">
        <v>193</v>
      </c>
      <c r="W11" s="70" t="s">
        <v>194</v>
      </c>
      <c r="X11" s="70" t="s">
        <v>195</v>
      </c>
      <c r="Y11" s="52"/>
      <c r="Z11" s="52"/>
      <c r="AA11" s="52"/>
      <c r="AB11" s="52"/>
      <c r="AC11" s="52"/>
    </row>
    <row r="12" ht="15.75" customHeight="1">
      <c r="A12" s="69" t="s">
        <v>196</v>
      </c>
      <c r="B12" s="70" t="s">
        <v>197</v>
      </c>
      <c r="C12" s="70" t="s">
        <v>198</v>
      </c>
      <c r="D12" s="70" t="s">
        <v>199</v>
      </c>
      <c r="E12" s="70" t="s">
        <v>200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52"/>
      <c r="Z12" s="52"/>
      <c r="AA12" s="52"/>
      <c r="AB12" s="52"/>
      <c r="AC12" s="52"/>
    </row>
    <row r="13" ht="62.100000000000001" customHeight="1">
      <c r="A13" s="73">
        <v>1</v>
      </c>
      <c r="B13" s="58" t="s">
        <v>79</v>
      </c>
      <c r="C13" s="58" t="s">
        <v>80</v>
      </c>
      <c r="D13" s="58" t="s">
        <v>201</v>
      </c>
      <c r="E13" s="58" t="s">
        <v>202</v>
      </c>
      <c r="F13" s="58" t="s">
        <v>203</v>
      </c>
      <c r="G13" s="58" t="s">
        <v>204</v>
      </c>
      <c r="H13" s="58" t="s">
        <v>205</v>
      </c>
      <c r="I13" s="58" t="s">
        <v>202</v>
      </c>
      <c r="J13" s="58" t="s">
        <v>206</v>
      </c>
      <c r="K13" s="74" t="s">
        <v>207</v>
      </c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 t="s">
        <v>208</v>
      </c>
      <c r="Y13" s="52"/>
      <c r="Z13" s="52"/>
      <c r="AA13" s="52"/>
      <c r="AB13" s="52"/>
      <c r="AC13" s="52"/>
    </row>
    <row r="14" ht="35.100000000000001" customHeight="1">
      <c r="A14" s="73">
        <v>2</v>
      </c>
      <c r="B14" s="75"/>
      <c r="C14" s="75"/>
      <c r="D14" s="75"/>
      <c r="E14" s="58" t="s">
        <v>209</v>
      </c>
      <c r="F14" s="58" t="s">
        <v>210</v>
      </c>
      <c r="G14" s="58" t="s">
        <v>211</v>
      </c>
      <c r="H14" s="58" t="s">
        <v>212</v>
      </c>
      <c r="I14" s="58" t="s">
        <v>213</v>
      </c>
      <c r="J14" s="58" t="s">
        <v>214</v>
      </c>
      <c r="K14" s="76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77" t="s">
        <v>215</v>
      </c>
      <c r="X14" s="58" t="s">
        <v>208</v>
      </c>
      <c r="Y14" s="52"/>
      <c r="Z14" s="52"/>
      <c r="AA14" s="52"/>
      <c r="AB14" s="52"/>
      <c r="AC14" s="52"/>
    </row>
    <row r="15" ht="48.600000000000001" customHeight="1">
      <c r="A15" s="73">
        <v>3</v>
      </c>
      <c r="B15" s="75"/>
      <c r="C15" s="78"/>
      <c r="D15" s="78"/>
      <c r="E15" s="58" t="s">
        <v>216</v>
      </c>
      <c r="F15" s="58" t="s">
        <v>203</v>
      </c>
      <c r="G15" s="58" t="s">
        <v>217</v>
      </c>
      <c r="H15" s="58" t="s">
        <v>218</v>
      </c>
      <c r="I15" s="58" t="s">
        <v>202</v>
      </c>
      <c r="J15" s="58" t="s">
        <v>219</v>
      </c>
      <c r="K15" s="74" t="s">
        <v>220</v>
      </c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77" t="s">
        <v>221</v>
      </c>
      <c r="X15" s="58" t="s">
        <v>222</v>
      </c>
      <c r="Y15" s="52"/>
      <c r="Z15" s="52"/>
      <c r="AA15" s="52"/>
      <c r="AB15" s="52"/>
      <c r="AC15" s="52"/>
    </row>
    <row r="16" ht="62.100000000000001" customHeight="1">
      <c r="A16" s="73">
        <v>4</v>
      </c>
      <c r="B16" s="75"/>
      <c r="C16" s="58" t="s">
        <v>81</v>
      </c>
      <c r="D16" s="58" t="s">
        <v>223</v>
      </c>
      <c r="E16" s="58" t="s">
        <v>224</v>
      </c>
      <c r="F16" s="58" t="s">
        <v>225</v>
      </c>
      <c r="G16" s="58" t="s">
        <v>226</v>
      </c>
      <c r="H16" s="58" t="s">
        <v>227</v>
      </c>
      <c r="I16" s="58" t="s">
        <v>202</v>
      </c>
      <c r="J16" s="58" t="s">
        <v>228</v>
      </c>
      <c r="K16" s="74" t="s">
        <v>229</v>
      </c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 t="s">
        <v>208</v>
      </c>
      <c r="Y16" s="52"/>
      <c r="Z16" s="52"/>
      <c r="AA16" s="52"/>
      <c r="AB16" s="52"/>
      <c r="AC16" s="52"/>
    </row>
    <row r="17" ht="48.600000000000001" customHeight="1">
      <c r="A17" s="73">
        <v>5</v>
      </c>
      <c r="B17" s="75"/>
      <c r="C17" s="75"/>
      <c r="D17" s="58" t="s">
        <v>230</v>
      </c>
      <c r="E17" s="58" t="s">
        <v>231</v>
      </c>
      <c r="F17" s="58" t="s">
        <v>225</v>
      </c>
      <c r="G17" s="58" t="s">
        <v>232</v>
      </c>
      <c r="H17" s="58" t="s">
        <v>233</v>
      </c>
      <c r="I17" s="58" t="s">
        <v>202</v>
      </c>
      <c r="J17" s="58" t="s">
        <v>234</v>
      </c>
      <c r="K17" s="74" t="s">
        <v>235</v>
      </c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 t="s">
        <v>208</v>
      </c>
      <c r="Y17" s="52"/>
      <c r="Z17" s="52"/>
      <c r="AA17" s="52"/>
      <c r="AB17" s="52"/>
      <c r="AC17" s="52"/>
    </row>
    <row r="18" ht="35.100000000000001" customHeight="1">
      <c r="A18" s="73">
        <v>6</v>
      </c>
      <c r="B18" s="75"/>
      <c r="C18" s="75"/>
      <c r="D18" s="75"/>
      <c r="E18" s="58" t="s">
        <v>236</v>
      </c>
      <c r="F18" s="58" t="s">
        <v>225</v>
      </c>
      <c r="G18" s="58" t="s">
        <v>237</v>
      </c>
      <c r="H18" s="58" t="s">
        <v>238</v>
      </c>
      <c r="I18" s="58" t="s">
        <v>202</v>
      </c>
      <c r="J18" s="58" t="s">
        <v>239</v>
      </c>
      <c r="K18" s="76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77" t="s">
        <v>240</v>
      </c>
      <c r="X18" s="58" t="s">
        <v>208</v>
      </c>
      <c r="Y18" s="52"/>
      <c r="Z18" s="52"/>
      <c r="AA18" s="52"/>
      <c r="AB18" s="52"/>
      <c r="AC18" s="52"/>
    </row>
    <row r="19" ht="48.600000000000001" customHeight="1">
      <c r="A19" s="73">
        <v>7</v>
      </c>
      <c r="B19" s="75"/>
      <c r="C19" s="78"/>
      <c r="D19" s="78"/>
      <c r="E19" s="58" t="s">
        <v>241</v>
      </c>
      <c r="F19" s="58" t="s">
        <v>225</v>
      </c>
      <c r="G19" s="58" t="s">
        <v>242</v>
      </c>
      <c r="H19" s="58" t="s">
        <v>243</v>
      </c>
      <c r="I19" s="58" t="s">
        <v>202</v>
      </c>
      <c r="J19" s="58" t="s">
        <v>244</v>
      </c>
      <c r="K19" s="76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77" t="s">
        <v>245</v>
      </c>
      <c r="X19" s="58" t="s">
        <v>208</v>
      </c>
      <c r="Y19" s="52"/>
      <c r="Z19" s="52"/>
      <c r="AA19" s="52"/>
      <c r="AB19" s="52"/>
      <c r="AC19" s="52"/>
    </row>
    <row r="20" ht="48.600000000000001" customHeight="1">
      <c r="A20" s="73">
        <v>8</v>
      </c>
      <c r="B20" s="75"/>
      <c r="C20" s="58" t="s">
        <v>82</v>
      </c>
      <c r="D20" s="58" t="s">
        <v>246</v>
      </c>
      <c r="E20" s="58" t="s">
        <v>247</v>
      </c>
      <c r="F20" s="58" t="s">
        <v>210</v>
      </c>
      <c r="G20" s="58" t="s">
        <v>248</v>
      </c>
      <c r="H20" s="58" t="s">
        <v>249</v>
      </c>
      <c r="I20" s="58" t="s">
        <v>202</v>
      </c>
      <c r="J20" s="58" t="s">
        <v>250</v>
      </c>
      <c r="K20" s="74" t="s">
        <v>251</v>
      </c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77" t="s">
        <v>252</v>
      </c>
      <c r="X20" s="58" t="s">
        <v>208</v>
      </c>
      <c r="Y20" s="52"/>
      <c r="Z20" s="52"/>
      <c r="AA20" s="52"/>
      <c r="AB20" s="52"/>
      <c r="AC20" s="52"/>
    </row>
    <row r="21" ht="35.100000000000001" customHeight="1">
      <c r="A21" s="73">
        <v>9</v>
      </c>
      <c r="B21" s="75"/>
      <c r="C21" s="75"/>
      <c r="D21" s="75"/>
      <c r="E21" s="58" t="s">
        <v>253</v>
      </c>
      <c r="F21" s="58" t="s">
        <v>210</v>
      </c>
      <c r="G21" s="58" t="s">
        <v>254</v>
      </c>
      <c r="H21" s="58" t="s">
        <v>255</v>
      </c>
      <c r="I21" s="58" t="s">
        <v>202</v>
      </c>
      <c r="J21" s="58" t="s">
        <v>256</v>
      </c>
      <c r="K21" s="76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77" t="s">
        <v>257</v>
      </c>
      <c r="X21" s="58" t="s">
        <v>208</v>
      </c>
      <c r="Y21" s="52"/>
      <c r="Z21" s="52"/>
      <c r="AA21" s="52"/>
      <c r="AB21" s="52"/>
      <c r="AC21" s="52"/>
    </row>
    <row r="22" ht="48.600000000000001" customHeight="1">
      <c r="A22" s="73">
        <v>10</v>
      </c>
      <c r="B22" s="75"/>
      <c r="C22" s="75"/>
      <c r="D22" s="75"/>
      <c r="E22" s="58" t="s">
        <v>258</v>
      </c>
      <c r="F22" s="58" t="s">
        <v>210</v>
      </c>
      <c r="G22" s="58" t="s">
        <v>259</v>
      </c>
      <c r="H22" s="58" t="s">
        <v>260</v>
      </c>
      <c r="I22" s="58" t="s">
        <v>202</v>
      </c>
      <c r="J22" s="58" t="s">
        <v>261</v>
      </c>
      <c r="K22" s="76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77" t="s">
        <v>262</v>
      </c>
      <c r="X22" s="58" t="s">
        <v>208</v>
      </c>
      <c r="Y22" s="52"/>
      <c r="Z22" s="52"/>
      <c r="AA22" s="52"/>
      <c r="AB22" s="52"/>
      <c r="AC22" s="52"/>
    </row>
    <row r="23" ht="48.600000000000001" customHeight="1">
      <c r="A23" s="73">
        <v>11</v>
      </c>
      <c r="B23" s="75"/>
      <c r="C23" s="78"/>
      <c r="D23" s="78"/>
      <c r="E23" s="58" t="s">
        <v>263</v>
      </c>
      <c r="F23" s="58" t="s">
        <v>225</v>
      </c>
      <c r="G23" s="58" t="s">
        <v>264</v>
      </c>
      <c r="H23" s="58" t="s">
        <v>265</v>
      </c>
      <c r="I23" s="58" t="s">
        <v>202</v>
      </c>
      <c r="J23" s="58" t="s">
        <v>266</v>
      </c>
      <c r="K23" s="76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77" t="s">
        <v>267</v>
      </c>
      <c r="X23" s="58" t="s">
        <v>208</v>
      </c>
      <c r="Y23" s="52"/>
      <c r="Z23" s="52"/>
      <c r="AA23" s="52"/>
      <c r="AB23" s="52"/>
      <c r="AC23" s="52"/>
    </row>
    <row r="24" ht="48.600000000000001" customHeight="1">
      <c r="A24" s="73">
        <v>12</v>
      </c>
      <c r="B24" s="75"/>
      <c r="C24" s="58" t="s">
        <v>83</v>
      </c>
      <c r="D24" s="58" t="s">
        <v>268</v>
      </c>
      <c r="E24" s="58" t="s">
        <v>269</v>
      </c>
      <c r="F24" s="58" t="s">
        <v>203</v>
      </c>
      <c r="G24" s="58" t="s">
        <v>270</v>
      </c>
      <c r="H24" s="58" t="s">
        <v>271</v>
      </c>
      <c r="I24" s="58" t="s">
        <v>202</v>
      </c>
      <c r="J24" s="58" t="s">
        <v>272</v>
      </c>
      <c r="K24" s="74" t="s">
        <v>273</v>
      </c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 t="s">
        <v>208</v>
      </c>
      <c r="Y24" s="52"/>
      <c r="Z24" s="52"/>
      <c r="AA24" s="52"/>
      <c r="AB24" s="52"/>
      <c r="AC24" s="52"/>
    </row>
    <row r="25" ht="48.600000000000001" customHeight="1">
      <c r="A25" s="73">
        <v>13</v>
      </c>
      <c r="B25" s="75"/>
      <c r="C25" s="75"/>
      <c r="D25" s="78"/>
      <c r="E25" s="58" t="s">
        <v>274</v>
      </c>
      <c r="F25" s="58" t="s">
        <v>225</v>
      </c>
      <c r="G25" s="58" t="s">
        <v>275</v>
      </c>
      <c r="H25" s="58" t="s">
        <v>276</v>
      </c>
      <c r="I25" s="58" t="s">
        <v>202</v>
      </c>
      <c r="J25" s="58" t="s">
        <v>277</v>
      </c>
      <c r="K25" s="74" t="s">
        <v>278</v>
      </c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 t="s">
        <v>208</v>
      </c>
      <c r="Y25" s="52"/>
      <c r="Z25" s="52"/>
      <c r="AA25" s="52"/>
      <c r="AB25" s="52"/>
      <c r="AC25" s="52"/>
    </row>
    <row r="26" ht="35.100000000000001" customHeight="1">
      <c r="A26" s="73">
        <v>14</v>
      </c>
      <c r="B26" s="75"/>
      <c r="C26" s="75"/>
      <c r="D26" s="58" t="s">
        <v>279</v>
      </c>
      <c r="E26" s="58" t="s">
        <v>280</v>
      </c>
      <c r="F26" s="58" t="s">
        <v>203</v>
      </c>
      <c r="G26" s="58" t="s">
        <v>281</v>
      </c>
      <c r="H26" s="58" t="s">
        <v>282</v>
      </c>
      <c r="I26" s="58" t="s">
        <v>202</v>
      </c>
      <c r="J26" s="58" t="s">
        <v>283</v>
      </c>
      <c r="K26" s="74" t="s">
        <v>284</v>
      </c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 t="s">
        <v>208</v>
      </c>
      <c r="Y26" s="52"/>
      <c r="Z26" s="52"/>
      <c r="AA26" s="52"/>
      <c r="AB26" s="52"/>
      <c r="AC26" s="52"/>
    </row>
    <row r="27" ht="35.100000000000001" customHeight="1">
      <c r="A27" s="73">
        <v>15</v>
      </c>
      <c r="B27" s="75"/>
      <c r="C27" s="75"/>
      <c r="D27" s="75"/>
      <c r="E27" s="58" t="s">
        <v>285</v>
      </c>
      <c r="F27" s="58" t="s">
        <v>210</v>
      </c>
      <c r="G27" s="58" t="s">
        <v>286</v>
      </c>
      <c r="H27" s="58" t="s">
        <v>287</v>
      </c>
      <c r="I27" s="58" t="s">
        <v>202</v>
      </c>
      <c r="J27" s="58" t="s">
        <v>288</v>
      </c>
      <c r="K27" s="76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77" t="s">
        <v>289</v>
      </c>
      <c r="X27" s="58" t="s">
        <v>208</v>
      </c>
      <c r="Y27" s="52"/>
      <c r="Z27" s="52"/>
      <c r="AA27" s="52"/>
      <c r="AB27" s="52"/>
      <c r="AC27" s="52"/>
    </row>
    <row r="28" ht="48.600000000000001" customHeight="1">
      <c r="A28" s="73">
        <v>16</v>
      </c>
      <c r="B28" s="75"/>
      <c r="C28" s="75"/>
      <c r="D28" s="75"/>
      <c r="E28" s="58" t="s">
        <v>290</v>
      </c>
      <c r="F28" s="58" t="s">
        <v>203</v>
      </c>
      <c r="G28" s="58" t="s">
        <v>291</v>
      </c>
      <c r="H28" s="58" t="s">
        <v>292</v>
      </c>
      <c r="I28" s="58" t="s">
        <v>202</v>
      </c>
      <c r="J28" s="58" t="s">
        <v>293</v>
      </c>
      <c r="K28" s="74" t="s">
        <v>294</v>
      </c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77" t="s">
        <v>295</v>
      </c>
      <c r="X28" s="58" t="s">
        <v>222</v>
      </c>
      <c r="Y28" s="52"/>
      <c r="Z28" s="52"/>
      <c r="AA28" s="52"/>
      <c r="AB28" s="52"/>
      <c r="AC28" s="52"/>
    </row>
    <row r="29" ht="48.600000000000001" customHeight="1">
      <c r="A29" s="73">
        <v>17</v>
      </c>
      <c r="B29" s="75"/>
      <c r="C29" s="75"/>
      <c r="D29" s="75"/>
      <c r="E29" s="58" t="s">
        <v>296</v>
      </c>
      <c r="F29" s="58" t="s">
        <v>225</v>
      </c>
      <c r="G29" s="58" t="s">
        <v>297</v>
      </c>
      <c r="H29" s="58" t="s">
        <v>298</v>
      </c>
      <c r="I29" s="58" t="s">
        <v>202</v>
      </c>
      <c r="J29" s="58" t="s">
        <v>299</v>
      </c>
      <c r="K29" s="76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77" t="s">
        <v>300</v>
      </c>
      <c r="X29" s="58" t="s">
        <v>208</v>
      </c>
      <c r="Y29" s="52"/>
      <c r="Z29" s="52"/>
      <c r="AA29" s="52"/>
      <c r="AB29" s="52"/>
      <c r="AC29" s="52"/>
    </row>
    <row r="30" ht="48.600000000000001" customHeight="1">
      <c r="A30" s="73">
        <v>18</v>
      </c>
      <c r="B30" s="75"/>
      <c r="C30" s="75"/>
      <c r="D30" s="78"/>
      <c r="E30" s="58" t="s">
        <v>301</v>
      </c>
      <c r="F30" s="58" t="s">
        <v>225</v>
      </c>
      <c r="G30" s="58" t="s">
        <v>302</v>
      </c>
      <c r="H30" s="58" t="s">
        <v>303</v>
      </c>
      <c r="I30" s="58" t="s">
        <v>202</v>
      </c>
      <c r="J30" s="58" t="s">
        <v>304</v>
      </c>
      <c r="K30" s="76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77" t="s">
        <v>305</v>
      </c>
      <c r="X30" s="58" t="s">
        <v>208</v>
      </c>
      <c r="Y30" s="52"/>
      <c r="Z30" s="52"/>
      <c r="AA30" s="52"/>
      <c r="AB30" s="52"/>
      <c r="AC30" s="52"/>
    </row>
    <row r="31" ht="62.100000000000001" customHeight="1">
      <c r="A31" s="73">
        <v>19</v>
      </c>
      <c r="B31" s="75"/>
      <c r="C31" s="75"/>
      <c r="D31" s="58" t="s">
        <v>306</v>
      </c>
      <c r="E31" s="58" t="s">
        <v>307</v>
      </c>
      <c r="F31" s="58" t="s">
        <v>203</v>
      </c>
      <c r="G31" s="58" t="s">
        <v>308</v>
      </c>
      <c r="H31" s="58" t="s">
        <v>309</v>
      </c>
      <c r="I31" s="58" t="s">
        <v>202</v>
      </c>
      <c r="J31" s="58" t="s">
        <v>310</v>
      </c>
      <c r="K31" s="74" t="s">
        <v>311</v>
      </c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77" t="s">
        <v>312</v>
      </c>
      <c r="X31" s="58" t="s">
        <v>208</v>
      </c>
      <c r="Y31" s="52"/>
      <c r="Z31" s="52"/>
      <c r="AA31" s="52"/>
      <c r="AB31" s="52"/>
      <c r="AC31" s="52"/>
    </row>
    <row r="32" ht="62.100000000000001" customHeight="1">
      <c r="A32" s="73">
        <v>20</v>
      </c>
      <c r="B32" s="75"/>
      <c r="C32" s="78"/>
      <c r="D32" s="78"/>
      <c r="E32" s="58" t="s">
        <v>313</v>
      </c>
      <c r="F32" s="58" t="s">
        <v>203</v>
      </c>
      <c r="G32" s="58" t="s">
        <v>314</v>
      </c>
      <c r="H32" s="58" t="s">
        <v>315</v>
      </c>
      <c r="I32" s="58" t="s">
        <v>202</v>
      </c>
      <c r="J32" s="58" t="s">
        <v>316</v>
      </c>
      <c r="K32" s="74" t="s">
        <v>311</v>
      </c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77" t="s">
        <v>317</v>
      </c>
      <c r="X32" s="58" t="s">
        <v>208</v>
      </c>
      <c r="Y32" s="52"/>
      <c r="Z32" s="52"/>
      <c r="AA32" s="52"/>
      <c r="AB32" s="52"/>
      <c r="AC32" s="52"/>
    </row>
    <row r="33" ht="48.600000000000001" customHeight="1">
      <c r="A33" s="73">
        <v>21</v>
      </c>
      <c r="B33" s="75"/>
      <c r="C33" s="58" t="s">
        <v>84</v>
      </c>
      <c r="D33" s="58" t="s">
        <v>268</v>
      </c>
      <c r="E33" s="58" t="s">
        <v>269</v>
      </c>
      <c r="F33" s="58" t="s">
        <v>203</v>
      </c>
      <c r="G33" s="58" t="s">
        <v>318</v>
      </c>
      <c r="H33" s="58" t="s">
        <v>319</v>
      </c>
      <c r="I33" s="58" t="s">
        <v>202</v>
      </c>
      <c r="J33" s="58" t="s">
        <v>320</v>
      </c>
      <c r="K33" s="74" t="s">
        <v>321</v>
      </c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 t="s">
        <v>208</v>
      </c>
      <c r="Y33" s="52"/>
      <c r="Z33" s="52"/>
      <c r="AA33" s="52"/>
      <c r="AB33" s="52"/>
      <c r="AC33" s="52"/>
    </row>
    <row r="34" ht="35.100000000000001" customHeight="1">
      <c r="A34" s="73">
        <v>22</v>
      </c>
      <c r="B34" s="75"/>
      <c r="C34" s="75"/>
      <c r="D34" s="75"/>
      <c r="E34" s="58" t="s">
        <v>322</v>
      </c>
      <c r="F34" s="58" t="s">
        <v>203</v>
      </c>
      <c r="G34" s="58" t="s">
        <v>323</v>
      </c>
      <c r="H34" s="58" t="s">
        <v>324</v>
      </c>
      <c r="I34" s="58" t="s">
        <v>202</v>
      </c>
      <c r="J34" s="58" t="s">
        <v>325</v>
      </c>
      <c r="K34" s="74" t="s">
        <v>326</v>
      </c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 t="s">
        <v>208</v>
      </c>
      <c r="Y34" s="52"/>
      <c r="Z34" s="52"/>
      <c r="AA34" s="52"/>
      <c r="AB34" s="52"/>
      <c r="AC34" s="52"/>
    </row>
    <row r="35" ht="35.100000000000001" customHeight="1">
      <c r="A35" s="73">
        <v>23</v>
      </c>
      <c r="B35" s="75"/>
      <c r="C35" s="75"/>
      <c r="D35" s="78"/>
      <c r="E35" s="58" t="s">
        <v>327</v>
      </c>
      <c r="F35" s="58" t="s">
        <v>210</v>
      </c>
      <c r="G35" s="58" t="s">
        <v>328</v>
      </c>
      <c r="H35" s="58" t="s">
        <v>329</v>
      </c>
      <c r="I35" s="58" t="s">
        <v>202</v>
      </c>
      <c r="J35" s="58" t="s">
        <v>330</v>
      </c>
      <c r="K35" s="76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77" t="s">
        <v>331</v>
      </c>
      <c r="X35" s="58" t="s">
        <v>208</v>
      </c>
      <c r="Y35" s="52"/>
      <c r="Z35" s="52"/>
      <c r="AA35" s="52"/>
      <c r="AB35" s="52"/>
      <c r="AC35" s="52"/>
    </row>
    <row r="36" ht="35.100000000000001" customHeight="1">
      <c r="A36" s="73">
        <v>24</v>
      </c>
      <c r="B36" s="75"/>
      <c r="C36" s="75"/>
      <c r="D36" s="58" t="s">
        <v>279</v>
      </c>
      <c r="E36" s="58" t="s">
        <v>285</v>
      </c>
      <c r="F36" s="58" t="s">
        <v>210</v>
      </c>
      <c r="G36" s="58" t="s">
        <v>332</v>
      </c>
      <c r="H36" s="58" t="s">
        <v>287</v>
      </c>
      <c r="I36" s="58" t="s">
        <v>202</v>
      </c>
      <c r="J36" s="58" t="s">
        <v>288</v>
      </c>
      <c r="K36" s="76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77" t="s">
        <v>333</v>
      </c>
      <c r="X36" s="58" t="s">
        <v>208</v>
      </c>
      <c r="Y36" s="52"/>
      <c r="Z36" s="52"/>
      <c r="AA36" s="52"/>
      <c r="AB36" s="52"/>
      <c r="AC36" s="52"/>
    </row>
    <row r="37" ht="35.100000000000001" customHeight="1">
      <c r="A37" s="73">
        <v>25</v>
      </c>
      <c r="B37" s="75"/>
      <c r="C37" s="75"/>
      <c r="D37" s="78"/>
      <c r="E37" s="58" t="s">
        <v>334</v>
      </c>
      <c r="F37" s="58" t="s">
        <v>225</v>
      </c>
      <c r="G37" s="58" t="s">
        <v>335</v>
      </c>
      <c r="H37" s="58" t="s">
        <v>336</v>
      </c>
      <c r="I37" s="58" t="s">
        <v>202</v>
      </c>
      <c r="J37" s="58" t="s">
        <v>337</v>
      </c>
      <c r="K37" s="74" t="s">
        <v>338</v>
      </c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 t="s">
        <v>208</v>
      </c>
      <c r="Y37" s="52"/>
      <c r="Z37" s="52"/>
      <c r="AA37" s="52"/>
      <c r="AB37" s="52"/>
      <c r="AC37" s="52"/>
    </row>
    <row r="38" ht="62.100000000000001" customHeight="1">
      <c r="A38" s="73">
        <v>26</v>
      </c>
      <c r="B38" s="75"/>
      <c r="C38" s="75"/>
      <c r="D38" s="58" t="s">
        <v>306</v>
      </c>
      <c r="E38" s="58" t="s">
        <v>307</v>
      </c>
      <c r="F38" s="58" t="s">
        <v>203</v>
      </c>
      <c r="G38" s="58" t="s">
        <v>339</v>
      </c>
      <c r="H38" s="58" t="s">
        <v>340</v>
      </c>
      <c r="I38" s="58" t="s">
        <v>202</v>
      </c>
      <c r="J38" s="58" t="s">
        <v>341</v>
      </c>
      <c r="K38" s="74" t="s">
        <v>342</v>
      </c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77" t="s">
        <v>312</v>
      </c>
      <c r="X38" s="58" t="s">
        <v>208</v>
      </c>
      <c r="Y38" s="52"/>
      <c r="Z38" s="52"/>
      <c r="AA38" s="52"/>
      <c r="AB38" s="52"/>
      <c r="AC38" s="52"/>
    </row>
    <row r="39" ht="48.600000000000001" customHeight="1">
      <c r="A39" s="73">
        <v>27</v>
      </c>
      <c r="B39" s="75"/>
      <c r="C39" s="78"/>
      <c r="D39" s="78"/>
      <c r="E39" s="58" t="s">
        <v>343</v>
      </c>
      <c r="F39" s="58" t="s">
        <v>203</v>
      </c>
      <c r="G39" s="58" t="s">
        <v>344</v>
      </c>
      <c r="H39" s="58" t="s">
        <v>345</v>
      </c>
      <c r="I39" s="58" t="s">
        <v>202</v>
      </c>
      <c r="J39" s="58" t="s">
        <v>346</v>
      </c>
      <c r="K39" s="74" t="s">
        <v>347</v>
      </c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77" t="s">
        <v>312</v>
      </c>
      <c r="X39" s="58" t="s">
        <v>208</v>
      </c>
      <c r="Y39" s="52"/>
      <c r="Z39" s="52"/>
      <c r="AA39" s="52"/>
      <c r="AB39" s="52"/>
      <c r="AC39" s="52"/>
    </row>
    <row r="40" ht="35.100000000000001" customHeight="1">
      <c r="A40" s="73">
        <v>28</v>
      </c>
      <c r="B40" s="75"/>
      <c r="C40" s="58" t="s">
        <v>85</v>
      </c>
      <c r="D40" s="58" t="s">
        <v>348</v>
      </c>
      <c r="E40" s="58" t="s">
        <v>269</v>
      </c>
      <c r="F40" s="58" t="s">
        <v>210</v>
      </c>
      <c r="G40" s="58" t="s">
        <v>349</v>
      </c>
      <c r="H40" s="58" t="s">
        <v>350</v>
      </c>
      <c r="I40" s="58" t="s">
        <v>202</v>
      </c>
      <c r="J40" s="58" t="s">
        <v>351</v>
      </c>
      <c r="K40" s="74" t="s">
        <v>352</v>
      </c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 t="s">
        <v>208</v>
      </c>
      <c r="Y40" s="52"/>
      <c r="Z40" s="52"/>
      <c r="AA40" s="52"/>
      <c r="AB40" s="52"/>
      <c r="AC40" s="52"/>
    </row>
    <row r="41" ht="48.600000000000001" customHeight="1">
      <c r="A41" s="73">
        <v>29</v>
      </c>
      <c r="B41" s="75"/>
      <c r="C41" s="75"/>
      <c r="D41" s="78"/>
      <c r="E41" s="58" t="s">
        <v>353</v>
      </c>
      <c r="F41" s="58" t="s">
        <v>225</v>
      </c>
      <c r="G41" s="58" t="s">
        <v>354</v>
      </c>
      <c r="H41" s="58" t="s">
        <v>355</v>
      </c>
      <c r="I41" s="58" t="s">
        <v>202</v>
      </c>
      <c r="J41" s="58" t="s">
        <v>356</v>
      </c>
      <c r="K41" s="74" t="s">
        <v>357</v>
      </c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 t="s">
        <v>208</v>
      </c>
      <c r="Y41" s="52"/>
      <c r="Z41" s="52"/>
      <c r="AA41" s="52"/>
      <c r="AB41" s="52"/>
      <c r="AC41" s="52"/>
    </row>
    <row r="42" ht="62.100000000000001" customHeight="1">
      <c r="A42" s="73">
        <v>30</v>
      </c>
      <c r="B42" s="75"/>
      <c r="C42" s="75"/>
      <c r="D42" s="58" t="s">
        <v>358</v>
      </c>
      <c r="E42" s="58" t="s">
        <v>359</v>
      </c>
      <c r="F42" s="58" t="s">
        <v>210</v>
      </c>
      <c r="G42" s="58" t="s">
        <v>360</v>
      </c>
      <c r="H42" s="58" t="s">
        <v>361</v>
      </c>
      <c r="I42" s="58" t="s">
        <v>202</v>
      </c>
      <c r="J42" s="58" t="s">
        <v>362</v>
      </c>
      <c r="K42" s="76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77" t="s">
        <v>363</v>
      </c>
      <c r="X42" s="58" t="s">
        <v>208</v>
      </c>
      <c r="Y42" s="52"/>
      <c r="Z42" s="52"/>
      <c r="AA42" s="52"/>
      <c r="AB42" s="52"/>
      <c r="AC42" s="52"/>
    </row>
    <row r="43" ht="62.100000000000001" customHeight="1">
      <c r="A43" s="73">
        <v>31</v>
      </c>
      <c r="B43" s="75"/>
      <c r="C43" s="78"/>
      <c r="D43" s="78"/>
      <c r="E43" s="58" t="s">
        <v>364</v>
      </c>
      <c r="F43" s="58" t="s">
        <v>210</v>
      </c>
      <c r="G43" s="58" t="s">
        <v>365</v>
      </c>
      <c r="H43" s="58" t="s">
        <v>366</v>
      </c>
      <c r="I43" s="58" t="s">
        <v>202</v>
      </c>
      <c r="J43" s="58" t="s">
        <v>367</v>
      </c>
      <c r="K43" s="76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77" t="s">
        <v>368</v>
      </c>
      <c r="X43" s="58" t="s">
        <v>208</v>
      </c>
      <c r="Y43" s="52"/>
      <c r="Z43" s="52"/>
      <c r="AA43" s="52"/>
      <c r="AB43" s="52"/>
      <c r="AC43" s="52"/>
    </row>
    <row r="44" ht="62.100000000000001" customHeight="1">
      <c r="A44" s="73">
        <v>32</v>
      </c>
      <c r="B44" s="75"/>
      <c r="C44" s="58" t="s">
        <v>86</v>
      </c>
      <c r="D44" s="58" t="s">
        <v>369</v>
      </c>
      <c r="E44" s="58" t="s">
        <v>370</v>
      </c>
      <c r="F44" s="58" t="s">
        <v>203</v>
      </c>
      <c r="G44" s="58" t="s">
        <v>371</v>
      </c>
      <c r="H44" s="58" t="s">
        <v>372</v>
      </c>
      <c r="I44" s="58" t="s">
        <v>373</v>
      </c>
      <c r="J44" s="58" t="s">
        <v>374</v>
      </c>
      <c r="K44" s="74" t="s">
        <v>375</v>
      </c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 t="s">
        <v>208</v>
      </c>
      <c r="Y44" s="52"/>
      <c r="Z44" s="52"/>
      <c r="AA44" s="52"/>
      <c r="AB44" s="52"/>
      <c r="AC44" s="52"/>
    </row>
    <row r="45" ht="62.100000000000001" customHeight="1">
      <c r="A45" s="73">
        <v>33</v>
      </c>
      <c r="B45" s="75"/>
      <c r="C45" s="75"/>
      <c r="D45" s="75"/>
      <c r="E45" s="58" t="s">
        <v>376</v>
      </c>
      <c r="F45" s="58" t="s">
        <v>203</v>
      </c>
      <c r="G45" s="58" t="s">
        <v>377</v>
      </c>
      <c r="H45" s="58" t="s">
        <v>378</v>
      </c>
      <c r="I45" s="58" t="s">
        <v>373</v>
      </c>
      <c r="J45" s="58" t="s">
        <v>379</v>
      </c>
      <c r="K45" s="74" t="s">
        <v>380</v>
      </c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77" t="s">
        <v>381</v>
      </c>
      <c r="X45" s="58" t="s">
        <v>208</v>
      </c>
      <c r="Y45" s="52"/>
      <c r="Z45" s="52"/>
      <c r="AA45" s="52"/>
      <c r="AB45" s="52"/>
      <c r="AC45" s="52"/>
    </row>
    <row r="46" ht="48.600000000000001" customHeight="1">
      <c r="A46" s="73">
        <v>34</v>
      </c>
      <c r="B46" s="75"/>
      <c r="C46" s="75"/>
      <c r="D46" s="75"/>
      <c r="E46" s="58" t="s">
        <v>382</v>
      </c>
      <c r="F46" s="58" t="s">
        <v>225</v>
      </c>
      <c r="G46" s="58" t="s">
        <v>383</v>
      </c>
      <c r="H46" s="58" t="s">
        <v>384</v>
      </c>
      <c r="I46" s="58" t="s">
        <v>373</v>
      </c>
      <c r="J46" s="58" t="s">
        <v>385</v>
      </c>
      <c r="K46" s="74" t="s">
        <v>386</v>
      </c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 t="s">
        <v>208</v>
      </c>
      <c r="Y46" s="52"/>
      <c r="Z46" s="52"/>
      <c r="AA46" s="52"/>
      <c r="AB46" s="52"/>
      <c r="AC46" s="52"/>
    </row>
    <row r="47" ht="48.600000000000001" customHeight="1">
      <c r="A47" s="73">
        <v>35</v>
      </c>
      <c r="B47" s="75"/>
      <c r="C47" s="75"/>
      <c r="D47" s="78"/>
      <c r="E47" s="58" t="s">
        <v>387</v>
      </c>
      <c r="F47" s="58" t="s">
        <v>210</v>
      </c>
      <c r="G47" s="58" t="s">
        <v>388</v>
      </c>
      <c r="H47" s="58" t="s">
        <v>389</v>
      </c>
      <c r="I47" s="58" t="s">
        <v>390</v>
      </c>
      <c r="J47" s="58" t="s">
        <v>391</v>
      </c>
      <c r="K47" s="74" t="s">
        <v>392</v>
      </c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 t="s">
        <v>222</v>
      </c>
      <c r="Y47" s="52"/>
      <c r="Z47" s="52"/>
      <c r="AA47" s="52"/>
      <c r="AB47" s="52"/>
      <c r="AC47" s="52"/>
    </row>
    <row r="48" ht="62.100000000000001" customHeight="1">
      <c r="A48" s="73">
        <v>36</v>
      </c>
      <c r="B48" s="75"/>
      <c r="C48" s="75"/>
      <c r="D48" s="58" t="s">
        <v>393</v>
      </c>
      <c r="E48" s="58" t="s">
        <v>394</v>
      </c>
      <c r="F48" s="58" t="s">
        <v>203</v>
      </c>
      <c r="G48" s="58" t="s">
        <v>395</v>
      </c>
      <c r="H48" s="58" t="s">
        <v>396</v>
      </c>
      <c r="I48" s="58" t="s">
        <v>373</v>
      </c>
      <c r="J48" s="58" t="s">
        <v>397</v>
      </c>
      <c r="K48" s="74" t="s">
        <v>398</v>
      </c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77" t="s">
        <v>399</v>
      </c>
      <c r="X48" s="58" t="s">
        <v>208</v>
      </c>
      <c r="Y48" s="52"/>
      <c r="Z48" s="52"/>
      <c r="AA48" s="52"/>
      <c r="AB48" s="52"/>
      <c r="AC48" s="52"/>
    </row>
    <row r="49" ht="62.100000000000001" customHeight="1">
      <c r="A49" s="73">
        <v>37</v>
      </c>
      <c r="B49" s="75"/>
      <c r="C49" s="75"/>
      <c r="D49" s="75"/>
      <c r="E49" s="58" t="s">
        <v>400</v>
      </c>
      <c r="F49" s="58" t="s">
        <v>203</v>
      </c>
      <c r="G49" s="58" t="s">
        <v>401</v>
      </c>
      <c r="H49" s="58" t="s">
        <v>402</v>
      </c>
      <c r="I49" s="58" t="s">
        <v>202</v>
      </c>
      <c r="J49" s="58" t="s">
        <v>403</v>
      </c>
      <c r="K49" s="74" t="s">
        <v>404</v>
      </c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77" t="s">
        <v>405</v>
      </c>
      <c r="X49" s="58" t="s">
        <v>208</v>
      </c>
      <c r="Y49" s="52"/>
      <c r="Z49" s="52"/>
      <c r="AA49" s="52"/>
      <c r="AB49" s="52"/>
      <c r="AC49" s="52"/>
    </row>
    <row r="50" ht="62.100000000000001" customHeight="1">
      <c r="A50" s="73">
        <v>38</v>
      </c>
      <c r="B50" s="75"/>
      <c r="C50" s="75"/>
      <c r="D50" s="75"/>
      <c r="E50" s="58" t="s">
        <v>406</v>
      </c>
      <c r="F50" s="58" t="s">
        <v>203</v>
      </c>
      <c r="G50" s="58" t="s">
        <v>407</v>
      </c>
      <c r="H50" s="58" t="s">
        <v>408</v>
      </c>
      <c r="I50" s="58" t="s">
        <v>409</v>
      </c>
      <c r="J50" s="58" t="s">
        <v>410</v>
      </c>
      <c r="K50" s="74" t="s">
        <v>411</v>
      </c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77" t="s">
        <v>412</v>
      </c>
      <c r="X50" s="58" t="s">
        <v>413</v>
      </c>
      <c r="Y50" s="52"/>
      <c r="Z50" s="52"/>
      <c r="AA50" s="52"/>
      <c r="AB50" s="52"/>
      <c r="AC50" s="52"/>
    </row>
    <row r="51" ht="62.100000000000001" customHeight="1">
      <c r="A51" s="73">
        <v>39</v>
      </c>
      <c r="B51" s="75"/>
      <c r="C51" s="75"/>
      <c r="D51" s="75"/>
      <c r="E51" s="58" t="s">
        <v>414</v>
      </c>
      <c r="F51" s="58" t="s">
        <v>203</v>
      </c>
      <c r="G51" s="58" t="s">
        <v>415</v>
      </c>
      <c r="H51" s="58" t="s">
        <v>416</v>
      </c>
      <c r="I51" s="58" t="s">
        <v>417</v>
      </c>
      <c r="J51" s="58" t="s">
        <v>418</v>
      </c>
      <c r="K51" s="74" t="s">
        <v>411</v>
      </c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77" t="s">
        <v>419</v>
      </c>
      <c r="X51" s="58" t="s">
        <v>208</v>
      </c>
      <c r="Y51" s="52"/>
      <c r="Z51" s="52"/>
      <c r="AA51" s="52"/>
      <c r="AB51" s="52"/>
      <c r="AC51" s="52"/>
    </row>
    <row r="52" ht="48.600000000000001" customHeight="1">
      <c r="A52" s="73">
        <v>40</v>
      </c>
      <c r="B52" s="75"/>
      <c r="C52" s="75"/>
      <c r="D52" s="75"/>
      <c r="E52" s="58" t="s">
        <v>420</v>
      </c>
      <c r="F52" s="58" t="s">
        <v>203</v>
      </c>
      <c r="G52" s="58" t="s">
        <v>421</v>
      </c>
      <c r="H52" s="58" t="s">
        <v>422</v>
      </c>
      <c r="I52" s="58" t="s">
        <v>373</v>
      </c>
      <c r="J52" s="58" t="s">
        <v>423</v>
      </c>
      <c r="K52" s="76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77" t="s">
        <v>424</v>
      </c>
      <c r="X52" s="58" t="s">
        <v>208</v>
      </c>
      <c r="Y52" s="52"/>
      <c r="Z52" s="52"/>
      <c r="AA52" s="52"/>
      <c r="AB52" s="52"/>
      <c r="AC52" s="52"/>
    </row>
    <row r="53" ht="62.100000000000001" customHeight="1">
      <c r="A53" s="73">
        <v>41</v>
      </c>
      <c r="B53" s="75"/>
      <c r="C53" s="78"/>
      <c r="D53" s="78"/>
      <c r="E53" s="58" t="s">
        <v>425</v>
      </c>
      <c r="F53" s="58" t="s">
        <v>210</v>
      </c>
      <c r="G53" s="58" t="s">
        <v>426</v>
      </c>
      <c r="H53" s="58" t="s">
        <v>427</v>
      </c>
      <c r="I53" s="58" t="s">
        <v>428</v>
      </c>
      <c r="J53" s="58" t="s">
        <v>429</v>
      </c>
      <c r="K53" s="74" t="s">
        <v>430</v>
      </c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77" t="s">
        <v>431</v>
      </c>
      <c r="X53" s="58" t="s">
        <v>432</v>
      </c>
      <c r="Y53" s="52"/>
      <c r="Z53" s="52"/>
      <c r="AA53" s="52"/>
      <c r="AB53" s="52"/>
      <c r="AC53" s="52"/>
    </row>
    <row r="54" ht="48.600000000000001" customHeight="1">
      <c r="A54" s="73">
        <v>42</v>
      </c>
      <c r="B54" s="75"/>
      <c r="C54" s="58" t="s">
        <v>87</v>
      </c>
      <c r="D54" s="58" t="s">
        <v>433</v>
      </c>
      <c r="E54" s="58" t="s">
        <v>269</v>
      </c>
      <c r="F54" s="58" t="s">
        <v>210</v>
      </c>
      <c r="G54" s="58" t="s">
        <v>434</v>
      </c>
      <c r="H54" s="58" t="s">
        <v>435</v>
      </c>
      <c r="I54" s="58" t="s">
        <v>202</v>
      </c>
      <c r="J54" s="58" t="s">
        <v>436</v>
      </c>
      <c r="K54" s="76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77" t="s">
        <v>437</v>
      </c>
      <c r="X54" s="58" t="s">
        <v>208</v>
      </c>
      <c r="Y54" s="52"/>
      <c r="Z54" s="52"/>
      <c r="AA54" s="52"/>
      <c r="AB54" s="52"/>
      <c r="AC54" s="52"/>
    </row>
    <row r="55" ht="62.100000000000001" customHeight="1">
      <c r="A55" s="73">
        <v>43</v>
      </c>
      <c r="B55" s="75"/>
      <c r="C55" s="75"/>
      <c r="D55" s="75"/>
      <c r="E55" s="58" t="s">
        <v>438</v>
      </c>
      <c r="F55" s="58" t="s">
        <v>210</v>
      </c>
      <c r="G55" s="58" t="s">
        <v>439</v>
      </c>
      <c r="H55" s="58" t="s">
        <v>440</v>
      </c>
      <c r="I55" s="58" t="s">
        <v>373</v>
      </c>
      <c r="J55" s="58" t="s">
        <v>441</v>
      </c>
      <c r="K55" s="76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77" t="s">
        <v>442</v>
      </c>
      <c r="X55" s="58" t="s">
        <v>208</v>
      </c>
      <c r="Y55" s="52"/>
      <c r="Z55" s="52"/>
      <c r="AA55" s="52"/>
      <c r="AB55" s="52"/>
      <c r="AC55" s="52"/>
    </row>
    <row r="56" ht="48.600000000000001" customHeight="1">
      <c r="A56" s="73">
        <v>44</v>
      </c>
      <c r="B56" s="75"/>
      <c r="C56" s="78"/>
      <c r="D56" s="78"/>
      <c r="E56" s="58" t="s">
        <v>443</v>
      </c>
      <c r="F56" s="58" t="s">
        <v>210</v>
      </c>
      <c r="G56" s="58" t="s">
        <v>444</v>
      </c>
      <c r="H56" s="58" t="s">
        <v>445</v>
      </c>
      <c r="I56" s="58" t="s">
        <v>373</v>
      </c>
      <c r="J56" s="58" t="s">
        <v>446</v>
      </c>
      <c r="K56" s="74" t="s">
        <v>447</v>
      </c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 t="s">
        <v>208</v>
      </c>
      <c r="Y56" s="52"/>
      <c r="Z56" s="52"/>
      <c r="AA56" s="52"/>
      <c r="AB56" s="52"/>
      <c r="AC56" s="52"/>
    </row>
    <row r="57" ht="48.600000000000001" customHeight="1">
      <c r="A57" s="73">
        <v>45</v>
      </c>
      <c r="B57" s="75"/>
      <c r="C57" s="58" t="s">
        <v>88</v>
      </c>
      <c r="D57" s="58" t="s">
        <v>448</v>
      </c>
      <c r="E57" s="58" t="s">
        <v>449</v>
      </c>
      <c r="F57" s="58" t="s">
        <v>210</v>
      </c>
      <c r="G57" s="58" t="s">
        <v>450</v>
      </c>
      <c r="H57" s="58" t="s">
        <v>451</v>
      </c>
      <c r="I57" s="58" t="s">
        <v>202</v>
      </c>
      <c r="J57" s="58" t="s">
        <v>452</v>
      </c>
      <c r="K57" s="74" t="s">
        <v>453</v>
      </c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 t="s">
        <v>208</v>
      </c>
      <c r="Y57" s="52"/>
      <c r="Z57" s="52"/>
      <c r="AA57" s="52"/>
      <c r="AB57" s="52"/>
      <c r="AC57" s="52"/>
    </row>
    <row r="58" ht="35.100000000000001" customHeight="1">
      <c r="A58" s="73">
        <v>46</v>
      </c>
      <c r="B58" s="75"/>
      <c r="C58" s="75"/>
      <c r="D58" s="78"/>
      <c r="E58" s="58" t="s">
        <v>454</v>
      </c>
      <c r="F58" s="58" t="s">
        <v>210</v>
      </c>
      <c r="G58" s="58" t="s">
        <v>455</v>
      </c>
      <c r="H58" s="58" t="s">
        <v>456</v>
      </c>
      <c r="I58" s="58" t="s">
        <v>202</v>
      </c>
      <c r="J58" s="58" t="s">
        <v>457</v>
      </c>
      <c r="K58" s="76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77" t="s">
        <v>458</v>
      </c>
      <c r="X58" s="58" t="s">
        <v>208</v>
      </c>
      <c r="Y58" s="52"/>
      <c r="Z58" s="52"/>
      <c r="AA58" s="52"/>
      <c r="AB58" s="52"/>
      <c r="AC58" s="52"/>
    </row>
    <row r="59" ht="48.600000000000001" customHeight="1">
      <c r="A59" s="73">
        <v>47</v>
      </c>
      <c r="B59" s="75"/>
      <c r="C59" s="78"/>
      <c r="D59" s="58" t="s">
        <v>459</v>
      </c>
      <c r="E59" s="58" t="s">
        <v>460</v>
      </c>
      <c r="F59" s="58" t="s">
        <v>203</v>
      </c>
      <c r="G59" s="58" t="s">
        <v>461</v>
      </c>
      <c r="H59" s="58" t="s">
        <v>462</v>
      </c>
      <c r="I59" s="58" t="s">
        <v>202</v>
      </c>
      <c r="J59" s="58" t="s">
        <v>463</v>
      </c>
      <c r="K59" s="76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77" t="s">
        <v>464</v>
      </c>
      <c r="X59" s="58" t="s">
        <v>465</v>
      </c>
      <c r="Y59" s="52"/>
      <c r="Z59" s="52"/>
      <c r="AA59" s="52"/>
      <c r="AB59" s="52"/>
      <c r="AC59" s="52"/>
    </row>
    <row r="60" ht="62.100000000000001" customHeight="1">
      <c r="A60" s="73">
        <v>48</v>
      </c>
      <c r="B60" s="75"/>
      <c r="C60" s="58" t="s">
        <v>89</v>
      </c>
      <c r="D60" s="58" t="s">
        <v>466</v>
      </c>
      <c r="E60" s="58" t="s">
        <v>467</v>
      </c>
      <c r="F60" s="58" t="s">
        <v>203</v>
      </c>
      <c r="G60" s="58" t="s">
        <v>468</v>
      </c>
      <c r="H60" s="58" t="s">
        <v>469</v>
      </c>
      <c r="I60" s="58" t="s">
        <v>202</v>
      </c>
      <c r="J60" s="58" t="s">
        <v>470</v>
      </c>
      <c r="K60" s="74" t="s">
        <v>471</v>
      </c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 t="s">
        <v>222</v>
      </c>
      <c r="Y60" s="52"/>
      <c r="Z60" s="52"/>
      <c r="AA60" s="52"/>
      <c r="AB60" s="52"/>
      <c r="AC60" s="52"/>
    </row>
    <row r="61" ht="62.100000000000001" customHeight="1">
      <c r="A61" s="73">
        <v>49</v>
      </c>
      <c r="B61" s="75"/>
      <c r="C61" s="75"/>
      <c r="D61" s="78"/>
      <c r="E61" s="58" t="s">
        <v>472</v>
      </c>
      <c r="F61" s="58" t="s">
        <v>203</v>
      </c>
      <c r="G61" s="58" t="s">
        <v>473</v>
      </c>
      <c r="H61" s="58" t="s">
        <v>474</v>
      </c>
      <c r="I61" s="58" t="s">
        <v>202</v>
      </c>
      <c r="J61" s="58" t="s">
        <v>475</v>
      </c>
      <c r="K61" s="74" t="s">
        <v>476</v>
      </c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 t="s">
        <v>222</v>
      </c>
      <c r="Y61" s="52"/>
      <c r="Z61" s="52"/>
      <c r="AA61" s="52"/>
      <c r="AB61" s="52"/>
      <c r="AC61" s="52"/>
    </row>
    <row r="62" ht="48.600000000000001" customHeight="1">
      <c r="A62" s="73">
        <v>50</v>
      </c>
      <c r="B62" s="75"/>
      <c r="C62" s="75"/>
      <c r="D62" s="58" t="s">
        <v>477</v>
      </c>
      <c r="E62" s="58" t="s">
        <v>478</v>
      </c>
      <c r="F62" s="58" t="s">
        <v>203</v>
      </c>
      <c r="G62" s="58" t="s">
        <v>479</v>
      </c>
      <c r="H62" s="58" t="s">
        <v>480</v>
      </c>
      <c r="I62" s="58" t="s">
        <v>481</v>
      </c>
      <c r="J62" s="58" t="s">
        <v>482</v>
      </c>
      <c r="K62" s="74" t="s">
        <v>483</v>
      </c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 t="s">
        <v>222</v>
      </c>
      <c r="Y62" s="52"/>
      <c r="Z62" s="52"/>
      <c r="AA62" s="52"/>
      <c r="AB62" s="52"/>
      <c r="AC62" s="52"/>
    </row>
    <row r="63" ht="33.950000000000003" customHeight="1">
      <c r="A63" s="73">
        <v>51</v>
      </c>
      <c r="B63" s="75"/>
      <c r="C63" s="75"/>
      <c r="D63" s="78"/>
      <c r="E63" s="58" t="s">
        <v>484</v>
      </c>
      <c r="F63" s="58" t="s">
        <v>203</v>
      </c>
      <c r="G63" s="58" t="s">
        <v>485</v>
      </c>
      <c r="H63" s="58" t="s">
        <v>486</v>
      </c>
      <c r="I63" s="58" t="s">
        <v>202</v>
      </c>
      <c r="J63" s="58" t="s">
        <v>487</v>
      </c>
      <c r="K63" s="74" t="s">
        <v>488</v>
      </c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 t="s">
        <v>222</v>
      </c>
      <c r="Y63" s="52"/>
      <c r="Z63" s="52"/>
      <c r="AA63" s="52"/>
      <c r="AB63" s="52"/>
      <c r="AC63" s="52"/>
    </row>
    <row r="64" ht="62.100000000000001" customHeight="1">
      <c r="A64" s="73">
        <v>52</v>
      </c>
      <c r="B64" s="78"/>
      <c r="C64" s="78"/>
      <c r="D64" s="58" t="s">
        <v>489</v>
      </c>
      <c r="E64" s="58" t="s">
        <v>490</v>
      </c>
      <c r="F64" s="58" t="s">
        <v>210</v>
      </c>
      <c r="G64" s="58" t="s">
        <v>491</v>
      </c>
      <c r="H64" s="58" t="s">
        <v>492</v>
      </c>
      <c r="I64" s="58" t="s">
        <v>373</v>
      </c>
      <c r="J64" s="58" t="s">
        <v>493</v>
      </c>
      <c r="K64" s="74" t="s">
        <v>494</v>
      </c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77" t="s">
        <v>495</v>
      </c>
      <c r="X64" s="58" t="s">
        <v>496</v>
      </c>
      <c r="Y64" s="52"/>
      <c r="Z64" s="52"/>
      <c r="AA64" s="52"/>
      <c r="AB64" s="52"/>
      <c r="AC64" s="52"/>
    </row>
    <row r="65" ht="61.5" customHeight="1">
      <c r="A65" s="79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61.5" customHeight="1">
      <c r="A66" s="79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61.5" customHeight="1">
      <c r="A67" s="79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61.5" customHeight="1">
      <c r="A68" s="79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61.5" customHeight="1">
      <c r="A69" s="79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84.75" customHeight="1">
      <c r="A70" s="79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74.25" customHeight="1">
      <c r="A71" s="79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45" customHeight="1">
      <c r="A72" s="79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45" customHeight="1">
      <c r="A73" s="79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50.25" customHeight="1">
      <c r="A74" s="79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45" customHeight="1">
      <c r="A75" s="79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45" customHeight="1">
      <c r="A76" s="79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61.5" customHeight="1">
      <c r="A77" s="79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64.5" customHeight="1">
      <c r="A78" s="79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94.5" customHeight="1">
      <c r="A79" s="79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65.25" customHeight="1">
      <c r="A80" s="79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65.25" customHeight="1">
      <c r="A81" s="79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65.25" customHeight="1">
      <c r="A82" s="79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65.25" customHeight="1">
      <c r="A83" s="79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65.25" customHeight="1">
      <c r="A84" s="79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65.25" customHeight="1">
      <c r="A85" s="79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65.25" customHeight="1">
      <c r="A86" s="79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84.75" customHeight="1">
      <c r="A87" s="79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65.25" customHeight="1">
      <c r="A88" s="79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65.25" customHeight="1">
      <c r="A89" s="79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65.25" customHeight="1">
      <c r="A90" s="79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65.25" customHeight="1">
      <c r="A91" s="79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65.25" customHeight="1">
      <c r="A92" s="79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90.75" customHeight="1">
      <c r="A93" s="79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65.25" customHeight="1">
      <c r="A94" s="79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65.25" customHeight="1">
      <c r="A95" s="79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65.25" customHeight="1">
      <c r="A96" s="79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65.25" customHeight="1">
      <c r="A97" s="79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45" customHeight="1">
      <c r="A98" s="79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45" customHeight="1">
      <c r="A99" s="79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45" customHeight="1">
      <c r="A100" s="79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45" customHeight="1">
      <c r="A101" s="79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45" customHeight="1">
      <c r="A102" s="79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45" customHeight="1">
      <c r="A103" s="79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45" customHeight="1">
      <c r="A104" s="79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45" customHeight="1">
      <c r="A105" s="79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35.25" customHeight="1">
      <c r="A106" s="79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35.25" customHeight="1">
      <c r="A107" s="79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35.25" customHeight="1">
      <c r="A108" s="79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35.25" customHeight="1">
      <c r="A109" s="79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5.75" customHeight="1">
      <c r="A110" s="79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5.75" customHeight="1">
      <c r="A111" s="79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5.75" customHeight="1">
      <c r="A112" s="79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5.75" customHeight="1">
      <c r="A113" s="79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5.75" customHeight="1">
      <c r="A114" s="79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5.75" customHeight="1">
      <c r="A115" s="79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5.75" customHeight="1">
      <c r="A116" s="79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5.75" customHeight="1">
      <c r="A117" s="79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5.75" customHeight="1">
      <c r="F118" s="1"/>
      <c r="G118" s="1"/>
    </row>
    <row r="119" ht="15.75" customHeight="1">
      <c r="F119" s="1"/>
      <c r="G119" s="1"/>
    </row>
    <row r="120" ht="15.75" customHeight="1">
      <c r="F120" s="1"/>
      <c r="G120" s="1"/>
    </row>
    <row r="121" ht="15.75" customHeight="1">
      <c r="F121" s="1"/>
      <c r="G121" s="1"/>
    </row>
    <row r="122" ht="15.75" customHeight="1">
      <c r="F122" s="1"/>
      <c r="G122" s="1"/>
    </row>
    <row r="123" ht="15.75" customHeight="1">
      <c r="F123" s="1"/>
      <c r="G123" s="1"/>
    </row>
    <row r="124" ht="15.75" customHeight="1">
      <c r="F124" s="1"/>
      <c r="G124" s="1"/>
    </row>
    <row r="125" ht="15.75" customHeight="1">
      <c r="F125" s="1"/>
      <c r="G125" s="1"/>
    </row>
    <row r="126" ht="15.75" customHeight="1">
      <c r="F126" s="1"/>
      <c r="G126" s="1"/>
    </row>
    <row r="127" ht="15.75" customHeight="1">
      <c r="F127" s="1"/>
      <c r="G127" s="1"/>
    </row>
    <row r="128" ht="15.75" customHeight="1">
      <c r="F128" s="1"/>
      <c r="G128" s="1"/>
    </row>
    <row r="129" ht="15.75" customHeight="1">
      <c r="F129" s="1"/>
      <c r="G129" s="1"/>
    </row>
    <row r="130" ht="15.75" customHeight="1">
      <c r="F130" s="1"/>
      <c r="G130" s="1"/>
    </row>
    <row r="131" ht="15.75" customHeight="1">
      <c r="F131" s="1"/>
      <c r="G131" s="1"/>
    </row>
    <row r="132" ht="15.75" customHeight="1">
      <c r="F132" s="1"/>
      <c r="G132" s="1"/>
    </row>
    <row r="133" ht="15.75" customHeight="1">
      <c r="F133" s="1"/>
      <c r="G133" s="1"/>
    </row>
    <row r="134" ht="15.75" customHeight="1">
      <c r="F134" s="1"/>
      <c r="G134" s="1"/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55">
    <mergeCell ref="X11:X12"/>
    <mergeCell ref="I11:I12"/>
    <mergeCell ref="G11:G12"/>
    <mergeCell ref="D40:D41"/>
    <mergeCell ref="W11:W12"/>
    <mergeCell ref="C54:C56"/>
    <mergeCell ref="D26:D30"/>
    <mergeCell ref="C44:C53"/>
    <mergeCell ref="T11:T12"/>
    <mergeCell ref="O11:O12"/>
    <mergeCell ref="Q11:Q12"/>
    <mergeCell ref="C33:C39"/>
    <mergeCell ref="D17:D19"/>
    <mergeCell ref="D42:D43"/>
    <mergeCell ref="F11:F12"/>
    <mergeCell ref="L11:L12"/>
    <mergeCell ref="C24:C32"/>
    <mergeCell ref="N11:N12"/>
    <mergeCell ref="D38:D39"/>
    <mergeCell ref="D13:D15"/>
    <mergeCell ref="K2:S2"/>
    <mergeCell ref="K11:K12"/>
    <mergeCell ref="D57:D58"/>
    <mergeCell ref="D48:D53"/>
    <mergeCell ref="C16:C19"/>
    <mergeCell ref="L4:L5"/>
    <mergeCell ref="M10:Q10"/>
    <mergeCell ref="C40:C43"/>
    <mergeCell ref="D24:D25"/>
    <mergeCell ref="K4:K5"/>
    <mergeCell ref="L6:L7"/>
    <mergeCell ref="D20:D23"/>
    <mergeCell ref="D31:D32"/>
    <mergeCell ref="K6:K7"/>
    <mergeCell ref="R11:R12"/>
    <mergeCell ref="C60:C64"/>
    <mergeCell ref="R10:V10"/>
    <mergeCell ref="D33:D35"/>
    <mergeCell ref="D36:D37"/>
    <mergeCell ref="H11:H12"/>
    <mergeCell ref="J11:J12"/>
    <mergeCell ref="P11:P12"/>
    <mergeCell ref="C13:C15"/>
    <mergeCell ref="D54:D56"/>
    <mergeCell ref="V11:V12"/>
    <mergeCell ref="D62:D63"/>
    <mergeCell ref="D60:D61"/>
    <mergeCell ref="S11:S12"/>
    <mergeCell ref="B11:D11"/>
    <mergeCell ref="D44:D47"/>
    <mergeCell ref="U11:U12"/>
    <mergeCell ref="C57:C59"/>
    <mergeCell ref="C20:C23"/>
    <mergeCell ref="M11:M12"/>
    <mergeCell ref="B13:B64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A376CD66-5060-4CEC-8F4C-804798974579}" type="list" allowBlank="1" errorStyle="stop" imeMode="noControl" operator="between" showDropDown="0" showErrorMessage="0" showInputMessage="0">
          <x14:formula1>
            <xm:f>"High,Medium,Low,Critical"</xm:f>
          </x14:formula1>
          <xm:sqref>F13:F109</xm:sqref>
        </x14:dataValidation>
        <x14:dataValidation xr:uid="{939FD9F3-B4E9-4F29-8B8D-290DE1929A0E}" type="list" allowBlank="1" errorStyle="stop" imeMode="noControl" operator="between" showDropDown="0" showErrorMessage="0" showInputMessage="0">
          <x14:formula1>
            <xm:f>"Passed,Failed,Pending,Blocked,NA,Not execute"</xm:f>
          </x14:formula1>
          <xm:sqref>M13:M109 R13:R109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59" zoomScale="100" workbookViewId="0">
      <selection activeCell="A13" activeCellId="0" sqref="A13"/>
    </sheetView>
  </sheetViews>
  <sheetFormatPr defaultColWidth="12.5703125" defaultRowHeight="15" customHeight="1"/>
  <cols>
    <col customWidth="1" min="1" max="1" style="50" width="4.140625"/>
    <col customWidth="1" min="2" max="3" style="49" width="22.85546875"/>
    <col customWidth="1" min="4" max="4" style="49" width="14.42578125"/>
    <col customWidth="1" min="5" max="5" style="49" width="21.7109375"/>
    <col customWidth="1" min="6" max="6" style="49" width="9.5703125"/>
    <col customWidth="1" min="7" max="7" style="49" width="9.42578125"/>
    <col customWidth="1" min="8" max="8" style="49" width="31.85546875"/>
    <col customWidth="1" min="9" max="9" style="49" width="21.5703125"/>
    <col customWidth="1" min="10" max="10" style="49" width="46.42578125"/>
    <col customWidth="1" min="11" max="11" style="49" width="34.42578125"/>
    <col customWidth="1" min="12" max="12" style="49" width="10.28515625"/>
    <col customWidth="1" min="13" max="16" style="49" width="9.5703125"/>
    <col customWidth="1" min="17" max="17" style="49" width="13.42578125"/>
    <col customWidth="1" min="18" max="18" style="49" width="10.5703125"/>
    <col customWidth="1" min="19" max="19" style="49" width="9.5703125"/>
    <col customWidth="1" min="20" max="20" style="49" width="11.7109375"/>
    <col customWidth="1" min="21" max="21" style="49" width="9.5703125"/>
    <col bestFit="1" customWidth="1" min="22" max="22" style="49" width="7.42578125"/>
    <col customWidth="1" min="23" max="23" style="49" width="34"/>
    <col customWidth="1" min="24" max="24" style="49" width="22.7109375"/>
    <col customWidth="1" min="25" max="29" style="49" width="34"/>
    <col customWidth="1" min="30" max="30" style="49" width="12.5703125"/>
    <col min="31" max="16384" style="49" width="12.5703125"/>
  </cols>
  <sheetData>
    <row r="1" ht="15.75" customHeight="1">
      <c r="A1" s="51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3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</row>
    <row r="2" ht="15.75" customHeight="1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49"/>
      <c r="M2" s="49"/>
      <c r="N2" s="49"/>
      <c r="O2" s="49"/>
      <c r="P2" s="49"/>
      <c r="Q2" s="49"/>
      <c r="R2" s="49"/>
      <c r="S2" s="49"/>
      <c r="T2" s="52"/>
      <c r="U2" s="52"/>
      <c r="V2" s="52"/>
      <c r="W2" s="52"/>
      <c r="X2" s="52"/>
      <c r="Y2" s="52"/>
      <c r="Z2" s="52"/>
      <c r="AA2" s="52"/>
      <c r="AB2" s="52"/>
      <c r="AC2" s="52"/>
    </row>
    <row r="3" ht="15.75" customHeight="1">
      <c r="A3" s="51"/>
      <c r="B3" s="54" t="s">
        <v>171</v>
      </c>
      <c r="C3" s="55" t="s">
        <v>497</v>
      </c>
      <c r="D3" s="56"/>
      <c r="E3" s="52"/>
      <c r="F3" s="52"/>
      <c r="G3" s="52"/>
      <c r="H3" s="52"/>
      <c r="I3" s="52"/>
      <c r="J3" s="52"/>
      <c r="K3" s="54" t="s">
        <v>173</v>
      </c>
      <c r="L3" s="40" t="s">
        <v>71</v>
      </c>
      <c r="M3" s="40" t="s">
        <v>72</v>
      </c>
      <c r="N3" s="40" t="s">
        <v>73</v>
      </c>
      <c r="O3" s="40" t="s">
        <v>74</v>
      </c>
      <c r="P3" s="57" t="s">
        <v>75</v>
      </c>
      <c r="Q3" s="40" t="s">
        <v>76</v>
      </c>
      <c r="R3" s="40" t="s">
        <v>77</v>
      </c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</row>
    <row r="4" ht="15.75" customHeight="1">
      <c r="A4" s="51"/>
      <c r="B4" s="54" t="s">
        <v>174</v>
      </c>
      <c r="C4" s="58" t="s">
        <v>498</v>
      </c>
      <c r="D4" s="59"/>
      <c r="E4" s="52"/>
      <c r="F4" s="52"/>
      <c r="G4" s="52"/>
      <c r="H4" s="52"/>
      <c r="I4" s="52"/>
      <c r="J4" s="52"/>
      <c r="K4" s="54" t="s">
        <v>176</v>
      </c>
      <c r="L4" s="60">
        <f>COUNTA($G$13:$G$148)</f>
        <v>136</v>
      </c>
      <c r="M4" s="61">
        <f>COUNTIF($M$13:$M$148,M3)</f>
        <v>0</v>
      </c>
      <c r="N4" s="61">
        <f>COUNTIF($M$13:$M$148,N3)</f>
        <v>0</v>
      </c>
      <c r="O4" s="61">
        <f>COUNTIF($M$13:$M$148,O3)</f>
        <v>0</v>
      </c>
      <c r="P4" s="62">
        <f>COUNTIF($M$13:$M$148,P3)</f>
        <v>0</v>
      </c>
      <c r="Q4" s="61">
        <f>COUNTIF($M$13:$M$148,Q3)</f>
        <v>0</v>
      </c>
      <c r="R4" s="61">
        <f>L4-SUM(M4:Q4)</f>
        <v>136</v>
      </c>
      <c r="S4" s="63"/>
      <c r="T4" s="52"/>
      <c r="U4" s="52"/>
      <c r="V4" s="52"/>
      <c r="W4" s="52"/>
      <c r="X4" s="52"/>
      <c r="Y4" s="52"/>
      <c r="Z4" s="52"/>
      <c r="AA4" s="52"/>
      <c r="AB4" s="52"/>
      <c r="AC4" s="52"/>
    </row>
    <row r="5" ht="15.75" customHeight="1">
      <c r="A5" s="51"/>
      <c r="B5" s="54" t="s">
        <v>3</v>
      </c>
      <c r="C5" s="55" t="s">
        <v>177</v>
      </c>
      <c r="D5" s="59"/>
      <c r="E5" s="52"/>
      <c r="F5" s="52"/>
      <c r="G5" s="52"/>
      <c r="H5" s="52"/>
      <c r="I5" s="52"/>
      <c r="J5" s="52"/>
      <c r="K5" s="12"/>
      <c r="L5" s="12"/>
      <c r="M5" s="64">
        <f t="shared" ref="M5:R5" si="20">M4/$L$4</f>
        <v>0</v>
      </c>
      <c r="N5" s="64">
        <f t="shared" si="20"/>
        <v>0</v>
      </c>
      <c r="O5" s="64">
        <f t="shared" si="20"/>
        <v>0</v>
      </c>
      <c r="P5" s="65">
        <f t="shared" si="20"/>
        <v>0</v>
      </c>
      <c r="Q5" s="64">
        <f t="shared" si="20"/>
        <v>0</v>
      </c>
      <c r="R5" s="64">
        <f t="shared" si="20"/>
        <v>1</v>
      </c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</row>
    <row r="6" ht="15.75" customHeight="1">
      <c r="A6" s="51"/>
      <c r="B6" s="54" t="s">
        <v>178</v>
      </c>
      <c r="C6" s="55" t="s">
        <v>18</v>
      </c>
      <c r="D6" s="59"/>
      <c r="E6" s="52"/>
      <c r="F6" s="52"/>
      <c r="G6" s="52"/>
      <c r="H6" s="52"/>
      <c r="I6" s="52"/>
      <c r="J6" s="52"/>
      <c r="K6" s="54" t="s">
        <v>179</v>
      </c>
      <c r="L6" s="60">
        <f>COUNTA($G$13:$G$148)</f>
        <v>136</v>
      </c>
      <c r="M6" s="61">
        <f>COUNTIF($R$13:$R$148,M3)</f>
        <v>0</v>
      </c>
      <c r="N6" s="61">
        <f>COUNTIF($R$13:$R$148,N3)</f>
        <v>0</v>
      </c>
      <c r="O6" s="61">
        <f>COUNTIF($R$13:$R$148,O3)</f>
        <v>0</v>
      </c>
      <c r="P6" s="62">
        <f>COUNTIF($R$13:$R$148,P3)</f>
        <v>0</v>
      </c>
      <c r="Q6" s="61">
        <f>COUNTIF($R$13:$R$148,Q3)</f>
        <v>0</v>
      </c>
      <c r="R6" s="61">
        <f>L6-SUM(M6:Q6)</f>
        <v>136</v>
      </c>
      <c r="S6" s="63"/>
      <c r="T6" s="52"/>
      <c r="U6" s="52"/>
      <c r="V6" s="52"/>
      <c r="W6" s="52"/>
      <c r="X6" s="52"/>
      <c r="Y6" s="52"/>
      <c r="Z6" s="52"/>
      <c r="AA6" s="52"/>
      <c r="AB6" s="52"/>
      <c r="AC6" s="52"/>
    </row>
    <row r="7" ht="36" customHeight="1">
      <c r="A7" s="51"/>
      <c r="B7" s="54" t="s">
        <v>17</v>
      </c>
      <c r="C7" s="55" t="s">
        <v>499</v>
      </c>
      <c r="D7" s="68"/>
      <c r="E7" s="52"/>
      <c r="F7" s="52"/>
      <c r="G7" s="52"/>
      <c r="H7" s="52"/>
      <c r="I7" s="52"/>
      <c r="J7" s="52"/>
      <c r="K7" s="12"/>
      <c r="L7" s="12"/>
      <c r="M7" s="64">
        <f t="shared" ref="M7:R7" si="21">M6/$L$6</f>
        <v>0</v>
      </c>
      <c r="N7" s="64">
        <f t="shared" si="21"/>
        <v>0</v>
      </c>
      <c r="O7" s="64">
        <f t="shared" si="21"/>
        <v>0</v>
      </c>
      <c r="P7" s="65">
        <f t="shared" si="21"/>
        <v>0</v>
      </c>
      <c r="Q7" s="64">
        <f t="shared" si="21"/>
        <v>0</v>
      </c>
      <c r="R7" s="64">
        <f t="shared" si="21"/>
        <v>1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</row>
    <row r="8" ht="15.75" customHeight="1">
      <c r="A8" s="51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3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</row>
    <row r="9" ht="15.75" customHeight="1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3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</row>
    <row r="10" ht="15.75" customHeight="1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4" t="s">
        <v>176</v>
      </c>
      <c r="N10" s="4"/>
      <c r="O10" s="4"/>
      <c r="P10" s="4"/>
      <c r="Q10" s="5"/>
      <c r="R10" s="54" t="s">
        <v>179</v>
      </c>
      <c r="S10" s="4"/>
      <c r="T10" s="4"/>
      <c r="U10" s="4"/>
      <c r="V10" s="5"/>
      <c r="W10" s="52"/>
      <c r="X10" s="52"/>
      <c r="Y10" s="52"/>
      <c r="Z10" s="52"/>
      <c r="AA10" s="52"/>
      <c r="AB10" s="52"/>
      <c r="AC10" s="52"/>
    </row>
    <row r="11" ht="15.75" customHeight="1">
      <c r="A11" s="69"/>
      <c r="B11" s="40" t="s">
        <v>181</v>
      </c>
      <c r="C11" s="4"/>
      <c r="D11" s="5"/>
      <c r="E11" s="40"/>
      <c r="F11" s="70" t="s">
        <v>182</v>
      </c>
      <c r="G11" s="70" t="s">
        <v>183</v>
      </c>
      <c r="H11" s="70" t="s">
        <v>184</v>
      </c>
      <c r="I11" s="70" t="s">
        <v>185</v>
      </c>
      <c r="J11" s="70" t="s">
        <v>186</v>
      </c>
      <c r="K11" s="70" t="s">
        <v>187</v>
      </c>
      <c r="L11" s="70" t="s">
        <v>188</v>
      </c>
      <c r="M11" s="70" t="s">
        <v>189</v>
      </c>
      <c r="N11" s="70" t="s">
        <v>190</v>
      </c>
      <c r="O11" s="70" t="s">
        <v>191</v>
      </c>
      <c r="P11" s="71" t="s">
        <v>192</v>
      </c>
      <c r="Q11" s="70" t="s">
        <v>193</v>
      </c>
      <c r="R11" s="72" t="s">
        <v>189</v>
      </c>
      <c r="S11" s="72" t="s">
        <v>190</v>
      </c>
      <c r="T11" s="72" t="s">
        <v>191</v>
      </c>
      <c r="U11" s="72" t="s">
        <v>192</v>
      </c>
      <c r="V11" s="72" t="s">
        <v>193</v>
      </c>
      <c r="W11" s="70" t="s">
        <v>194</v>
      </c>
      <c r="X11" s="70" t="s">
        <v>195</v>
      </c>
      <c r="Y11" s="52"/>
      <c r="Z11" s="52"/>
      <c r="AA11" s="52"/>
      <c r="AB11" s="52"/>
      <c r="AC11" s="52"/>
    </row>
    <row r="12" ht="15.75" customHeight="1">
      <c r="A12" s="69" t="s">
        <v>196</v>
      </c>
      <c r="B12" s="70" t="s">
        <v>197</v>
      </c>
      <c r="C12" s="70" t="s">
        <v>198</v>
      </c>
      <c r="D12" s="70" t="s">
        <v>199</v>
      </c>
      <c r="E12" s="70" t="s">
        <v>200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52"/>
      <c r="Z12" s="52"/>
      <c r="AA12" s="52"/>
      <c r="AB12" s="52"/>
      <c r="AC12" s="52"/>
    </row>
    <row r="13" ht="48.600000000000001" customHeight="1">
      <c r="A13" s="73">
        <v>1</v>
      </c>
      <c r="B13" s="58" t="s">
        <v>80</v>
      </c>
      <c r="C13" s="58" t="s">
        <v>90</v>
      </c>
      <c r="D13" s="58" t="s">
        <v>500</v>
      </c>
      <c r="E13" s="58" t="s">
        <v>501</v>
      </c>
      <c r="F13" s="58" t="s">
        <v>203</v>
      </c>
      <c r="G13" s="58" t="s">
        <v>502</v>
      </c>
      <c r="H13" s="58" t="s">
        <v>503</v>
      </c>
      <c r="I13" s="58" t="s">
        <v>504</v>
      </c>
      <c r="J13" s="58" t="s">
        <v>505</v>
      </c>
      <c r="K13" s="74" t="s">
        <v>506</v>
      </c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 t="s">
        <v>507</v>
      </c>
      <c r="Y13" s="52"/>
      <c r="Z13" s="52"/>
      <c r="AA13" s="52"/>
      <c r="AB13" s="52"/>
      <c r="AC13" s="52"/>
    </row>
    <row r="14" ht="35.100000000000001" customHeight="1">
      <c r="A14" s="73">
        <v>2</v>
      </c>
      <c r="B14" s="75"/>
      <c r="C14" s="78"/>
      <c r="D14" s="58" t="s">
        <v>508</v>
      </c>
      <c r="E14" s="58" t="s">
        <v>209</v>
      </c>
      <c r="F14" s="58" t="s">
        <v>210</v>
      </c>
      <c r="G14" s="58" t="s">
        <v>509</v>
      </c>
      <c r="H14" s="58" t="s">
        <v>510</v>
      </c>
      <c r="I14" s="58" t="s">
        <v>504</v>
      </c>
      <c r="J14" s="58" t="s">
        <v>511</v>
      </c>
      <c r="K14" s="74" t="s">
        <v>512</v>
      </c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 t="s">
        <v>507</v>
      </c>
      <c r="Y14" s="52"/>
      <c r="Z14" s="52"/>
      <c r="AA14" s="52"/>
      <c r="AB14" s="52"/>
      <c r="AC14" s="52"/>
    </row>
    <row r="15" ht="48.600000000000001" customHeight="1">
      <c r="A15" s="73">
        <v>3</v>
      </c>
      <c r="B15" s="75"/>
      <c r="C15" s="58" t="s">
        <v>91</v>
      </c>
      <c r="D15" s="58" t="s">
        <v>513</v>
      </c>
      <c r="E15" s="58" t="s">
        <v>514</v>
      </c>
      <c r="F15" s="58" t="s">
        <v>203</v>
      </c>
      <c r="G15" s="58" t="s">
        <v>515</v>
      </c>
      <c r="H15" s="58" t="s">
        <v>516</v>
      </c>
      <c r="I15" s="58" t="s">
        <v>504</v>
      </c>
      <c r="J15" s="58" t="s">
        <v>517</v>
      </c>
      <c r="K15" s="74" t="s">
        <v>518</v>
      </c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 t="s">
        <v>519</v>
      </c>
      <c r="Y15" s="52"/>
      <c r="Z15" s="52"/>
      <c r="AA15" s="52"/>
      <c r="AB15" s="52"/>
      <c r="AC15" s="52"/>
    </row>
    <row r="16" ht="35.100000000000001" customHeight="1">
      <c r="A16" s="73">
        <v>4</v>
      </c>
      <c r="B16" s="75"/>
      <c r="C16" s="75"/>
      <c r="D16" s="58" t="s">
        <v>508</v>
      </c>
      <c r="E16" s="58" t="s">
        <v>520</v>
      </c>
      <c r="F16" s="58" t="s">
        <v>210</v>
      </c>
      <c r="G16" s="58" t="s">
        <v>521</v>
      </c>
      <c r="H16" s="58" t="s">
        <v>522</v>
      </c>
      <c r="I16" s="58" t="s">
        <v>504</v>
      </c>
      <c r="J16" s="58" t="s">
        <v>523</v>
      </c>
      <c r="K16" s="74" t="s">
        <v>524</v>
      </c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 t="s">
        <v>519</v>
      </c>
      <c r="Y16" s="52"/>
      <c r="Z16" s="52"/>
      <c r="AA16" s="52"/>
      <c r="AB16" s="52"/>
      <c r="AC16" s="52"/>
    </row>
    <row r="17" ht="62.100000000000001" customHeight="1">
      <c r="A17" s="73">
        <v>5</v>
      </c>
      <c r="B17" s="78"/>
      <c r="C17" s="78"/>
      <c r="D17" s="78"/>
      <c r="E17" s="58" t="s">
        <v>525</v>
      </c>
      <c r="F17" s="58" t="s">
        <v>210</v>
      </c>
      <c r="G17" s="58" t="s">
        <v>526</v>
      </c>
      <c r="H17" s="58" t="s">
        <v>527</v>
      </c>
      <c r="I17" s="58" t="s">
        <v>504</v>
      </c>
      <c r="J17" s="58" t="s">
        <v>528</v>
      </c>
      <c r="K17" s="74" t="s">
        <v>529</v>
      </c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77" t="s">
        <v>530</v>
      </c>
      <c r="X17" s="58" t="s">
        <v>519</v>
      </c>
      <c r="Y17" s="52"/>
      <c r="Z17" s="52"/>
      <c r="AA17" s="52"/>
      <c r="AB17" s="52"/>
      <c r="AC17" s="52"/>
    </row>
    <row r="18" ht="75.599999999999994" customHeight="1">
      <c r="A18" s="73">
        <v>6</v>
      </c>
      <c r="B18" s="58" t="s">
        <v>92</v>
      </c>
      <c r="C18" s="58" t="s">
        <v>93</v>
      </c>
      <c r="D18" s="58" t="s">
        <v>268</v>
      </c>
      <c r="E18" s="58" t="s">
        <v>531</v>
      </c>
      <c r="F18" s="58" t="s">
        <v>210</v>
      </c>
      <c r="G18" s="58" t="s">
        <v>532</v>
      </c>
      <c r="H18" s="58" t="s">
        <v>533</v>
      </c>
      <c r="I18" s="58" t="s">
        <v>504</v>
      </c>
      <c r="J18" s="58" t="s">
        <v>534</v>
      </c>
      <c r="K18" s="74" t="s">
        <v>535</v>
      </c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77" t="s">
        <v>536</v>
      </c>
      <c r="X18" s="58" t="s">
        <v>507</v>
      </c>
      <c r="Y18" s="52"/>
      <c r="Z18" s="52"/>
      <c r="AA18" s="52"/>
      <c r="AB18" s="52"/>
      <c r="AC18" s="52"/>
    </row>
    <row r="19" ht="116.09999999999999" customHeight="1">
      <c r="A19" s="73">
        <v>7</v>
      </c>
      <c r="B19" s="75"/>
      <c r="C19" s="58" t="s">
        <v>94</v>
      </c>
      <c r="D19" s="58" t="s">
        <v>537</v>
      </c>
      <c r="E19" s="58" t="s">
        <v>538</v>
      </c>
      <c r="F19" s="58" t="s">
        <v>210</v>
      </c>
      <c r="G19" s="58" t="s">
        <v>539</v>
      </c>
      <c r="H19" s="58" t="s">
        <v>540</v>
      </c>
      <c r="I19" s="58" t="s">
        <v>541</v>
      </c>
      <c r="J19" s="58" t="s">
        <v>542</v>
      </c>
      <c r="K19" s="74" t="s">
        <v>543</v>
      </c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77" t="s">
        <v>544</v>
      </c>
      <c r="X19" s="58" t="s">
        <v>507</v>
      </c>
      <c r="Y19" s="52"/>
      <c r="Z19" s="52"/>
      <c r="AA19" s="52"/>
      <c r="AB19" s="52"/>
      <c r="AC19" s="52"/>
    </row>
    <row r="20" ht="35.100000000000001" customHeight="1">
      <c r="A20" s="73">
        <v>8</v>
      </c>
      <c r="B20" s="75"/>
      <c r="C20" s="58" t="s">
        <v>95</v>
      </c>
      <c r="D20" s="58" t="s">
        <v>268</v>
      </c>
      <c r="E20" s="58" t="s">
        <v>545</v>
      </c>
      <c r="F20" s="58" t="s">
        <v>203</v>
      </c>
      <c r="G20" s="58" t="s">
        <v>546</v>
      </c>
      <c r="H20" s="58" t="s">
        <v>547</v>
      </c>
      <c r="I20" s="58" t="s">
        <v>504</v>
      </c>
      <c r="J20" s="58" t="s">
        <v>548</v>
      </c>
      <c r="K20" s="74" t="s">
        <v>549</v>
      </c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77" t="s">
        <v>550</v>
      </c>
      <c r="X20" s="58" t="s">
        <v>551</v>
      </c>
      <c r="Y20" s="52"/>
      <c r="Z20" s="52"/>
      <c r="AA20" s="52"/>
      <c r="AB20" s="52"/>
      <c r="AC20" s="52"/>
    </row>
    <row r="21" ht="48.600000000000001" customHeight="1">
      <c r="A21" s="73">
        <v>9</v>
      </c>
      <c r="B21" s="75"/>
      <c r="C21" s="75"/>
      <c r="D21" s="58" t="s">
        <v>552</v>
      </c>
      <c r="E21" s="58" t="s">
        <v>553</v>
      </c>
      <c r="F21" s="58" t="s">
        <v>203</v>
      </c>
      <c r="G21" s="58" t="s">
        <v>554</v>
      </c>
      <c r="H21" s="58" t="s">
        <v>555</v>
      </c>
      <c r="I21" s="58" t="s">
        <v>504</v>
      </c>
      <c r="J21" s="58" t="s">
        <v>556</v>
      </c>
      <c r="K21" s="74" t="s">
        <v>557</v>
      </c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 t="s">
        <v>551</v>
      </c>
      <c r="Y21" s="52"/>
      <c r="Z21" s="52"/>
      <c r="AA21" s="52"/>
      <c r="AB21" s="52"/>
      <c r="AC21" s="52"/>
    </row>
    <row r="22" ht="197.09999999999999" customHeight="1">
      <c r="A22" s="73">
        <v>10</v>
      </c>
      <c r="B22" s="75"/>
      <c r="C22" s="75"/>
      <c r="D22" s="78"/>
      <c r="E22" s="58" t="s">
        <v>558</v>
      </c>
      <c r="F22" s="58" t="s">
        <v>203</v>
      </c>
      <c r="G22" s="58" t="s">
        <v>559</v>
      </c>
      <c r="H22" s="58" t="s">
        <v>560</v>
      </c>
      <c r="I22" s="58" t="s">
        <v>504</v>
      </c>
      <c r="J22" s="58" t="s">
        <v>561</v>
      </c>
      <c r="K22" s="74" t="s">
        <v>562</v>
      </c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 t="s">
        <v>551</v>
      </c>
      <c r="Y22" s="52"/>
      <c r="Z22" s="52"/>
      <c r="AA22" s="52"/>
      <c r="AB22" s="52"/>
      <c r="AC22" s="52"/>
    </row>
    <row r="23" ht="75.599999999999994" customHeight="1">
      <c r="A23" s="73">
        <v>11</v>
      </c>
      <c r="B23" s="75"/>
      <c r="C23" s="75"/>
      <c r="D23" s="58" t="s">
        <v>563</v>
      </c>
      <c r="E23" s="58" t="s">
        <v>564</v>
      </c>
      <c r="F23" s="58" t="s">
        <v>203</v>
      </c>
      <c r="G23" s="58" t="s">
        <v>565</v>
      </c>
      <c r="H23" s="58" t="s">
        <v>566</v>
      </c>
      <c r="I23" s="58" t="s">
        <v>504</v>
      </c>
      <c r="J23" s="58" t="s">
        <v>567</v>
      </c>
      <c r="K23" s="74" t="s">
        <v>568</v>
      </c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77" t="s">
        <v>569</v>
      </c>
      <c r="X23" s="58" t="s">
        <v>551</v>
      </c>
      <c r="Y23" s="52"/>
      <c r="Z23" s="52"/>
      <c r="AA23" s="52"/>
      <c r="AB23" s="52"/>
      <c r="AC23" s="52"/>
    </row>
    <row r="24" ht="75.599999999999994" customHeight="1">
      <c r="A24" s="73">
        <v>12</v>
      </c>
      <c r="B24" s="75"/>
      <c r="C24" s="75"/>
      <c r="D24" s="78"/>
      <c r="E24" s="58" t="s">
        <v>570</v>
      </c>
      <c r="F24" s="58" t="s">
        <v>210</v>
      </c>
      <c r="G24" s="58" t="s">
        <v>571</v>
      </c>
      <c r="H24" s="58" t="s">
        <v>572</v>
      </c>
      <c r="I24" s="58" t="s">
        <v>504</v>
      </c>
      <c r="J24" s="58" t="s">
        <v>573</v>
      </c>
      <c r="K24" s="74" t="s">
        <v>574</v>
      </c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77" t="s">
        <v>575</v>
      </c>
      <c r="X24" s="58" t="s">
        <v>551</v>
      </c>
      <c r="Y24" s="52"/>
      <c r="Z24" s="52"/>
      <c r="AA24" s="52"/>
      <c r="AB24" s="52"/>
      <c r="AC24" s="52"/>
    </row>
    <row r="25" ht="48.600000000000001" customHeight="1">
      <c r="A25" s="73">
        <v>13</v>
      </c>
      <c r="B25" s="75"/>
      <c r="C25" s="75"/>
      <c r="D25" s="58" t="s">
        <v>576</v>
      </c>
      <c r="E25" s="58" t="s">
        <v>577</v>
      </c>
      <c r="F25" s="58" t="s">
        <v>210</v>
      </c>
      <c r="G25" s="58" t="s">
        <v>578</v>
      </c>
      <c r="H25" s="58" t="s">
        <v>579</v>
      </c>
      <c r="I25" s="58" t="s">
        <v>504</v>
      </c>
      <c r="J25" s="58" t="s">
        <v>580</v>
      </c>
      <c r="K25" s="74" t="s">
        <v>581</v>
      </c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 t="s">
        <v>551</v>
      </c>
      <c r="Y25" s="52"/>
      <c r="Z25" s="52"/>
      <c r="AA25" s="52"/>
      <c r="AB25" s="52"/>
      <c r="AC25" s="52"/>
    </row>
    <row r="26" ht="75.599999999999994" customHeight="1">
      <c r="A26" s="73">
        <v>14</v>
      </c>
      <c r="B26" s="75"/>
      <c r="C26" s="75"/>
      <c r="D26" s="78"/>
      <c r="E26" s="58" t="s">
        <v>582</v>
      </c>
      <c r="F26" s="58" t="s">
        <v>210</v>
      </c>
      <c r="G26" s="58" t="s">
        <v>583</v>
      </c>
      <c r="H26" s="58" t="s">
        <v>584</v>
      </c>
      <c r="I26" s="58" t="s">
        <v>504</v>
      </c>
      <c r="J26" s="58" t="s">
        <v>585</v>
      </c>
      <c r="K26" s="74" t="s">
        <v>586</v>
      </c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 t="s">
        <v>551</v>
      </c>
      <c r="Y26" s="52"/>
      <c r="Z26" s="52"/>
      <c r="AA26" s="52"/>
      <c r="AB26" s="52"/>
      <c r="AC26" s="52"/>
    </row>
    <row r="27" ht="62.100000000000001" customHeight="1">
      <c r="A27" s="73">
        <v>15</v>
      </c>
      <c r="B27" s="75"/>
      <c r="C27" s="75"/>
      <c r="D27" s="58" t="s">
        <v>393</v>
      </c>
      <c r="E27" s="58" t="s">
        <v>587</v>
      </c>
      <c r="F27" s="58" t="s">
        <v>203</v>
      </c>
      <c r="G27" s="58" t="s">
        <v>588</v>
      </c>
      <c r="H27" s="58" t="s">
        <v>589</v>
      </c>
      <c r="I27" s="58" t="s">
        <v>504</v>
      </c>
      <c r="J27" s="58" t="s">
        <v>590</v>
      </c>
      <c r="K27" s="74" t="s">
        <v>591</v>
      </c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77" t="s">
        <v>592</v>
      </c>
      <c r="X27" s="58" t="s">
        <v>551</v>
      </c>
      <c r="Y27" s="52"/>
      <c r="Z27" s="52"/>
      <c r="AA27" s="52"/>
      <c r="AB27" s="52"/>
      <c r="AC27" s="52"/>
    </row>
    <row r="28" ht="75.599999999999994" customHeight="1">
      <c r="A28" s="73">
        <v>16</v>
      </c>
      <c r="B28" s="75"/>
      <c r="C28" s="75"/>
      <c r="D28" s="75"/>
      <c r="E28" s="58" t="s">
        <v>593</v>
      </c>
      <c r="F28" s="58" t="s">
        <v>203</v>
      </c>
      <c r="G28" s="58" t="s">
        <v>594</v>
      </c>
      <c r="H28" s="58" t="s">
        <v>595</v>
      </c>
      <c r="I28" s="58" t="s">
        <v>504</v>
      </c>
      <c r="J28" s="58" t="s">
        <v>596</v>
      </c>
      <c r="K28" s="74" t="s">
        <v>597</v>
      </c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77" t="s">
        <v>592</v>
      </c>
      <c r="X28" s="58" t="s">
        <v>551</v>
      </c>
      <c r="Y28" s="52"/>
      <c r="Z28" s="52"/>
      <c r="AA28" s="52"/>
      <c r="AB28" s="52"/>
      <c r="AC28" s="52"/>
    </row>
    <row r="29" ht="75.599999999999994" customHeight="1">
      <c r="A29" s="73">
        <v>17</v>
      </c>
      <c r="B29" s="75"/>
      <c r="C29" s="75"/>
      <c r="D29" s="75"/>
      <c r="E29" s="58" t="s">
        <v>598</v>
      </c>
      <c r="F29" s="58" t="s">
        <v>210</v>
      </c>
      <c r="G29" s="58" t="s">
        <v>599</v>
      </c>
      <c r="H29" s="58" t="s">
        <v>600</v>
      </c>
      <c r="I29" s="58" t="s">
        <v>504</v>
      </c>
      <c r="J29" s="58" t="s">
        <v>601</v>
      </c>
      <c r="K29" s="74" t="s">
        <v>597</v>
      </c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77" t="s">
        <v>602</v>
      </c>
      <c r="X29" s="58" t="s">
        <v>551</v>
      </c>
      <c r="Y29" s="52"/>
      <c r="Z29" s="52"/>
      <c r="AA29" s="52"/>
      <c r="AB29" s="52"/>
      <c r="AC29" s="52"/>
    </row>
    <row r="30" ht="75.599999999999994" customHeight="1">
      <c r="A30" s="73">
        <v>18</v>
      </c>
      <c r="B30" s="75"/>
      <c r="C30" s="75"/>
      <c r="D30" s="75"/>
      <c r="E30" s="58" t="s">
        <v>603</v>
      </c>
      <c r="F30" s="58" t="s">
        <v>203</v>
      </c>
      <c r="G30" s="58" t="s">
        <v>604</v>
      </c>
      <c r="H30" s="58" t="s">
        <v>605</v>
      </c>
      <c r="I30" s="58" t="s">
        <v>504</v>
      </c>
      <c r="J30" s="58" t="s">
        <v>606</v>
      </c>
      <c r="K30" s="74" t="s">
        <v>607</v>
      </c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77" t="s">
        <v>592</v>
      </c>
      <c r="X30" s="58" t="s">
        <v>551</v>
      </c>
      <c r="Y30" s="52"/>
      <c r="Z30" s="52"/>
      <c r="AA30" s="52"/>
      <c r="AB30" s="52"/>
      <c r="AC30" s="52"/>
    </row>
    <row r="31" ht="75.599999999999994" customHeight="1">
      <c r="A31" s="73">
        <v>19</v>
      </c>
      <c r="B31" s="75"/>
      <c r="C31" s="75"/>
      <c r="D31" s="75"/>
      <c r="E31" s="58" t="s">
        <v>608</v>
      </c>
      <c r="F31" s="58" t="s">
        <v>210</v>
      </c>
      <c r="G31" s="58" t="s">
        <v>609</v>
      </c>
      <c r="H31" s="58" t="s">
        <v>610</v>
      </c>
      <c r="I31" s="58" t="s">
        <v>504</v>
      </c>
      <c r="J31" s="58" t="s">
        <v>611</v>
      </c>
      <c r="K31" s="74" t="s">
        <v>607</v>
      </c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77" t="s">
        <v>602</v>
      </c>
      <c r="X31" s="58" t="s">
        <v>551</v>
      </c>
      <c r="Y31" s="52"/>
      <c r="Z31" s="52"/>
      <c r="AA31" s="52"/>
      <c r="AB31" s="52"/>
      <c r="AC31" s="52"/>
    </row>
    <row r="32" ht="75.599999999999994" customHeight="1">
      <c r="A32" s="73">
        <v>20</v>
      </c>
      <c r="B32" s="75"/>
      <c r="C32" s="75"/>
      <c r="D32" s="75"/>
      <c r="E32" s="58" t="s">
        <v>612</v>
      </c>
      <c r="F32" s="58" t="s">
        <v>203</v>
      </c>
      <c r="G32" s="58" t="s">
        <v>613</v>
      </c>
      <c r="H32" s="58" t="s">
        <v>614</v>
      </c>
      <c r="I32" s="58" t="s">
        <v>504</v>
      </c>
      <c r="J32" s="58" t="s">
        <v>615</v>
      </c>
      <c r="K32" s="74" t="s">
        <v>616</v>
      </c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77" t="s">
        <v>617</v>
      </c>
      <c r="X32" s="58" t="s">
        <v>551</v>
      </c>
      <c r="Y32" s="52"/>
      <c r="Z32" s="52"/>
      <c r="AA32" s="52"/>
      <c r="AB32" s="52"/>
      <c r="AC32" s="52"/>
    </row>
    <row r="33" ht="48.600000000000001" customHeight="1">
      <c r="A33" s="73">
        <v>21</v>
      </c>
      <c r="B33" s="75"/>
      <c r="C33" s="75"/>
      <c r="D33" s="75"/>
      <c r="E33" s="58" t="s">
        <v>618</v>
      </c>
      <c r="F33" s="58" t="s">
        <v>210</v>
      </c>
      <c r="G33" s="58" t="s">
        <v>619</v>
      </c>
      <c r="H33" s="58" t="s">
        <v>287</v>
      </c>
      <c r="I33" s="58" t="s">
        <v>504</v>
      </c>
      <c r="J33" s="58" t="s">
        <v>620</v>
      </c>
      <c r="K33" s="76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77" t="s">
        <v>621</v>
      </c>
      <c r="X33" s="58" t="s">
        <v>551</v>
      </c>
      <c r="Y33" s="52"/>
      <c r="Z33" s="52"/>
      <c r="AA33" s="52"/>
      <c r="AB33" s="52"/>
      <c r="AC33" s="52"/>
    </row>
    <row r="34" ht="48.600000000000001" customHeight="1">
      <c r="A34" s="73">
        <v>22</v>
      </c>
      <c r="B34" s="75"/>
      <c r="C34" s="75"/>
      <c r="D34" s="75"/>
      <c r="E34" s="58" t="s">
        <v>622</v>
      </c>
      <c r="F34" s="58" t="s">
        <v>210</v>
      </c>
      <c r="G34" s="58" t="s">
        <v>623</v>
      </c>
      <c r="H34" s="58" t="s">
        <v>624</v>
      </c>
      <c r="I34" s="58" t="s">
        <v>504</v>
      </c>
      <c r="J34" s="58" t="s">
        <v>625</v>
      </c>
      <c r="K34" s="74" t="s">
        <v>626</v>
      </c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77" t="s">
        <v>627</v>
      </c>
      <c r="X34" s="58" t="s">
        <v>551</v>
      </c>
      <c r="Y34" s="52"/>
      <c r="Z34" s="52"/>
      <c r="AA34" s="52"/>
      <c r="AB34" s="52"/>
      <c r="AC34" s="52"/>
    </row>
    <row r="35" ht="48.600000000000001" customHeight="1">
      <c r="A35" s="73">
        <v>23</v>
      </c>
      <c r="B35" s="75"/>
      <c r="C35" s="75"/>
      <c r="D35" s="75"/>
      <c r="E35" s="58" t="s">
        <v>628</v>
      </c>
      <c r="F35" s="58" t="s">
        <v>225</v>
      </c>
      <c r="G35" s="58" t="s">
        <v>629</v>
      </c>
      <c r="H35" s="58" t="s">
        <v>630</v>
      </c>
      <c r="I35" s="58" t="s">
        <v>504</v>
      </c>
      <c r="J35" s="58" t="s">
        <v>631</v>
      </c>
      <c r="K35" s="74" t="s">
        <v>632</v>
      </c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 t="s">
        <v>551</v>
      </c>
      <c r="Y35" s="52"/>
      <c r="Z35" s="52"/>
      <c r="AA35" s="52"/>
      <c r="AB35" s="52"/>
      <c r="AC35" s="52"/>
    </row>
    <row r="36" ht="48.600000000000001" customHeight="1">
      <c r="A36" s="73">
        <v>24</v>
      </c>
      <c r="B36" s="75"/>
      <c r="C36" s="75"/>
      <c r="D36" s="78"/>
      <c r="E36" s="58" t="s">
        <v>633</v>
      </c>
      <c r="F36" s="58" t="s">
        <v>225</v>
      </c>
      <c r="G36" s="58" t="s">
        <v>634</v>
      </c>
      <c r="H36" s="58" t="s">
        <v>635</v>
      </c>
      <c r="I36" s="58" t="s">
        <v>504</v>
      </c>
      <c r="J36" s="58" t="s">
        <v>636</v>
      </c>
      <c r="K36" s="74" t="s">
        <v>632</v>
      </c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77" t="s">
        <v>637</v>
      </c>
      <c r="X36" s="58" t="s">
        <v>551</v>
      </c>
      <c r="Y36" s="52"/>
      <c r="Z36" s="52"/>
      <c r="AA36" s="52"/>
      <c r="AB36" s="52"/>
      <c r="AC36" s="52"/>
    </row>
    <row r="37" ht="129.59999999999999" customHeight="1">
      <c r="A37" s="73">
        <v>25</v>
      </c>
      <c r="B37" s="75"/>
      <c r="C37" s="75"/>
      <c r="D37" s="58" t="s">
        <v>369</v>
      </c>
      <c r="E37" s="58" t="s">
        <v>638</v>
      </c>
      <c r="F37" s="58" t="s">
        <v>203</v>
      </c>
      <c r="G37" s="58" t="s">
        <v>639</v>
      </c>
      <c r="H37" s="58" t="s">
        <v>640</v>
      </c>
      <c r="I37" s="58" t="s">
        <v>504</v>
      </c>
      <c r="J37" s="58" t="s">
        <v>641</v>
      </c>
      <c r="K37" s="74" t="s">
        <v>642</v>
      </c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77" t="s">
        <v>643</v>
      </c>
      <c r="X37" s="58" t="s">
        <v>551</v>
      </c>
      <c r="Y37" s="52"/>
      <c r="Z37" s="52"/>
      <c r="AA37" s="52"/>
      <c r="AB37" s="52"/>
      <c r="AC37" s="52"/>
    </row>
    <row r="38" ht="129.59999999999999" customHeight="1">
      <c r="A38" s="73">
        <v>26</v>
      </c>
      <c r="B38" s="75"/>
      <c r="C38" s="75"/>
      <c r="D38" s="75"/>
      <c r="E38" s="58" t="s">
        <v>644</v>
      </c>
      <c r="F38" s="58" t="s">
        <v>203</v>
      </c>
      <c r="G38" s="58" t="s">
        <v>645</v>
      </c>
      <c r="H38" s="58" t="s">
        <v>640</v>
      </c>
      <c r="I38" s="58" t="s">
        <v>504</v>
      </c>
      <c r="J38" s="58" t="s">
        <v>646</v>
      </c>
      <c r="K38" s="74" t="s">
        <v>647</v>
      </c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77" t="s">
        <v>643</v>
      </c>
      <c r="X38" s="58" t="s">
        <v>551</v>
      </c>
      <c r="Y38" s="52"/>
      <c r="Z38" s="52"/>
      <c r="AA38" s="52"/>
      <c r="AB38" s="52"/>
      <c r="AC38" s="52"/>
    </row>
    <row r="39" ht="170.09999999999999" customHeight="1">
      <c r="A39" s="73">
        <v>27</v>
      </c>
      <c r="B39" s="75"/>
      <c r="C39" s="78"/>
      <c r="D39" s="78"/>
      <c r="E39" s="58" t="s">
        <v>648</v>
      </c>
      <c r="F39" s="58" t="s">
        <v>203</v>
      </c>
      <c r="G39" s="58" t="s">
        <v>649</v>
      </c>
      <c r="H39" s="58" t="s">
        <v>650</v>
      </c>
      <c r="I39" s="58" t="s">
        <v>504</v>
      </c>
      <c r="J39" s="58" t="s">
        <v>651</v>
      </c>
      <c r="K39" s="58" t="s">
        <v>652</v>
      </c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77" t="s">
        <v>643</v>
      </c>
      <c r="X39" s="58" t="s">
        <v>551</v>
      </c>
      <c r="Y39" s="52"/>
      <c r="Z39" s="52"/>
      <c r="AA39" s="52"/>
      <c r="AB39" s="52"/>
      <c r="AC39" s="52"/>
    </row>
    <row r="40" ht="35.100000000000001" customHeight="1">
      <c r="A40" s="73">
        <v>28</v>
      </c>
      <c r="B40" s="75"/>
      <c r="C40" s="58" t="s">
        <v>96</v>
      </c>
      <c r="D40" s="58" t="s">
        <v>653</v>
      </c>
      <c r="E40" s="58" t="s">
        <v>654</v>
      </c>
      <c r="F40" s="58" t="s">
        <v>210</v>
      </c>
      <c r="G40" s="58" t="s">
        <v>655</v>
      </c>
      <c r="H40" s="58" t="s">
        <v>656</v>
      </c>
      <c r="I40" s="58" t="s">
        <v>504</v>
      </c>
      <c r="J40" s="58" t="s">
        <v>657</v>
      </c>
      <c r="K40" s="74" t="s">
        <v>658</v>
      </c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 t="s">
        <v>507</v>
      </c>
      <c r="Y40" s="52"/>
      <c r="Z40" s="52"/>
      <c r="AA40" s="52"/>
      <c r="AB40" s="52"/>
      <c r="AC40" s="52"/>
    </row>
    <row r="41" ht="35.100000000000001" customHeight="1">
      <c r="A41" s="73">
        <v>29</v>
      </c>
      <c r="B41" s="75"/>
      <c r="C41" s="75"/>
      <c r="D41" s="58" t="s">
        <v>659</v>
      </c>
      <c r="E41" s="58" t="s">
        <v>660</v>
      </c>
      <c r="F41" s="58" t="s">
        <v>225</v>
      </c>
      <c r="G41" s="58" t="s">
        <v>661</v>
      </c>
      <c r="H41" s="58" t="s">
        <v>662</v>
      </c>
      <c r="I41" s="58" t="s">
        <v>504</v>
      </c>
      <c r="J41" s="58" t="s">
        <v>663</v>
      </c>
      <c r="K41" s="74" t="s">
        <v>664</v>
      </c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 t="s">
        <v>507</v>
      </c>
      <c r="Y41" s="52"/>
      <c r="Z41" s="52"/>
      <c r="AA41" s="52"/>
      <c r="AB41" s="52"/>
      <c r="AC41" s="52"/>
    </row>
    <row r="42" ht="62.100000000000001" customHeight="1">
      <c r="A42" s="73">
        <v>30</v>
      </c>
      <c r="B42" s="75"/>
      <c r="C42" s="75"/>
      <c r="D42" s="75"/>
      <c r="E42" s="58" t="s">
        <v>665</v>
      </c>
      <c r="F42" s="58" t="s">
        <v>203</v>
      </c>
      <c r="G42" s="58" t="s">
        <v>666</v>
      </c>
      <c r="H42" s="58" t="s">
        <v>667</v>
      </c>
      <c r="I42" s="58" t="s">
        <v>504</v>
      </c>
      <c r="J42" s="58" t="s">
        <v>668</v>
      </c>
      <c r="K42" s="74" t="s">
        <v>669</v>
      </c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77" t="s">
        <v>670</v>
      </c>
      <c r="X42" s="58" t="s">
        <v>507</v>
      </c>
      <c r="Y42" s="52"/>
      <c r="Z42" s="52"/>
      <c r="AA42" s="52"/>
      <c r="AB42" s="52"/>
      <c r="AC42" s="52"/>
    </row>
    <row r="43" ht="35.100000000000001" customHeight="1">
      <c r="A43" s="73">
        <v>31</v>
      </c>
      <c r="B43" s="75"/>
      <c r="C43" s="75"/>
      <c r="D43" s="75"/>
      <c r="E43" s="58" t="s">
        <v>671</v>
      </c>
      <c r="F43" s="58" t="s">
        <v>210</v>
      </c>
      <c r="G43" s="58" t="s">
        <v>672</v>
      </c>
      <c r="H43" s="58" t="s">
        <v>673</v>
      </c>
      <c r="I43" s="58" t="s">
        <v>504</v>
      </c>
      <c r="J43" s="58" t="s">
        <v>674</v>
      </c>
      <c r="K43" s="74" t="s">
        <v>675</v>
      </c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77" t="s">
        <v>676</v>
      </c>
      <c r="X43" s="58" t="s">
        <v>507</v>
      </c>
      <c r="Y43" s="52"/>
      <c r="Z43" s="52"/>
      <c r="AA43" s="52"/>
      <c r="AB43" s="52"/>
      <c r="AC43" s="52"/>
    </row>
    <row r="44" ht="75.599999999999994" customHeight="1">
      <c r="A44" s="73">
        <v>32</v>
      </c>
      <c r="B44" s="75"/>
      <c r="C44" s="75"/>
      <c r="D44" s="75"/>
      <c r="E44" s="58" t="s">
        <v>677</v>
      </c>
      <c r="F44" s="58" t="s">
        <v>203</v>
      </c>
      <c r="G44" s="58" t="s">
        <v>678</v>
      </c>
      <c r="H44" s="58" t="s">
        <v>679</v>
      </c>
      <c r="I44" s="58" t="s">
        <v>504</v>
      </c>
      <c r="J44" s="58" t="s">
        <v>680</v>
      </c>
      <c r="K44" s="74" t="s">
        <v>681</v>
      </c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77" t="s">
        <v>682</v>
      </c>
      <c r="X44" s="58" t="s">
        <v>507</v>
      </c>
      <c r="Y44" s="52"/>
      <c r="Z44" s="52"/>
      <c r="AA44" s="52"/>
      <c r="AB44" s="52"/>
      <c r="AC44" s="52"/>
    </row>
    <row r="45" ht="48.600000000000001" customHeight="1">
      <c r="A45" s="73">
        <v>33</v>
      </c>
      <c r="B45" s="75"/>
      <c r="C45" s="75"/>
      <c r="D45" s="75"/>
      <c r="E45" s="58" t="s">
        <v>683</v>
      </c>
      <c r="F45" s="58" t="s">
        <v>210</v>
      </c>
      <c r="G45" s="58" t="s">
        <v>684</v>
      </c>
      <c r="H45" s="58" t="s">
        <v>685</v>
      </c>
      <c r="I45" s="58" t="s">
        <v>504</v>
      </c>
      <c r="J45" s="58" t="s">
        <v>686</v>
      </c>
      <c r="K45" s="74" t="s">
        <v>687</v>
      </c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 t="s">
        <v>507</v>
      </c>
      <c r="Y45" s="52"/>
      <c r="Z45" s="52"/>
      <c r="AA45" s="52"/>
      <c r="AB45" s="52"/>
      <c r="AC45" s="52"/>
    </row>
    <row r="46" ht="48.600000000000001" customHeight="1">
      <c r="A46" s="73">
        <v>34</v>
      </c>
      <c r="B46" s="75"/>
      <c r="C46" s="78"/>
      <c r="D46" s="78"/>
      <c r="E46" s="58" t="s">
        <v>688</v>
      </c>
      <c r="F46" s="58" t="s">
        <v>210</v>
      </c>
      <c r="G46" s="58" t="s">
        <v>689</v>
      </c>
      <c r="H46" s="58" t="s">
        <v>690</v>
      </c>
      <c r="I46" s="58" t="s">
        <v>504</v>
      </c>
      <c r="J46" s="58" t="s">
        <v>691</v>
      </c>
      <c r="K46" s="74" t="s">
        <v>692</v>
      </c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 t="s">
        <v>507</v>
      </c>
      <c r="Y46" s="52"/>
      <c r="Z46" s="52"/>
      <c r="AA46" s="52"/>
      <c r="AB46" s="52"/>
      <c r="AC46" s="52"/>
    </row>
    <row r="47" ht="48.600000000000001" customHeight="1">
      <c r="A47" s="73">
        <v>35</v>
      </c>
      <c r="B47" s="75"/>
      <c r="C47" s="58" t="s">
        <v>97</v>
      </c>
      <c r="D47" s="58" t="s">
        <v>268</v>
      </c>
      <c r="E47" s="58" t="s">
        <v>693</v>
      </c>
      <c r="F47" s="58" t="s">
        <v>203</v>
      </c>
      <c r="G47" s="58" t="s">
        <v>694</v>
      </c>
      <c r="H47" s="58" t="s">
        <v>695</v>
      </c>
      <c r="I47" s="58" t="s">
        <v>504</v>
      </c>
      <c r="J47" s="58" t="s">
        <v>696</v>
      </c>
      <c r="K47" s="74" t="s">
        <v>697</v>
      </c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77" t="s">
        <v>698</v>
      </c>
      <c r="X47" s="58" t="s">
        <v>507</v>
      </c>
      <c r="Y47" s="52"/>
      <c r="Z47" s="52"/>
      <c r="AA47" s="52"/>
      <c r="AB47" s="52"/>
      <c r="AC47" s="52"/>
    </row>
    <row r="48" ht="62.100000000000001" customHeight="1">
      <c r="A48" s="73">
        <v>36</v>
      </c>
      <c r="B48" s="75"/>
      <c r="C48" s="75"/>
      <c r="D48" s="75"/>
      <c r="E48" s="58" t="s">
        <v>699</v>
      </c>
      <c r="F48" s="58" t="s">
        <v>203</v>
      </c>
      <c r="G48" s="58" t="s">
        <v>700</v>
      </c>
      <c r="H48" s="58" t="s">
        <v>701</v>
      </c>
      <c r="I48" s="58" t="s">
        <v>504</v>
      </c>
      <c r="J48" s="58" t="s">
        <v>702</v>
      </c>
      <c r="K48" s="74" t="s">
        <v>703</v>
      </c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 t="s">
        <v>507</v>
      </c>
      <c r="Y48" s="52"/>
      <c r="Z48" s="52"/>
      <c r="AA48" s="52"/>
      <c r="AB48" s="52"/>
      <c r="AC48" s="52"/>
    </row>
    <row r="49" ht="35.100000000000001" customHeight="1">
      <c r="A49" s="73">
        <v>37</v>
      </c>
      <c r="B49" s="75"/>
      <c r="C49" s="75"/>
      <c r="D49" s="75"/>
      <c r="E49" s="58" t="s">
        <v>704</v>
      </c>
      <c r="F49" s="58" t="s">
        <v>203</v>
      </c>
      <c r="G49" s="58" t="s">
        <v>705</v>
      </c>
      <c r="H49" s="58" t="s">
        <v>706</v>
      </c>
      <c r="I49" s="58" t="s">
        <v>504</v>
      </c>
      <c r="J49" s="58" t="s">
        <v>707</v>
      </c>
      <c r="K49" s="74" t="s">
        <v>708</v>
      </c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 t="s">
        <v>507</v>
      </c>
      <c r="Y49" s="52"/>
      <c r="Z49" s="52"/>
      <c r="AA49" s="52"/>
      <c r="AB49" s="52"/>
      <c r="AC49" s="52"/>
    </row>
    <row r="50" ht="35.100000000000001" customHeight="1">
      <c r="A50" s="73">
        <v>38</v>
      </c>
      <c r="B50" s="75"/>
      <c r="C50" s="75"/>
      <c r="D50" s="75"/>
      <c r="E50" s="75"/>
      <c r="F50" s="58" t="s">
        <v>203</v>
      </c>
      <c r="G50" s="58" t="s">
        <v>709</v>
      </c>
      <c r="H50" s="58" t="s">
        <v>710</v>
      </c>
      <c r="I50" s="58" t="s">
        <v>504</v>
      </c>
      <c r="J50" s="58" t="s">
        <v>711</v>
      </c>
      <c r="K50" s="74" t="s">
        <v>708</v>
      </c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 t="s">
        <v>507</v>
      </c>
      <c r="Y50" s="52"/>
      <c r="Z50" s="52"/>
      <c r="AA50" s="52"/>
      <c r="AB50" s="52"/>
      <c r="AC50" s="52"/>
    </row>
    <row r="51" ht="75.599999999999994" customHeight="1">
      <c r="A51" s="73">
        <v>39</v>
      </c>
      <c r="B51" s="75"/>
      <c r="C51" s="75"/>
      <c r="D51" s="75"/>
      <c r="E51" s="75"/>
      <c r="F51" s="58" t="s">
        <v>203</v>
      </c>
      <c r="G51" s="58" t="s">
        <v>712</v>
      </c>
      <c r="H51" s="58" t="s">
        <v>713</v>
      </c>
      <c r="I51" s="58" t="s">
        <v>504</v>
      </c>
      <c r="J51" s="58" t="s">
        <v>714</v>
      </c>
      <c r="K51" s="74" t="s">
        <v>715</v>
      </c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 t="s">
        <v>507</v>
      </c>
      <c r="Y51" s="52"/>
      <c r="Z51" s="52"/>
      <c r="AA51" s="52"/>
      <c r="AB51" s="52"/>
      <c r="AC51" s="52"/>
    </row>
    <row r="52" ht="75.599999999999994" customHeight="1">
      <c r="A52" s="73">
        <v>40</v>
      </c>
      <c r="B52" s="75"/>
      <c r="C52" s="75"/>
      <c r="D52" s="75"/>
      <c r="E52" s="78"/>
      <c r="F52" s="58" t="s">
        <v>203</v>
      </c>
      <c r="G52" s="58" t="s">
        <v>716</v>
      </c>
      <c r="H52" s="58" t="s">
        <v>717</v>
      </c>
      <c r="I52" s="58" t="s">
        <v>504</v>
      </c>
      <c r="J52" s="58" t="s">
        <v>718</v>
      </c>
      <c r="K52" s="74" t="s">
        <v>708</v>
      </c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 t="s">
        <v>507</v>
      </c>
      <c r="Y52" s="52"/>
      <c r="Z52" s="52"/>
      <c r="AA52" s="52"/>
      <c r="AB52" s="52"/>
      <c r="AC52" s="52"/>
    </row>
    <row r="53" ht="75.599999999999994" customHeight="1">
      <c r="A53" s="73">
        <v>41</v>
      </c>
      <c r="B53" s="75"/>
      <c r="C53" s="75"/>
      <c r="D53" s="75"/>
      <c r="E53" s="58" t="s">
        <v>719</v>
      </c>
      <c r="F53" s="58" t="s">
        <v>203</v>
      </c>
      <c r="G53" s="58" t="s">
        <v>720</v>
      </c>
      <c r="H53" s="58" t="s">
        <v>721</v>
      </c>
      <c r="I53" s="58" t="s">
        <v>504</v>
      </c>
      <c r="J53" s="58" t="s">
        <v>722</v>
      </c>
      <c r="K53" s="74" t="s">
        <v>723</v>
      </c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 t="s">
        <v>507</v>
      </c>
      <c r="Y53" s="52"/>
      <c r="Z53" s="52"/>
      <c r="AA53" s="52"/>
      <c r="AB53" s="52"/>
      <c r="AC53" s="52"/>
    </row>
    <row r="54" ht="62.100000000000001" customHeight="1">
      <c r="A54" s="73">
        <v>42</v>
      </c>
      <c r="B54" s="75"/>
      <c r="C54" s="75"/>
      <c r="D54" s="75"/>
      <c r="E54" s="58" t="s">
        <v>724</v>
      </c>
      <c r="F54" s="58" t="s">
        <v>210</v>
      </c>
      <c r="G54" s="58" t="s">
        <v>725</v>
      </c>
      <c r="H54" s="58" t="s">
        <v>726</v>
      </c>
      <c r="I54" s="58" t="s">
        <v>727</v>
      </c>
      <c r="J54" s="58" t="s">
        <v>728</v>
      </c>
      <c r="K54" s="74" t="s">
        <v>729</v>
      </c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77" t="s">
        <v>730</v>
      </c>
      <c r="X54" s="58" t="s">
        <v>507</v>
      </c>
      <c r="Y54" s="52"/>
      <c r="Z54" s="52"/>
      <c r="AA54" s="52"/>
      <c r="AB54" s="52"/>
      <c r="AC54" s="52"/>
    </row>
    <row r="55" ht="48.600000000000001" customHeight="1">
      <c r="A55" s="73">
        <v>43</v>
      </c>
      <c r="B55" s="75"/>
      <c r="C55" s="75"/>
      <c r="D55" s="75"/>
      <c r="E55" s="58" t="s">
        <v>731</v>
      </c>
      <c r="F55" s="58" t="s">
        <v>210</v>
      </c>
      <c r="G55" s="58" t="s">
        <v>732</v>
      </c>
      <c r="H55" s="58" t="s">
        <v>733</v>
      </c>
      <c r="I55" s="58" t="s">
        <v>504</v>
      </c>
      <c r="J55" s="58" t="s">
        <v>734</v>
      </c>
      <c r="K55" s="74" t="s">
        <v>735</v>
      </c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77" t="s">
        <v>736</v>
      </c>
      <c r="X55" s="58" t="s">
        <v>507</v>
      </c>
      <c r="Y55" s="52"/>
      <c r="Z55" s="52"/>
      <c r="AA55" s="52"/>
      <c r="AB55" s="52"/>
      <c r="AC55" s="52"/>
    </row>
    <row r="56" ht="75.599999999999994" customHeight="1">
      <c r="A56" s="73">
        <v>44</v>
      </c>
      <c r="B56" s="75"/>
      <c r="C56" s="75"/>
      <c r="D56" s="75"/>
      <c r="E56" s="58" t="s">
        <v>737</v>
      </c>
      <c r="F56" s="58" t="s">
        <v>203</v>
      </c>
      <c r="G56" s="58" t="s">
        <v>738</v>
      </c>
      <c r="H56" s="58" t="s">
        <v>739</v>
      </c>
      <c r="I56" s="80" t="s">
        <v>504</v>
      </c>
      <c r="J56" s="80" t="s">
        <v>740</v>
      </c>
      <c r="K56" s="81" t="s">
        <v>741</v>
      </c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 t="s">
        <v>742</v>
      </c>
      <c r="Y56" s="52"/>
      <c r="Z56" s="52"/>
      <c r="AA56" s="52"/>
      <c r="AB56" s="52"/>
      <c r="AC56" s="52"/>
    </row>
    <row r="57" ht="62.100000000000001" customHeight="1">
      <c r="A57" s="73">
        <v>45</v>
      </c>
      <c r="B57" s="75"/>
      <c r="C57" s="75"/>
      <c r="D57" s="75"/>
      <c r="E57" s="75"/>
      <c r="F57" s="58" t="s">
        <v>203</v>
      </c>
      <c r="G57" s="58" t="s">
        <v>743</v>
      </c>
      <c r="H57" s="58" t="s">
        <v>744</v>
      </c>
      <c r="I57" s="80" t="s">
        <v>504</v>
      </c>
      <c r="J57" s="80" t="s">
        <v>745</v>
      </c>
      <c r="K57" s="81" t="s">
        <v>746</v>
      </c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 t="s">
        <v>742</v>
      </c>
      <c r="Y57" s="52"/>
      <c r="Z57" s="52"/>
      <c r="AA57" s="52"/>
      <c r="AB57" s="52"/>
      <c r="AC57" s="52"/>
    </row>
    <row r="58" ht="62.100000000000001" customHeight="1">
      <c r="A58" s="73">
        <v>46</v>
      </c>
      <c r="B58" s="75"/>
      <c r="C58" s="75"/>
      <c r="D58" s="75"/>
      <c r="E58" s="75"/>
      <c r="F58" s="58" t="s">
        <v>203</v>
      </c>
      <c r="G58" s="58" t="s">
        <v>747</v>
      </c>
      <c r="H58" s="58" t="s">
        <v>748</v>
      </c>
      <c r="I58" s="80" t="s">
        <v>504</v>
      </c>
      <c r="J58" s="80" t="s">
        <v>749</v>
      </c>
      <c r="K58" s="81" t="s">
        <v>750</v>
      </c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 t="s">
        <v>742</v>
      </c>
      <c r="Y58" s="52"/>
      <c r="Z58" s="52"/>
      <c r="AA58" s="52"/>
      <c r="AB58" s="52"/>
      <c r="AC58" s="52"/>
    </row>
    <row r="59" ht="62.100000000000001" customHeight="1">
      <c r="A59" s="73">
        <v>47</v>
      </c>
      <c r="B59" s="75"/>
      <c r="C59" s="75"/>
      <c r="D59" s="75"/>
      <c r="E59" s="75"/>
      <c r="F59" s="58" t="s">
        <v>203</v>
      </c>
      <c r="G59" s="58" t="s">
        <v>751</v>
      </c>
      <c r="H59" s="58" t="s">
        <v>752</v>
      </c>
      <c r="I59" s="80" t="s">
        <v>504</v>
      </c>
      <c r="J59" s="80" t="s">
        <v>753</v>
      </c>
      <c r="K59" s="81" t="s">
        <v>754</v>
      </c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 t="s">
        <v>742</v>
      </c>
      <c r="Y59" s="52"/>
      <c r="Z59" s="52"/>
      <c r="AA59" s="52"/>
      <c r="AB59" s="52"/>
      <c r="AC59" s="52"/>
    </row>
    <row r="60" ht="48.600000000000001" customHeight="1">
      <c r="A60" s="73">
        <v>48</v>
      </c>
      <c r="B60" s="75"/>
      <c r="C60" s="75"/>
      <c r="D60" s="75"/>
      <c r="E60" s="75"/>
      <c r="F60" s="58" t="s">
        <v>203</v>
      </c>
      <c r="G60" s="58" t="s">
        <v>755</v>
      </c>
      <c r="H60" s="58" t="s">
        <v>756</v>
      </c>
      <c r="I60" s="80" t="s">
        <v>504</v>
      </c>
      <c r="J60" s="80" t="s">
        <v>757</v>
      </c>
      <c r="K60" s="81" t="s">
        <v>758</v>
      </c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 t="s">
        <v>742</v>
      </c>
      <c r="Y60" s="52"/>
      <c r="Z60" s="52"/>
      <c r="AA60" s="52"/>
      <c r="AB60" s="52"/>
      <c r="AC60" s="52"/>
    </row>
    <row r="61" ht="62.100000000000001" customHeight="1">
      <c r="A61" s="73">
        <v>49</v>
      </c>
      <c r="B61" s="75"/>
      <c r="C61" s="75"/>
      <c r="D61" s="75"/>
      <c r="E61" s="75"/>
      <c r="F61" s="58" t="s">
        <v>203</v>
      </c>
      <c r="G61" s="58" t="s">
        <v>759</v>
      </c>
      <c r="H61" s="58" t="s">
        <v>760</v>
      </c>
      <c r="I61" s="80" t="s">
        <v>504</v>
      </c>
      <c r="J61" s="80" t="s">
        <v>761</v>
      </c>
      <c r="K61" s="81" t="s">
        <v>762</v>
      </c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77" t="s">
        <v>763</v>
      </c>
      <c r="X61" s="58" t="s">
        <v>742</v>
      </c>
      <c r="Y61" s="52"/>
      <c r="Z61" s="52"/>
      <c r="AA61" s="52"/>
      <c r="AB61" s="52"/>
      <c r="AC61" s="52"/>
    </row>
    <row r="62" ht="48.600000000000001" customHeight="1">
      <c r="A62" s="73">
        <v>50</v>
      </c>
      <c r="B62" s="75"/>
      <c r="C62" s="75"/>
      <c r="D62" s="75"/>
      <c r="E62" s="75"/>
      <c r="F62" s="58" t="s">
        <v>210</v>
      </c>
      <c r="G62" s="58" t="s">
        <v>764</v>
      </c>
      <c r="H62" s="80" t="s">
        <v>765</v>
      </c>
      <c r="I62" s="80" t="s">
        <v>504</v>
      </c>
      <c r="J62" s="80" t="s">
        <v>766</v>
      </c>
      <c r="K62" s="58" t="s">
        <v>767</v>
      </c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77" t="s">
        <v>768</v>
      </c>
      <c r="X62" s="58" t="s">
        <v>742</v>
      </c>
      <c r="Y62" s="52"/>
      <c r="Z62" s="52"/>
      <c r="AA62" s="52"/>
      <c r="AB62" s="52"/>
      <c r="AC62" s="52"/>
    </row>
    <row r="63" ht="48.600000000000001" customHeight="1">
      <c r="A63" s="73">
        <v>51</v>
      </c>
      <c r="B63" s="75"/>
      <c r="C63" s="75"/>
      <c r="D63" s="75"/>
      <c r="E63" s="75"/>
      <c r="F63" s="58" t="s">
        <v>210</v>
      </c>
      <c r="G63" s="58" t="s">
        <v>769</v>
      </c>
      <c r="H63" s="58" t="s">
        <v>770</v>
      </c>
      <c r="I63" s="58" t="s">
        <v>504</v>
      </c>
      <c r="J63" s="58" t="s">
        <v>771</v>
      </c>
      <c r="K63" s="58" t="s">
        <v>772</v>
      </c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77" t="s">
        <v>773</v>
      </c>
      <c r="X63" s="58" t="s">
        <v>742</v>
      </c>
      <c r="Y63" s="52"/>
      <c r="Z63" s="52"/>
      <c r="AA63" s="52"/>
      <c r="AB63" s="52"/>
      <c r="AC63" s="52"/>
    </row>
    <row r="64" ht="62.100000000000001" customHeight="1">
      <c r="A64" s="73">
        <v>52</v>
      </c>
      <c r="B64" s="75"/>
      <c r="C64" s="75"/>
      <c r="D64" s="75"/>
      <c r="E64" s="75"/>
      <c r="F64" s="58" t="s">
        <v>210</v>
      </c>
      <c r="G64" s="58" t="s">
        <v>774</v>
      </c>
      <c r="H64" s="58" t="s">
        <v>775</v>
      </c>
      <c r="I64" s="58" t="s">
        <v>504</v>
      </c>
      <c r="J64" s="58" t="s">
        <v>776</v>
      </c>
      <c r="K64" s="58" t="s">
        <v>777</v>
      </c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77" t="s">
        <v>778</v>
      </c>
      <c r="X64" s="58" t="s">
        <v>742</v>
      </c>
      <c r="Y64" s="52"/>
      <c r="Z64" s="52"/>
      <c r="AA64" s="52"/>
      <c r="AB64" s="52"/>
      <c r="AC64" s="52"/>
    </row>
    <row r="65" ht="62.100000000000001" customHeight="1">
      <c r="A65" s="73">
        <v>53</v>
      </c>
      <c r="B65" s="75"/>
      <c r="C65" s="75"/>
      <c r="D65" s="78"/>
      <c r="E65" s="78"/>
      <c r="F65" s="58" t="s">
        <v>210</v>
      </c>
      <c r="G65" s="58" t="s">
        <v>779</v>
      </c>
      <c r="H65" s="58" t="s">
        <v>780</v>
      </c>
      <c r="I65" s="58" t="s">
        <v>504</v>
      </c>
      <c r="J65" s="58" t="s">
        <v>781</v>
      </c>
      <c r="K65" s="58" t="s">
        <v>782</v>
      </c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77" t="s">
        <v>783</v>
      </c>
      <c r="X65" s="58" t="s">
        <v>742</v>
      </c>
      <c r="Y65" s="52"/>
      <c r="Z65" s="52"/>
      <c r="AA65" s="52"/>
      <c r="AB65" s="52"/>
      <c r="AC65" s="52"/>
    </row>
    <row r="66" ht="35.100000000000001" customHeight="1">
      <c r="A66" s="73">
        <v>54</v>
      </c>
      <c r="B66" s="75"/>
      <c r="C66" s="75"/>
      <c r="D66" s="58" t="s">
        <v>784</v>
      </c>
      <c r="E66" s="58" t="s">
        <v>785</v>
      </c>
      <c r="F66" s="58" t="s">
        <v>210</v>
      </c>
      <c r="G66" s="58" t="s">
        <v>786</v>
      </c>
      <c r="H66" s="58" t="s">
        <v>787</v>
      </c>
      <c r="I66" s="58" t="s">
        <v>504</v>
      </c>
      <c r="J66" s="58" t="s">
        <v>788</v>
      </c>
      <c r="K66" s="58" t="s">
        <v>789</v>
      </c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77" t="s">
        <v>790</v>
      </c>
      <c r="X66" s="58" t="s">
        <v>507</v>
      </c>
      <c r="Y66" s="52"/>
      <c r="Z66" s="52"/>
      <c r="AA66" s="52"/>
      <c r="AB66" s="52"/>
      <c r="AC66" s="52"/>
    </row>
    <row r="67" ht="35.100000000000001" customHeight="1">
      <c r="A67" s="73">
        <v>55</v>
      </c>
      <c r="B67" s="75"/>
      <c r="C67" s="75"/>
      <c r="D67" s="75"/>
      <c r="E67" s="58" t="s">
        <v>791</v>
      </c>
      <c r="F67" s="58" t="s">
        <v>210</v>
      </c>
      <c r="G67" s="58" t="s">
        <v>792</v>
      </c>
      <c r="H67" s="58" t="s">
        <v>793</v>
      </c>
      <c r="I67" s="58" t="s">
        <v>504</v>
      </c>
      <c r="J67" s="58" t="s">
        <v>794</v>
      </c>
      <c r="K67" s="58" t="s">
        <v>795</v>
      </c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77" t="s">
        <v>796</v>
      </c>
      <c r="X67" s="58" t="s">
        <v>507</v>
      </c>
      <c r="Y67" s="52"/>
      <c r="Z67" s="52"/>
      <c r="AA67" s="52"/>
      <c r="AB67" s="52"/>
      <c r="AC67" s="52"/>
    </row>
    <row r="68" ht="35.100000000000001" customHeight="1">
      <c r="A68" s="73">
        <v>56</v>
      </c>
      <c r="B68" s="75"/>
      <c r="C68" s="78"/>
      <c r="D68" s="78"/>
      <c r="E68" s="58" t="s">
        <v>797</v>
      </c>
      <c r="F68" s="58" t="s">
        <v>210</v>
      </c>
      <c r="G68" s="58" t="s">
        <v>798</v>
      </c>
      <c r="H68" s="58" t="s">
        <v>799</v>
      </c>
      <c r="I68" s="58" t="s">
        <v>504</v>
      </c>
      <c r="J68" s="58" t="s">
        <v>800</v>
      </c>
      <c r="K68" s="74" t="s">
        <v>801</v>
      </c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77" t="s">
        <v>796</v>
      </c>
      <c r="X68" s="58" t="s">
        <v>507</v>
      </c>
      <c r="Y68" s="52"/>
      <c r="Z68" s="52"/>
      <c r="AA68" s="52"/>
      <c r="AB68" s="52"/>
      <c r="AC68" s="52"/>
    </row>
    <row r="69" ht="48.600000000000001" customHeight="1">
      <c r="A69" s="73">
        <v>57</v>
      </c>
      <c r="B69" s="75"/>
      <c r="C69" s="58" t="s">
        <v>98</v>
      </c>
      <c r="D69" s="58" t="s">
        <v>268</v>
      </c>
      <c r="E69" s="58" t="s">
        <v>269</v>
      </c>
      <c r="F69" s="58" t="s">
        <v>210</v>
      </c>
      <c r="G69" s="58" t="s">
        <v>802</v>
      </c>
      <c r="H69" s="58" t="s">
        <v>803</v>
      </c>
      <c r="I69" s="58" t="s">
        <v>504</v>
      </c>
      <c r="J69" s="58" t="s">
        <v>804</v>
      </c>
      <c r="K69" s="74" t="s">
        <v>805</v>
      </c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77" t="s">
        <v>806</v>
      </c>
      <c r="X69" s="58" t="s">
        <v>507</v>
      </c>
      <c r="Y69" s="52"/>
      <c r="Z69" s="52"/>
      <c r="AA69" s="52"/>
      <c r="AB69" s="52"/>
      <c r="AC69" s="52"/>
    </row>
    <row r="70" ht="75.599999999999994" customHeight="1">
      <c r="A70" s="73">
        <v>58</v>
      </c>
      <c r="B70" s="75"/>
      <c r="C70" s="75"/>
      <c r="D70" s="78"/>
      <c r="E70" s="58" t="s">
        <v>807</v>
      </c>
      <c r="F70" s="58" t="s">
        <v>210</v>
      </c>
      <c r="G70" s="58" t="s">
        <v>808</v>
      </c>
      <c r="H70" s="58" t="s">
        <v>809</v>
      </c>
      <c r="I70" s="58" t="s">
        <v>504</v>
      </c>
      <c r="J70" s="58" t="s">
        <v>810</v>
      </c>
      <c r="K70" s="74" t="s">
        <v>811</v>
      </c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 t="s">
        <v>507</v>
      </c>
      <c r="Y70" s="52"/>
      <c r="Z70" s="52"/>
      <c r="AA70" s="52"/>
      <c r="AB70" s="52"/>
      <c r="AC70" s="52"/>
    </row>
    <row r="71" ht="48.600000000000001" customHeight="1">
      <c r="A71" s="73">
        <v>59</v>
      </c>
      <c r="B71" s="75"/>
      <c r="C71" s="75"/>
      <c r="D71" s="58" t="s">
        <v>812</v>
      </c>
      <c r="E71" s="58" t="s">
        <v>813</v>
      </c>
      <c r="F71" s="58" t="s">
        <v>210</v>
      </c>
      <c r="G71" s="58" t="s">
        <v>814</v>
      </c>
      <c r="H71" s="58" t="s">
        <v>815</v>
      </c>
      <c r="I71" s="58" t="s">
        <v>816</v>
      </c>
      <c r="J71" s="58" t="s">
        <v>817</v>
      </c>
      <c r="K71" s="74" t="s">
        <v>818</v>
      </c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77" t="s">
        <v>819</v>
      </c>
      <c r="X71" s="58" t="s">
        <v>507</v>
      </c>
      <c r="Y71" s="52"/>
      <c r="Z71" s="52"/>
      <c r="AA71" s="52"/>
      <c r="AB71" s="52"/>
      <c r="AC71" s="52"/>
    </row>
    <row r="72" ht="35.100000000000001" customHeight="1">
      <c r="A72" s="73">
        <v>60</v>
      </c>
      <c r="B72" s="75"/>
      <c r="C72" s="75"/>
      <c r="D72" s="58" t="s">
        <v>820</v>
      </c>
      <c r="E72" s="58" t="s">
        <v>821</v>
      </c>
      <c r="F72" s="58" t="s">
        <v>225</v>
      </c>
      <c r="G72" s="58" t="s">
        <v>822</v>
      </c>
      <c r="H72" s="58" t="s">
        <v>823</v>
      </c>
      <c r="I72" s="58" t="s">
        <v>504</v>
      </c>
      <c r="J72" s="58" t="s">
        <v>824</v>
      </c>
      <c r="K72" s="74" t="s">
        <v>825</v>
      </c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 t="s">
        <v>507</v>
      </c>
      <c r="Y72" s="52"/>
      <c r="Z72" s="52"/>
      <c r="AA72" s="52"/>
      <c r="AB72" s="52"/>
      <c r="AC72" s="52"/>
    </row>
    <row r="73" ht="48.600000000000001" customHeight="1">
      <c r="A73" s="73">
        <v>61</v>
      </c>
      <c r="B73" s="78"/>
      <c r="C73" s="78"/>
      <c r="D73" s="78"/>
      <c r="E73" s="58" t="s">
        <v>826</v>
      </c>
      <c r="F73" s="58" t="s">
        <v>210</v>
      </c>
      <c r="G73" s="58" t="s">
        <v>827</v>
      </c>
      <c r="H73" s="58" t="s">
        <v>828</v>
      </c>
      <c r="I73" s="58" t="s">
        <v>816</v>
      </c>
      <c r="J73" s="58" t="s">
        <v>829</v>
      </c>
      <c r="K73" s="74" t="s">
        <v>830</v>
      </c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77" t="s">
        <v>831</v>
      </c>
      <c r="X73" s="58" t="s">
        <v>507</v>
      </c>
      <c r="Y73" s="52"/>
      <c r="Z73" s="52"/>
      <c r="AA73" s="52"/>
      <c r="AB73" s="52"/>
      <c r="AC73" s="52"/>
    </row>
    <row r="74" ht="89.099999999999994" customHeight="1">
      <c r="A74" s="73">
        <v>62</v>
      </c>
      <c r="B74" s="58" t="s">
        <v>99</v>
      </c>
      <c r="C74" s="58" t="s">
        <v>100</v>
      </c>
      <c r="D74" s="58" t="s">
        <v>268</v>
      </c>
      <c r="E74" s="58" t="s">
        <v>832</v>
      </c>
      <c r="F74" s="58" t="s">
        <v>203</v>
      </c>
      <c r="G74" s="58" t="s">
        <v>833</v>
      </c>
      <c r="H74" s="58" t="s">
        <v>834</v>
      </c>
      <c r="I74" s="58" t="s">
        <v>504</v>
      </c>
      <c r="J74" s="58" t="s">
        <v>835</v>
      </c>
      <c r="K74" s="74" t="s">
        <v>836</v>
      </c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77" t="s">
        <v>837</v>
      </c>
      <c r="X74" s="58" t="s">
        <v>519</v>
      </c>
      <c r="Y74" s="52"/>
      <c r="Z74" s="52"/>
      <c r="AA74" s="52"/>
      <c r="AB74" s="52"/>
      <c r="AC74" s="52"/>
    </row>
    <row r="75" ht="35.100000000000001" customHeight="1">
      <c r="A75" s="73">
        <v>63</v>
      </c>
      <c r="B75" s="75"/>
      <c r="C75" s="75"/>
      <c r="D75" s="75"/>
      <c r="E75" s="58" t="s">
        <v>838</v>
      </c>
      <c r="F75" s="58" t="s">
        <v>210</v>
      </c>
      <c r="G75" s="58" t="s">
        <v>839</v>
      </c>
      <c r="H75" s="58" t="s">
        <v>840</v>
      </c>
      <c r="I75" s="58" t="s">
        <v>504</v>
      </c>
      <c r="J75" s="58" t="s">
        <v>841</v>
      </c>
      <c r="K75" s="74" t="s">
        <v>842</v>
      </c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 t="s">
        <v>519</v>
      </c>
      <c r="Y75" s="52"/>
      <c r="Z75" s="52"/>
      <c r="AA75" s="52"/>
      <c r="AB75" s="52"/>
      <c r="AC75" s="52"/>
    </row>
    <row r="76" ht="35.100000000000001" customHeight="1">
      <c r="A76" s="73">
        <v>64</v>
      </c>
      <c r="B76" s="75"/>
      <c r="C76" s="75"/>
      <c r="D76" s="75"/>
      <c r="E76" s="75"/>
      <c r="F76" s="58" t="s">
        <v>210</v>
      </c>
      <c r="G76" s="58" t="s">
        <v>843</v>
      </c>
      <c r="H76" s="58" t="s">
        <v>844</v>
      </c>
      <c r="I76" s="58" t="s">
        <v>504</v>
      </c>
      <c r="J76" s="58" t="s">
        <v>845</v>
      </c>
      <c r="K76" s="74" t="s">
        <v>846</v>
      </c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 t="s">
        <v>519</v>
      </c>
      <c r="Y76" s="52"/>
      <c r="Z76" s="52"/>
      <c r="AA76" s="52"/>
      <c r="AB76" s="52"/>
      <c r="AC76" s="52"/>
    </row>
    <row r="77" ht="35.100000000000001" customHeight="1">
      <c r="A77" s="73">
        <v>65</v>
      </c>
      <c r="B77" s="75"/>
      <c r="C77" s="75"/>
      <c r="D77" s="78"/>
      <c r="E77" s="78"/>
      <c r="F77" s="58" t="s">
        <v>210</v>
      </c>
      <c r="G77" s="58" t="s">
        <v>847</v>
      </c>
      <c r="H77" s="58" t="s">
        <v>848</v>
      </c>
      <c r="I77" s="58" t="s">
        <v>504</v>
      </c>
      <c r="J77" s="58" t="s">
        <v>849</v>
      </c>
      <c r="K77" s="74" t="s">
        <v>850</v>
      </c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 t="s">
        <v>519</v>
      </c>
      <c r="Y77" s="52"/>
      <c r="Z77" s="52"/>
      <c r="AA77" s="52"/>
      <c r="AB77" s="52"/>
      <c r="AC77" s="52"/>
    </row>
    <row r="78" ht="35.100000000000001" customHeight="1">
      <c r="A78" s="73">
        <v>66</v>
      </c>
      <c r="B78" s="75"/>
      <c r="C78" s="75"/>
      <c r="D78" s="58" t="s">
        <v>851</v>
      </c>
      <c r="E78" s="58" t="s">
        <v>852</v>
      </c>
      <c r="F78" s="58" t="s">
        <v>210</v>
      </c>
      <c r="G78" s="58" t="s">
        <v>853</v>
      </c>
      <c r="H78" s="58" t="s">
        <v>854</v>
      </c>
      <c r="I78" s="58" t="s">
        <v>504</v>
      </c>
      <c r="J78" s="58" t="s">
        <v>855</v>
      </c>
      <c r="K78" s="74" t="s">
        <v>856</v>
      </c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 t="s">
        <v>519</v>
      </c>
      <c r="Y78" s="52"/>
      <c r="Z78" s="52"/>
      <c r="AA78" s="52"/>
      <c r="AB78" s="52"/>
      <c r="AC78" s="52"/>
    </row>
    <row r="79" ht="48.600000000000001" customHeight="1">
      <c r="A79" s="73">
        <v>67</v>
      </c>
      <c r="B79" s="75"/>
      <c r="C79" s="75"/>
      <c r="D79" s="58" t="s">
        <v>857</v>
      </c>
      <c r="E79" s="58" t="s">
        <v>858</v>
      </c>
      <c r="F79" s="58" t="s">
        <v>210</v>
      </c>
      <c r="G79" s="58" t="s">
        <v>859</v>
      </c>
      <c r="H79" s="58" t="s">
        <v>860</v>
      </c>
      <c r="I79" s="58" t="s">
        <v>504</v>
      </c>
      <c r="J79" s="58" t="s">
        <v>861</v>
      </c>
      <c r="K79" s="74" t="s">
        <v>862</v>
      </c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77" t="s">
        <v>863</v>
      </c>
      <c r="X79" s="58" t="s">
        <v>864</v>
      </c>
      <c r="Y79" s="52"/>
      <c r="Z79" s="52"/>
      <c r="AA79" s="52"/>
      <c r="AB79" s="52"/>
      <c r="AC79" s="52"/>
    </row>
    <row r="80" ht="48.600000000000001" customHeight="1">
      <c r="A80" s="73">
        <v>68</v>
      </c>
      <c r="B80" s="75"/>
      <c r="C80" s="78"/>
      <c r="D80" s="78"/>
      <c r="E80" s="58" t="s">
        <v>865</v>
      </c>
      <c r="F80" s="58" t="s">
        <v>210</v>
      </c>
      <c r="G80" s="58" t="s">
        <v>866</v>
      </c>
      <c r="H80" s="58" t="s">
        <v>867</v>
      </c>
      <c r="I80" s="58" t="s">
        <v>504</v>
      </c>
      <c r="J80" s="58" t="s">
        <v>868</v>
      </c>
      <c r="K80" s="74" t="s">
        <v>869</v>
      </c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77" t="s">
        <v>870</v>
      </c>
      <c r="X80" s="58" t="s">
        <v>864</v>
      </c>
      <c r="Y80" s="52"/>
      <c r="Z80" s="52"/>
      <c r="AA80" s="52"/>
      <c r="AB80" s="52"/>
      <c r="AC80" s="52"/>
    </row>
    <row r="81" ht="75.599999999999994" customHeight="1">
      <c r="A81" s="73">
        <v>69</v>
      </c>
      <c r="B81" s="75"/>
      <c r="C81" s="58" t="s">
        <v>101</v>
      </c>
      <c r="D81" s="58" t="s">
        <v>268</v>
      </c>
      <c r="E81" s="58" t="s">
        <v>871</v>
      </c>
      <c r="F81" s="58" t="s">
        <v>225</v>
      </c>
      <c r="G81" s="58" t="s">
        <v>872</v>
      </c>
      <c r="H81" s="58" t="s">
        <v>873</v>
      </c>
      <c r="I81" s="58" t="s">
        <v>504</v>
      </c>
      <c r="J81" s="58" t="s">
        <v>874</v>
      </c>
      <c r="K81" s="74" t="s">
        <v>875</v>
      </c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 t="s">
        <v>519</v>
      </c>
      <c r="Y81" s="52"/>
      <c r="Z81" s="52"/>
      <c r="AA81" s="52"/>
      <c r="AB81" s="52"/>
      <c r="AC81" s="52"/>
    </row>
    <row r="82" ht="62.100000000000001" customHeight="1">
      <c r="A82" s="73">
        <v>70</v>
      </c>
      <c r="B82" s="75"/>
      <c r="C82" s="78"/>
      <c r="D82" s="58" t="s">
        <v>876</v>
      </c>
      <c r="E82" s="58" t="s">
        <v>877</v>
      </c>
      <c r="F82" s="58" t="s">
        <v>225</v>
      </c>
      <c r="G82" s="58" t="s">
        <v>878</v>
      </c>
      <c r="H82" s="58" t="s">
        <v>879</v>
      </c>
      <c r="I82" s="58" t="s">
        <v>504</v>
      </c>
      <c r="J82" s="58" t="s">
        <v>880</v>
      </c>
      <c r="K82" s="74" t="s">
        <v>881</v>
      </c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 t="s">
        <v>519</v>
      </c>
      <c r="Y82" s="52"/>
      <c r="Z82" s="52"/>
      <c r="AA82" s="52"/>
      <c r="AB82" s="52"/>
      <c r="AC82" s="52"/>
    </row>
    <row r="83" ht="75.599999999999994" customHeight="1">
      <c r="A83" s="73">
        <v>71</v>
      </c>
      <c r="B83" s="75"/>
      <c r="C83" s="58" t="s">
        <v>102</v>
      </c>
      <c r="D83" s="58" t="s">
        <v>268</v>
      </c>
      <c r="E83" s="58" t="s">
        <v>882</v>
      </c>
      <c r="F83" s="58" t="s">
        <v>203</v>
      </c>
      <c r="G83" s="58" t="s">
        <v>883</v>
      </c>
      <c r="H83" s="58" t="s">
        <v>884</v>
      </c>
      <c r="I83" s="58" t="s">
        <v>885</v>
      </c>
      <c r="J83" s="58" t="s">
        <v>886</v>
      </c>
      <c r="K83" s="74" t="s">
        <v>887</v>
      </c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 t="s">
        <v>519</v>
      </c>
      <c r="Y83" s="52"/>
      <c r="Z83" s="52"/>
      <c r="AA83" s="52"/>
      <c r="AB83" s="52"/>
      <c r="AC83" s="52"/>
    </row>
    <row r="84" ht="62.100000000000001" customHeight="1">
      <c r="A84" s="73">
        <v>72</v>
      </c>
      <c r="B84" s="75"/>
      <c r="C84" s="75"/>
      <c r="D84" s="75"/>
      <c r="E84" s="58" t="s">
        <v>888</v>
      </c>
      <c r="F84" s="58" t="s">
        <v>210</v>
      </c>
      <c r="G84" s="58" t="s">
        <v>889</v>
      </c>
      <c r="H84" s="58" t="s">
        <v>890</v>
      </c>
      <c r="I84" s="58" t="s">
        <v>891</v>
      </c>
      <c r="J84" s="58" t="s">
        <v>892</v>
      </c>
      <c r="K84" s="74" t="s">
        <v>893</v>
      </c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 t="s">
        <v>519</v>
      </c>
      <c r="Y84" s="52"/>
      <c r="Z84" s="52"/>
      <c r="AA84" s="52"/>
      <c r="AB84" s="52"/>
      <c r="AC84" s="52"/>
    </row>
    <row r="85" ht="89.099999999999994" customHeight="1">
      <c r="A85" s="73">
        <v>73</v>
      </c>
      <c r="B85" s="75"/>
      <c r="C85" s="75"/>
      <c r="D85" s="75"/>
      <c r="E85" s="58" t="s">
        <v>894</v>
      </c>
      <c r="F85" s="58" t="s">
        <v>203</v>
      </c>
      <c r="G85" s="58" t="s">
        <v>895</v>
      </c>
      <c r="H85" s="58" t="s">
        <v>896</v>
      </c>
      <c r="I85" s="58" t="s">
        <v>897</v>
      </c>
      <c r="J85" s="58" t="s">
        <v>898</v>
      </c>
      <c r="K85" s="74" t="s">
        <v>899</v>
      </c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 t="s">
        <v>519</v>
      </c>
      <c r="Y85" s="52"/>
      <c r="Z85" s="52"/>
      <c r="AA85" s="52"/>
      <c r="AB85" s="52"/>
      <c r="AC85" s="52"/>
    </row>
    <row r="86" ht="75.599999999999994" customHeight="1">
      <c r="A86" s="73">
        <v>74</v>
      </c>
      <c r="B86" s="75"/>
      <c r="C86" s="78"/>
      <c r="D86" s="78"/>
      <c r="E86" s="58" t="s">
        <v>900</v>
      </c>
      <c r="F86" s="58" t="s">
        <v>225</v>
      </c>
      <c r="G86" s="58" t="s">
        <v>901</v>
      </c>
      <c r="H86" s="58" t="s">
        <v>902</v>
      </c>
      <c r="I86" s="58" t="s">
        <v>903</v>
      </c>
      <c r="J86" s="58" t="s">
        <v>892</v>
      </c>
      <c r="K86" s="74" t="s">
        <v>904</v>
      </c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 t="s">
        <v>519</v>
      </c>
      <c r="Y86" s="52"/>
      <c r="Z86" s="52"/>
      <c r="AA86" s="52"/>
      <c r="AB86" s="52"/>
      <c r="AC86" s="52"/>
    </row>
    <row r="87" ht="129.59999999999999" customHeight="1">
      <c r="A87" s="73">
        <v>75</v>
      </c>
      <c r="B87" s="75"/>
      <c r="C87" s="58" t="s">
        <v>103</v>
      </c>
      <c r="D87" s="58" t="s">
        <v>552</v>
      </c>
      <c r="E87" s="58" t="s">
        <v>905</v>
      </c>
      <c r="F87" s="58" t="s">
        <v>203</v>
      </c>
      <c r="G87" s="58" t="s">
        <v>906</v>
      </c>
      <c r="H87" s="58" t="s">
        <v>907</v>
      </c>
      <c r="I87" s="58" t="s">
        <v>504</v>
      </c>
      <c r="J87" s="58" t="s">
        <v>908</v>
      </c>
      <c r="K87" s="74" t="s">
        <v>909</v>
      </c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77" t="s">
        <v>910</v>
      </c>
      <c r="X87" s="58" t="s">
        <v>864</v>
      </c>
      <c r="Y87" s="52"/>
      <c r="Z87" s="52"/>
      <c r="AA87" s="52"/>
      <c r="AB87" s="52"/>
      <c r="AC87" s="52"/>
    </row>
    <row r="88" ht="62.100000000000001" customHeight="1">
      <c r="A88" s="73">
        <v>76</v>
      </c>
      <c r="B88" s="75"/>
      <c r="C88" s="75"/>
      <c r="D88" s="58" t="s">
        <v>393</v>
      </c>
      <c r="E88" s="58" t="s">
        <v>911</v>
      </c>
      <c r="F88" s="58" t="s">
        <v>203</v>
      </c>
      <c r="G88" s="58" t="s">
        <v>912</v>
      </c>
      <c r="H88" s="58" t="s">
        <v>913</v>
      </c>
      <c r="I88" s="58" t="s">
        <v>504</v>
      </c>
      <c r="J88" s="58" t="s">
        <v>914</v>
      </c>
      <c r="K88" s="74" t="s">
        <v>915</v>
      </c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77" t="s">
        <v>592</v>
      </c>
      <c r="X88" s="58" t="s">
        <v>864</v>
      </c>
      <c r="Y88" s="52"/>
      <c r="Z88" s="52"/>
      <c r="AA88" s="52"/>
      <c r="AB88" s="52"/>
      <c r="AC88" s="52"/>
    </row>
    <row r="89" ht="62.100000000000001" customHeight="1">
      <c r="A89" s="73">
        <v>77</v>
      </c>
      <c r="B89" s="75"/>
      <c r="C89" s="75"/>
      <c r="D89" s="75"/>
      <c r="E89" s="58" t="s">
        <v>916</v>
      </c>
      <c r="F89" s="58" t="s">
        <v>203</v>
      </c>
      <c r="G89" s="58" t="s">
        <v>917</v>
      </c>
      <c r="H89" s="58" t="s">
        <v>918</v>
      </c>
      <c r="I89" s="58" t="s">
        <v>504</v>
      </c>
      <c r="J89" s="58" t="s">
        <v>919</v>
      </c>
      <c r="K89" s="74" t="s">
        <v>920</v>
      </c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77" t="s">
        <v>592</v>
      </c>
      <c r="X89" s="58" t="s">
        <v>864</v>
      </c>
      <c r="Y89" s="52"/>
      <c r="Z89" s="52"/>
      <c r="AA89" s="52"/>
      <c r="AB89" s="52"/>
      <c r="AC89" s="52"/>
    </row>
    <row r="90" ht="62.100000000000001" customHeight="1">
      <c r="A90" s="73">
        <v>78</v>
      </c>
      <c r="B90" s="75"/>
      <c r="C90" s="75"/>
      <c r="D90" s="75"/>
      <c r="E90" s="58" t="s">
        <v>921</v>
      </c>
      <c r="F90" s="58" t="s">
        <v>210</v>
      </c>
      <c r="G90" s="58" t="s">
        <v>922</v>
      </c>
      <c r="H90" s="58" t="s">
        <v>923</v>
      </c>
      <c r="I90" s="58" t="s">
        <v>504</v>
      </c>
      <c r="J90" s="58" t="s">
        <v>924</v>
      </c>
      <c r="K90" s="74" t="s">
        <v>925</v>
      </c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77" t="s">
        <v>926</v>
      </c>
      <c r="X90" s="58" t="s">
        <v>864</v>
      </c>
      <c r="Y90" s="52"/>
      <c r="Z90" s="52"/>
      <c r="AA90" s="52"/>
      <c r="AB90" s="52"/>
      <c r="AC90" s="52"/>
    </row>
    <row r="91" ht="48.600000000000001" customHeight="1">
      <c r="A91" s="73">
        <v>79</v>
      </c>
      <c r="B91" s="75"/>
      <c r="C91" s="75"/>
      <c r="D91" s="75"/>
      <c r="E91" s="58" t="s">
        <v>622</v>
      </c>
      <c r="F91" s="58" t="s">
        <v>210</v>
      </c>
      <c r="G91" s="58" t="s">
        <v>927</v>
      </c>
      <c r="H91" s="58" t="s">
        <v>928</v>
      </c>
      <c r="I91" s="58" t="s">
        <v>504</v>
      </c>
      <c r="J91" s="58" t="s">
        <v>929</v>
      </c>
      <c r="K91" s="74" t="s">
        <v>930</v>
      </c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 t="s">
        <v>864</v>
      </c>
      <c r="Y91" s="52"/>
      <c r="Z91" s="52"/>
      <c r="AA91" s="52"/>
      <c r="AB91" s="52"/>
      <c r="AC91" s="52"/>
    </row>
    <row r="92" ht="62.100000000000001" customHeight="1">
      <c r="A92" s="73">
        <v>80</v>
      </c>
      <c r="B92" s="75"/>
      <c r="C92" s="75"/>
      <c r="D92" s="78"/>
      <c r="E92" s="58" t="s">
        <v>931</v>
      </c>
      <c r="F92" s="58" t="s">
        <v>203</v>
      </c>
      <c r="G92" s="58" t="s">
        <v>932</v>
      </c>
      <c r="H92" s="58" t="s">
        <v>933</v>
      </c>
      <c r="I92" s="58" t="s">
        <v>934</v>
      </c>
      <c r="J92" s="58" t="s">
        <v>935</v>
      </c>
      <c r="K92" s="74" t="s">
        <v>936</v>
      </c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77" t="s">
        <v>937</v>
      </c>
      <c r="X92" s="58" t="s">
        <v>864</v>
      </c>
      <c r="Y92" s="52"/>
      <c r="Z92" s="52"/>
      <c r="AA92" s="52"/>
      <c r="AB92" s="52"/>
      <c r="AC92" s="52"/>
    </row>
    <row r="93" ht="62.100000000000001" customHeight="1">
      <c r="A93" s="73">
        <v>81</v>
      </c>
      <c r="B93" s="75"/>
      <c r="C93" s="75"/>
      <c r="D93" s="58" t="s">
        <v>369</v>
      </c>
      <c r="E93" s="58" t="s">
        <v>938</v>
      </c>
      <c r="F93" s="58" t="s">
        <v>203</v>
      </c>
      <c r="G93" s="58" t="s">
        <v>939</v>
      </c>
      <c r="H93" s="58" t="s">
        <v>940</v>
      </c>
      <c r="I93" s="58" t="s">
        <v>504</v>
      </c>
      <c r="J93" s="58" t="s">
        <v>941</v>
      </c>
      <c r="K93" s="74" t="s">
        <v>942</v>
      </c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 t="s">
        <v>864</v>
      </c>
      <c r="Y93" s="52"/>
      <c r="Z93" s="52"/>
      <c r="AA93" s="52"/>
      <c r="AB93" s="52"/>
      <c r="AC93" s="52"/>
    </row>
    <row r="94" ht="89.099999999999994" customHeight="1">
      <c r="A94" s="73">
        <v>82</v>
      </c>
      <c r="B94" s="75"/>
      <c r="C94" s="75"/>
      <c r="D94" s="75"/>
      <c r="E94" s="58" t="s">
        <v>943</v>
      </c>
      <c r="F94" s="58" t="s">
        <v>203</v>
      </c>
      <c r="G94" s="58" t="s">
        <v>944</v>
      </c>
      <c r="H94" s="58" t="s">
        <v>945</v>
      </c>
      <c r="I94" s="58" t="s">
        <v>504</v>
      </c>
      <c r="J94" s="58" t="s">
        <v>946</v>
      </c>
      <c r="K94" s="74" t="s">
        <v>947</v>
      </c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 t="s">
        <v>864</v>
      </c>
      <c r="Y94" s="52"/>
      <c r="Z94" s="52"/>
      <c r="AA94" s="52"/>
      <c r="AB94" s="52"/>
      <c r="AC94" s="52"/>
    </row>
    <row r="95" ht="89.099999999999994" customHeight="1">
      <c r="A95" s="73">
        <v>83</v>
      </c>
      <c r="B95" s="75"/>
      <c r="C95" s="78"/>
      <c r="D95" s="78"/>
      <c r="E95" s="58" t="s">
        <v>948</v>
      </c>
      <c r="F95" s="58" t="s">
        <v>210</v>
      </c>
      <c r="G95" s="58" t="s">
        <v>949</v>
      </c>
      <c r="H95" s="58" t="s">
        <v>950</v>
      </c>
      <c r="I95" s="58" t="s">
        <v>504</v>
      </c>
      <c r="J95" s="58" t="s">
        <v>951</v>
      </c>
      <c r="K95" s="74" t="s">
        <v>952</v>
      </c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 t="s">
        <v>864</v>
      </c>
      <c r="Y95" s="52"/>
      <c r="Z95" s="52"/>
      <c r="AA95" s="52"/>
      <c r="AB95" s="52"/>
      <c r="AC95" s="52"/>
    </row>
    <row r="96" ht="48">
      <c r="A96" s="73">
        <v>84</v>
      </c>
      <c r="B96" s="75"/>
      <c r="C96" s="58" t="s">
        <v>104</v>
      </c>
      <c r="D96" s="58" t="s">
        <v>953</v>
      </c>
      <c r="E96" s="58" t="s">
        <v>954</v>
      </c>
      <c r="F96" s="58" t="s">
        <v>210</v>
      </c>
      <c r="G96" s="58" t="s">
        <v>955</v>
      </c>
      <c r="H96" s="58" t="s">
        <v>956</v>
      </c>
      <c r="I96" s="58" t="s">
        <v>504</v>
      </c>
      <c r="J96" s="58" t="s">
        <v>957</v>
      </c>
      <c r="K96" s="82" t="s">
        <v>958</v>
      </c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77" t="s">
        <v>959</v>
      </c>
      <c r="X96" s="58" t="s">
        <v>519</v>
      </c>
      <c r="Y96" s="52"/>
      <c r="Z96" s="52"/>
      <c r="AA96" s="52"/>
      <c r="AB96" s="52"/>
      <c r="AC96" s="52"/>
    </row>
    <row r="97" ht="129.59999999999999" customHeight="1">
      <c r="A97" s="73">
        <v>85</v>
      </c>
      <c r="B97" s="75"/>
      <c r="C97" s="75"/>
      <c r="D97" s="58" t="s">
        <v>268</v>
      </c>
      <c r="E97" s="58" t="s">
        <v>960</v>
      </c>
      <c r="F97" s="58" t="s">
        <v>203</v>
      </c>
      <c r="G97" s="58" t="s">
        <v>961</v>
      </c>
      <c r="H97" s="58" t="s">
        <v>962</v>
      </c>
      <c r="I97" s="58" t="s">
        <v>504</v>
      </c>
      <c r="J97" s="58" t="s">
        <v>963</v>
      </c>
      <c r="K97" s="74" t="s">
        <v>964</v>
      </c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77" t="s">
        <v>965</v>
      </c>
      <c r="X97" s="58" t="s">
        <v>519</v>
      </c>
      <c r="Y97" s="52"/>
      <c r="Z97" s="52"/>
      <c r="AA97" s="52"/>
      <c r="AB97" s="52"/>
      <c r="AC97" s="52"/>
    </row>
    <row r="98" ht="48.600000000000001" customHeight="1">
      <c r="A98" s="73">
        <v>86</v>
      </c>
      <c r="B98" s="75"/>
      <c r="C98" s="75"/>
      <c r="D98" s="75"/>
      <c r="E98" s="58" t="s">
        <v>966</v>
      </c>
      <c r="F98" s="58" t="s">
        <v>210</v>
      </c>
      <c r="G98" s="58" t="s">
        <v>967</v>
      </c>
      <c r="H98" s="58" t="s">
        <v>968</v>
      </c>
      <c r="I98" s="58" t="s">
        <v>504</v>
      </c>
      <c r="J98" s="58" t="s">
        <v>969</v>
      </c>
      <c r="K98" s="74" t="s">
        <v>970</v>
      </c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 t="s">
        <v>519</v>
      </c>
      <c r="Y98" s="52"/>
      <c r="Z98" s="52"/>
      <c r="AA98" s="52"/>
      <c r="AB98" s="52"/>
      <c r="AC98" s="52"/>
    </row>
    <row r="99" ht="62.100000000000001" customHeight="1">
      <c r="A99" s="73">
        <v>87</v>
      </c>
      <c r="B99" s="75"/>
      <c r="C99" s="75"/>
      <c r="D99" s="75"/>
      <c r="E99" s="58" t="s">
        <v>971</v>
      </c>
      <c r="F99" s="58" t="s">
        <v>203</v>
      </c>
      <c r="G99" s="58" t="s">
        <v>972</v>
      </c>
      <c r="H99" s="58" t="s">
        <v>973</v>
      </c>
      <c r="I99" s="58" t="s">
        <v>504</v>
      </c>
      <c r="J99" s="58" t="s">
        <v>974</v>
      </c>
      <c r="K99" s="74" t="s">
        <v>975</v>
      </c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77" t="s">
        <v>976</v>
      </c>
      <c r="X99" s="58" t="s">
        <v>519</v>
      </c>
      <c r="Y99" s="52"/>
      <c r="Z99" s="52"/>
      <c r="AA99" s="52"/>
      <c r="AB99" s="52"/>
      <c r="AC99" s="52"/>
    </row>
    <row r="100" ht="48.600000000000001" customHeight="1">
      <c r="A100" s="73">
        <v>88</v>
      </c>
      <c r="B100" s="75"/>
      <c r="C100" s="75"/>
      <c r="D100" s="75"/>
      <c r="E100" s="78"/>
      <c r="F100" s="58" t="s">
        <v>210</v>
      </c>
      <c r="G100" s="58" t="s">
        <v>977</v>
      </c>
      <c r="H100" s="58" t="s">
        <v>978</v>
      </c>
      <c r="I100" s="58" t="s">
        <v>504</v>
      </c>
      <c r="J100" s="58" t="s">
        <v>979</v>
      </c>
      <c r="K100" s="74" t="s">
        <v>980</v>
      </c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 t="s">
        <v>519</v>
      </c>
      <c r="Y100" s="52"/>
      <c r="Z100" s="52"/>
      <c r="AA100" s="52"/>
      <c r="AB100" s="52"/>
      <c r="AC100" s="52"/>
    </row>
    <row r="101" ht="62.100000000000001" customHeight="1">
      <c r="A101" s="73">
        <v>89</v>
      </c>
      <c r="B101" s="75"/>
      <c r="C101" s="75"/>
      <c r="D101" s="75"/>
      <c r="E101" s="58" t="s">
        <v>981</v>
      </c>
      <c r="F101" s="58" t="s">
        <v>203</v>
      </c>
      <c r="G101" s="58" t="s">
        <v>982</v>
      </c>
      <c r="H101" s="58" t="s">
        <v>983</v>
      </c>
      <c r="I101" s="58" t="s">
        <v>504</v>
      </c>
      <c r="J101" s="58" t="s">
        <v>984</v>
      </c>
      <c r="K101" s="74" t="s">
        <v>985</v>
      </c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77" t="s">
        <v>986</v>
      </c>
      <c r="X101" s="58" t="s">
        <v>742</v>
      </c>
      <c r="Y101" s="52"/>
      <c r="Z101" s="52"/>
      <c r="AA101" s="52"/>
      <c r="AB101" s="52"/>
      <c r="AC101" s="52"/>
    </row>
    <row r="102" ht="62.100000000000001" customHeight="1">
      <c r="A102" s="73">
        <v>90</v>
      </c>
      <c r="B102" s="75"/>
      <c r="C102" s="75"/>
      <c r="D102" s="75"/>
      <c r="E102" s="75"/>
      <c r="F102" s="58" t="s">
        <v>210</v>
      </c>
      <c r="G102" s="58" t="s">
        <v>987</v>
      </c>
      <c r="H102" s="58" t="s">
        <v>988</v>
      </c>
      <c r="I102" s="58" t="s">
        <v>504</v>
      </c>
      <c r="J102" s="58" t="s">
        <v>989</v>
      </c>
      <c r="K102" s="74" t="s">
        <v>990</v>
      </c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77" t="s">
        <v>986</v>
      </c>
      <c r="X102" s="58" t="s">
        <v>742</v>
      </c>
      <c r="Y102" s="52"/>
      <c r="Z102" s="52"/>
      <c r="AA102" s="52"/>
      <c r="AB102" s="52"/>
      <c r="AC102" s="52"/>
    </row>
    <row r="103" ht="62.100000000000001" customHeight="1">
      <c r="A103" s="73">
        <v>91</v>
      </c>
      <c r="B103" s="75"/>
      <c r="C103" s="75"/>
      <c r="D103" s="75"/>
      <c r="E103" s="75"/>
      <c r="F103" s="58" t="s">
        <v>210</v>
      </c>
      <c r="G103" s="58" t="s">
        <v>991</v>
      </c>
      <c r="H103" s="58" t="s">
        <v>992</v>
      </c>
      <c r="I103" s="58" t="s">
        <v>504</v>
      </c>
      <c r="J103" s="58" t="s">
        <v>993</v>
      </c>
      <c r="K103" s="74" t="s">
        <v>994</v>
      </c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77" t="s">
        <v>986</v>
      </c>
      <c r="X103" s="58" t="s">
        <v>742</v>
      </c>
      <c r="Y103" s="52"/>
      <c r="Z103" s="52"/>
      <c r="AA103" s="52"/>
      <c r="AB103" s="52"/>
      <c r="AC103" s="52"/>
    </row>
    <row r="104" ht="62.100000000000001" customHeight="1">
      <c r="A104" s="73">
        <v>92</v>
      </c>
      <c r="B104" s="75"/>
      <c r="C104" s="75"/>
      <c r="D104" s="75"/>
      <c r="E104" s="78"/>
      <c r="F104" s="58" t="s">
        <v>210</v>
      </c>
      <c r="G104" s="58" t="s">
        <v>995</v>
      </c>
      <c r="H104" s="58" t="s">
        <v>996</v>
      </c>
      <c r="I104" s="58" t="s">
        <v>504</v>
      </c>
      <c r="J104" s="58" t="s">
        <v>997</v>
      </c>
      <c r="K104" s="74" t="s">
        <v>998</v>
      </c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77" t="s">
        <v>986</v>
      </c>
      <c r="X104" s="58" t="s">
        <v>742</v>
      </c>
      <c r="Y104" s="52"/>
      <c r="Z104" s="52"/>
      <c r="AA104" s="52"/>
      <c r="AB104" s="52"/>
      <c r="AC104" s="52"/>
    </row>
    <row r="105" ht="48.600000000000001" customHeight="1">
      <c r="A105" s="73">
        <v>93</v>
      </c>
      <c r="B105" s="75"/>
      <c r="C105" s="75"/>
      <c r="D105" s="75"/>
      <c r="E105" s="58" t="s">
        <v>999</v>
      </c>
      <c r="F105" s="58" t="s">
        <v>210</v>
      </c>
      <c r="G105" s="58" t="s">
        <v>1000</v>
      </c>
      <c r="H105" s="58" t="s">
        <v>1001</v>
      </c>
      <c r="I105" s="58" t="s">
        <v>504</v>
      </c>
      <c r="J105" s="58" t="s">
        <v>1002</v>
      </c>
      <c r="K105" s="74" t="s">
        <v>1003</v>
      </c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77" t="s">
        <v>1004</v>
      </c>
      <c r="X105" s="58" t="s">
        <v>519</v>
      </c>
      <c r="Y105" s="52"/>
      <c r="Z105" s="52"/>
      <c r="AA105" s="52"/>
      <c r="AB105" s="52"/>
      <c r="AC105" s="52"/>
    </row>
    <row r="106" ht="62.100000000000001" customHeight="1">
      <c r="A106" s="73">
        <v>94</v>
      </c>
      <c r="B106" s="75"/>
      <c r="C106" s="75"/>
      <c r="D106" s="78"/>
      <c r="E106" s="58" t="s">
        <v>1005</v>
      </c>
      <c r="F106" s="58" t="s">
        <v>210</v>
      </c>
      <c r="G106" s="58" t="s">
        <v>1006</v>
      </c>
      <c r="H106" s="58" t="s">
        <v>1007</v>
      </c>
      <c r="I106" s="58" t="s">
        <v>504</v>
      </c>
      <c r="J106" s="58" t="s">
        <v>1008</v>
      </c>
      <c r="K106" s="74" t="s">
        <v>1009</v>
      </c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 t="s">
        <v>519</v>
      </c>
      <c r="Y106" s="52"/>
      <c r="Z106" s="52"/>
      <c r="AA106" s="52"/>
      <c r="AB106" s="52"/>
      <c r="AC106" s="52"/>
    </row>
    <row r="107" ht="48.600000000000001" customHeight="1">
      <c r="A107" s="73">
        <v>95</v>
      </c>
      <c r="B107" s="75"/>
      <c r="C107" s="78"/>
      <c r="D107" s="58" t="s">
        <v>448</v>
      </c>
      <c r="E107" s="58" t="s">
        <v>1010</v>
      </c>
      <c r="F107" s="58" t="s">
        <v>203</v>
      </c>
      <c r="G107" s="58" t="s">
        <v>1011</v>
      </c>
      <c r="H107" s="58" t="s">
        <v>1012</v>
      </c>
      <c r="I107" s="58" t="s">
        <v>504</v>
      </c>
      <c r="J107" s="58" t="s">
        <v>1013</v>
      </c>
      <c r="K107" s="74" t="s">
        <v>1014</v>
      </c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 t="s">
        <v>519</v>
      </c>
      <c r="Y107" s="52"/>
      <c r="Z107" s="52"/>
      <c r="AA107" s="52"/>
      <c r="AB107" s="52"/>
      <c r="AC107" s="52"/>
    </row>
    <row r="108" ht="156.59999999999999" customHeight="1">
      <c r="A108" s="73">
        <v>96</v>
      </c>
      <c r="B108" s="75"/>
      <c r="C108" s="58" t="s">
        <v>105</v>
      </c>
      <c r="D108" s="58" t="s">
        <v>552</v>
      </c>
      <c r="E108" s="58" t="s">
        <v>1015</v>
      </c>
      <c r="F108" s="58" t="s">
        <v>203</v>
      </c>
      <c r="G108" s="58" t="s">
        <v>1016</v>
      </c>
      <c r="H108" s="58" t="s">
        <v>1017</v>
      </c>
      <c r="I108" s="58" t="s">
        <v>504</v>
      </c>
      <c r="J108" s="58" t="s">
        <v>1018</v>
      </c>
      <c r="K108" s="74" t="s">
        <v>1019</v>
      </c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 t="s">
        <v>1020</v>
      </c>
      <c r="Y108" s="52"/>
      <c r="Z108" s="52"/>
      <c r="AA108" s="52"/>
      <c r="AB108" s="52"/>
      <c r="AC108" s="52"/>
    </row>
    <row r="109" ht="62.100000000000001" customHeight="1">
      <c r="A109" s="73">
        <v>97</v>
      </c>
      <c r="B109" s="75"/>
      <c r="C109" s="75"/>
      <c r="D109" s="58" t="s">
        <v>1021</v>
      </c>
      <c r="E109" s="58" t="s">
        <v>1022</v>
      </c>
      <c r="F109" s="58" t="s">
        <v>203</v>
      </c>
      <c r="G109" s="58" t="s">
        <v>1023</v>
      </c>
      <c r="H109" s="58" t="s">
        <v>1024</v>
      </c>
      <c r="I109" s="58" t="s">
        <v>504</v>
      </c>
      <c r="J109" s="58" t="s">
        <v>1025</v>
      </c>
      <c r="K109" s="74" t="s">
        <v>1026</v>
      </c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 t="s">
        <v>1020</v>
      </c>
      <c r="Y109" s="52"/>
      <c r="Z109" s="52"/>
      <c r="AA109" s="52"/>
      <c r="AB109" s="52"/>
      <c r="AC109" s="52"/>
    </row>
    <row r="110" ht="62.100000000000001" customHeight="1">
      <c r="A110" s="73">
        <v>98</v>
      </c>
      <c r="B110" s="75"/>
      <c r="C110" s="75"/>
      <c r="D110" s="78"/>
      <c r="E110" s="58" t="s">
        <v>1027</v>
      </c>
      <c r="F110" s="58" t="s">
        <v>203</v>
      </c>
      <c r="G110" s="58" t="s">
        <v>1028</v>
      </c>
      <c r="H110" s="58" t="s">
        <v>1029</v>
      </c>
      <c r="I110" s="58" t="s">
        <v>504</v>
      </c>
      <c r="J110" s="58" t="s">
        <v>1030</v>
      </c>
      <c r="K110" s="74" t="s">
        <v>1031</v>
      </c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77" t="s">
        <v>1032</v>
      </c>
      <c r="X110" s="58" t="s">
        <v>1020</v>
      </c>
      <c r="Y110" s="52"/>
      <c r="Z110" s="52"/>
      <c r="AA110" s="52"/>
      <c r="AB110" s="52"/>
      <c r="AC110" s="52"/>
    </row>
    <row r="111" ht="102.59999999999999" customHeight="1">
      <c r="A111" s="73">
        <v>99</v>
      </c>
      <c r="B111" s="75"/>
      <c r="C111" s="75"/>
      <c r="D111" s="58" t="s">
        <v>1033</v>
      </c>
      <c r="E111" s="58" t="s">
        <v>1034</v>
      </c>
      <c r="F111" s="58" t="s">
        <v>203</v>
      </c>
      <c r="G111" s="58" t="s">
        <v>1035</v>
      </c>
      <c r="H111" s="58" t="s">
        <v>1036</v>
      </c>
      <c r="I111" s="58" t="s">
        <v>504</v>
      </c>
      <c r="J111" s="58" t="s">
        <v>1037</v>
      </c>
      <c r="K111" s="74" t="s">
        <v>1038</v>
      </c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77" t="s">
        <v>1039</v>
      </c>
      <c r="X111" s="58" t="s">
        <v>1020</v>
      </c>
      <c r="Y111" s="52"/>
      <c r="Z111" s="52"/>
      <c r="AA111" s="52"/>
      <c r="AB111" s="52"/>
      <c r="AC111" s="52"/>
    </row>
    <row r="112" ht="48.600000000000001" customHeight="1">
      <c r="A112" s="73">
        <v>100</v>
      </c>
      <c r="B112" s="75"/>
      <c r="C112" s="75"/>
      <c r="D112" s="78"/>
      <c r="E112" s="58" t="s">
        <v>1040</v>
      </c>
      <c r="F112" s="58" t="s">
        <v>210</v>
      </c>
      <c r="G112" s="58" t="s">
        <v>1041</v>
      </c>
      <c r="H112" s="58" t="s">
        <v>1042</v>
      </c>
      <c r="I112" s="58" t="s">
        <v>504</v>
      </c>
      <c r="J112" s="58" t="s">
        <v>1043</v>
      </c>
      <c r="K112" s="74" t="s">
        <v>1044</v>
      </c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77" t="s">
        <v>1045</v>
      </c>
      <c r="X112" s="58" t="s">
        <v>1020</v>
      </c>
      <c r="Y112" s="52"/>
      <c r="Z112" s="52"/>
      <c r="AA112" s="52"/>
      <c r="AB112" s="52"/>
      <c r="AC112" s="52"/>
    </row>
    <row r="113" ht="48.600000000000001" customHeight="1">
      <c r="A113" s="73">
        <v>101</v>
      </c>
      <c r="B113" s="75"/>
      <c r="C113" s="75"/>
      <c r="D113" s="58" t="s">
        <v>393</v>
      </c>
      <c r="E113" s="58" t="s">
        <v>1046</v>
      </c>
      <c r="F113" s="58" t="s">
        <v>203</v>
      </c>
      <c r="G113" s="58" t="s">
        <v>1047</v>
      </c>
      <c r="H113" s="58" t="s">
        <v>1048</v>
      </c>
      <c r="I113" s="58" t="s">
        <v>504</v>
      </c>
      <c r="J113" s="58" t="s">
        <v>1049</v>
      </c>
      <c r="K113" s="74" t="s">
        <v>1050</v>
      </c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77" t="s">
        <v>1051</v>
      </c>
      <c r="X113" s="58" t="s">
        <v>1020</v>
      </c>
      <c r="Y113" s="52"/>
      <c r="Z113" s="52"/>
      <c r="AA113" s="52"/>
      <c r="AB113" s="52"/>
      <c r="AC113" s="52"/>
    </row>
    <row r="114" ht="75.599999999999994" customHeight="1">
      <c r="A114" s="73">
        <v>102</v>
      </c>
      <c r="B114" s="75"/>
      <c r="C114" s="75"/>
      <c r="D114" s="75"/>
      <c r="E114" s="58" t="s">
        <v>1052</v>
      </c>
      <c r="F114" s="58" t="s">
        <v>203</v>
      </c>
      <c r="G114" s="58" t="s">
        <v>1053</v>
      </c>
      <c r="H114" s="58" t="s">
        <v>1054</v>
      </c>
      <c r="I114" s="58" t="s">
        <v>504</v>
      </c>
      <c r="J114" s="58" t="s">
        <v>1055</v>
      </c>
      <c r="K114" s="74" t="s">
        <v>1050</v>
      </c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77" t="s">
        <v>1056</v>
      </c>
      <c r="X114" s="58" t="s">
        <v>1020</v>
      </c>
      <c r="Y114" s="52"/>
      <c r="Z114" s="52"/>
      <c r="AA114" s="52"/>
      <c r="AB114" s="52"/>
      <c r="AC114" s="52"/>
    </row>
    <row r="115" ht="62.100000000000001" customHeight="1">
      <c r="A115" s="73">
        <v>103</v>
      </c>
      <c r="B115" s="75"/>
      <c r="C115" s="75"/>
      <c r="D115" s="75"/>
      <c r="E115" s="58" t="s">
        <v>622</v>
      </c>
      <c r="F115" s="58" t="s">
        <v>210</v>
      </c>
      <c r="G115" s="58" t="s">
        <v>1057</v>
      </c>
      <c r="H115" s="58" t="s">
        <v>1058</v>
      </c>
      <c r="I115" s="58" t="s">
        <v>504</v>
      </c>
      <c r="J115" s="58" t="s">
        <v>1059</v>
      </c>
      <c r="K115" s="74" t="s">
        <v>1060</v>
      </c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 t="s">
        <v>1020</v>
      </c>
      <c r="Y115" s="52"/>
      <c r="Z115" s="52"/>
      <c r="AA115" s="52"/>
      <c r="AB115" s="52"/>
      <c r="AC115" s="52"/>
    </row>
    <row r="116" ht="89.099999999999994" customHeight="1">
      <c r="A116" s="73">
        <v>104</v>
      </c>
      <c r="B116" s="75"/>
      <c r="C116" s="75"/>
      <c r="D116" s="58" t="s">
        <v>369</v>
      </c>
      <c r="E116" s="58" t="s">
        <v>1034</v>
      </c>
      <c r="F116" s="58" t="s">
        <v>203</v>
      </c>
      <c r="G116" s="58" t="s">
        <v>1061</v>
      </c>
      <c r="H116" s="58" t="s">
        <v>1062</v>
      </c>
      <c r="I116" s="58" t="s">
        <v>504</v>
      </c>
      <c r="J116" s="58" t="s">
        <v>1063</v>
      </c>
      <c r="K116" s="74" t="s">
        <v>1064</v>
      </c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77" t="s">
        <v>1065</v>
      </c>
      <c r="X116" s="58" t="s">
        <v>1020</v>
      </c>
      <c r="Y116" s="52"/>
      <c r="Z116" s="52"/>
      <c r="AA116" s="52"/>
      <c r="AB116" s="52"/>
      <c r="AC116" s="52"/>
    </row>
    <row r="117" ht="89.099999999999994" customHeight="1">
      <c r="A117" s="73">
        <v>105</v>
      </c>
      <c r="B117" s="75"/>
      <c r="C117" s="75"/>
      <c r="D117" s="83"/>
      <c r="E117" s="58" t="s">
        <v>931</v>
      </c>
      <c r="F117" s="58" t="s">
        <v>210</v>
      </c>
      <c r="G117" s="58" t="s">
        <v>1066</v>
      </c>
      <c r="H117" s="58" t="s">
        <v>1067</v>
      </c>
      <c r="I117" s="58" t="s">
        <v>934</v>
      </c>
      <c r="J117" s="58" t="s">
        <v>1068</v>
      </c>
      <c r="K117" s="82" t="s">
        <v>1069</v>
      </c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77"/>
      <c r="X117" s="58"/>
      <c r="Y117" s="52"/>
      <c r="Z117" s="52"/>
      <c r="AA117" s="52"/>
      <c r="AB117" s="52"/>
      <c r="AC117" s="52"/>
    </row>
    <row r="118" ht="62.100000000000001" customHeight="1">
      <c r="A118" s="73">
        <v>106</v>
      </c>
      <c r="B118" s="75"/>
      <c r="C118" s="75"/>
      <c r="D118" s="75"/>
      <c r="E118" s="58" t="s">
        <v>1070</v>
      </c>
      <c r="F118" s="58" t="s">
        <v>210</v>
      </c>
      <c r="G118" s="58" t="s">
        <v>1071</v>
      </c>
      <c r="H118" s="58" t="s">
        <v>1072</v>
      </c>
      <c r="I118" s="58" t="s">
        <v>504</v>
      </c>
      <c r="J118" s="58" t="s">
        <v>1073</v>
      </c>
      <c r="K118" s="74" t="s">
        <v>1074</v>
      </c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77" t="s">
        <v>1075</v>
      </c>
      <c r="X118" s="58" t="s">
        <v>1020</v>
      </c>
      <c r="Y118" s="52"/>
      <c r="Z118" s="52"/>
      <c r="AA118" s="52"/>
      <c r="AB118" s="52"/>
      <c r="AC118" s="52"/>
    </row>
    <row r="119" ht="62.100000000000001" customHeight="1">
      <c r="A119" s="73">
        <v>107</v>
      </c>
      <c r="B119" s="75"/>
      <c r="C119" s="78"/>
      <c r="D119" s="78"/>
      <c r="E119" s="58" t="s">
        <v>1076</v>
      </c>
      <c r="F119" s="58" t="s">
        <v>203</v>
      </c>
      <c r="G119" s="58" t="s">
        <v>1077</v>
      </c>
      <c r="H119" s="58" t="s">
        <v>1078</v>
      </c>
      <c r="I119" s="58" t="s">
        <v>1079</v>
      </c>
      <c r="J119" s="58" t="s">
        <v>1080</v>
      </c>
      <c r="K119" s="74" t="s">
        <v>1081</v>
      </c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77" t="s">
        <v>1082</v>
      </c>
      <c r="X119" s="58" t="s">
        <v>1083</v>
      </c>
      <c r="Y119" s="52"/>
      <c r="Z119" s="52"/>
      <c r="AA119" s="52"/>
      <c r="AB119" s="52"/>
      <c r="AC119" s="52"/>
    </row>
    <row r="120" ht="89.099999999999994" customHeight="1">
      <c r="A120" s="73">
        <v>108</v>
      </c>
      <c r="B120" s="75"/>
      <c r="C120" s="58" t="s">
        <v>106</v>
      </c>
      <c r="D120" s="58" t="s">
        <v>552</v>
      </c>
      <c r="E120" s="58" t="s">
        <v>1084</v>
      </c>
      <c r="F120" s="58" t="s">
        <v>203</v>
      </c>
      <c r="G120" s="58" t="s">
        <v>1085</v>
      </c>
      <c r="H120" s="58" t="s">
        <v>1086</v>
      </c>
      <c r="I120" s="58" t="s">
        <v>504</v>
      </c>
      <c r="J120" s="58" t="s">
        <v>1087</v>
      </c>
      <c r="K120" s="74" t="s">
        <v>1088</v>
      </c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77" t="s">
        <v>1089</v>
      </c>
      <c r="X120" s="58" t="s">
        <v>1090</v>
      </c>
      <c r="Y120" s="52"/>
      <c r="Z120" s="52"/>
      <c r="AA120" s="52"/>
      <c r="AB120" s="52"/>
      <c r="AC120" s="52"/>
    </row>
    <row r="121" ht="183.59999999999999" customHeight="1">
      <c r="A121" s="73">
        <v>109</v>
      </c>
      <c r="B121" s="75"/>
      <c r="C121" s="75"/>
      <c r="D121" s="78"/>
      <c r="E121" s="58" t="s">
        <v>1091</v>
      </c>
      <c r="F121" s="58" t="s">
        <v>203</v>
      </c>
      <c r="G121" s="58" t="s">
        <v>1092</v>
      </c>
      <c r="H121" s="58" t="s">
        <v>1093</v>
      </c>
      <c r="I121" s="58" t="s">
        <v>1094</v>
      </c>
      <c r="J121" s="58" t="s">
        <v>1095</v>
      </c>
      <c r="K121" s="74" t="s">
        <v>1096</v>
      </c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77" t="s">
        <v>1097</v>
      </c>
      <c r="X121" s="58" t="s">
        <v>1090</v>
      </c>
      <c r="Y121" s="52"/>
      <c r="Z121" s="52"/>
      <c r="AA121" s="52"/>
      <c r="AB121" s="52"/>
      <c r="AC121" s="52"/>
    </row>
    <row r="122" ht="75.599999999999994" customHeight="1">
      <c r="A122" s="73">
        <v>110</v>
      </c>
      <c r="B122" s="75"/>
      <c r="C122" s="75"/>
      <c r="D122" s="58" t="s">
        <v>393</v>
      </c>
      <c r="E122" s="58" t="s">
        <v>622</v>
      </c>
      <c r="F122" s="58" t="s">
        <v>210</v>
      </c>
      <c r="G122" s="58" t="s">
        <v>1098</v>
      </c>
      <c r="H122" s="58" t="s">
        <v>1099</v>
      </c>
      <c r="I122" s="58" t="s">
        <v>504</v>
      </c>
      <c r="J122" s="58" t="s">
        <v>1100</v>
      </c>
      <c r="K122" s="74" t="s">
        <v>1101</v>
      </c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77" t="s">
        <v>1102</v>
      </c>
      <c r="X122" s="58" t="s">
        <v>1090</v>
      </c>
      <c r="Y122" s="52"/>
      <c r="Z122" s="52"/>
      <c r="AA122" s="52"/>
      <c r="AB122" s="52"/>
      <c r="AC122" s="52"/>
    </row>
    <row r="123" ht="62.100000000000001" customHeight="1">
      <c r="A123" s="73">
        <v>111</v>
      </c>
      <c r="B123" s="75"/>
      <c r="C123" s="75"/>
      <c r="D123" s="78"/>
      <c r="E123" s="58" t="s">
        <v>1103</v>
      </c>
      <c r="F123" s="58" t="s">
        <v>225</v>
      </c>
      <c r="G123" s="58" t="s">
        <v>1104</v>
      </c>
      <c r="H123" s="58" t="s">
        <v>1105</v>
      </c>
      <c r="I123" s="58" t="s">
        <v>1094</v>
      </c>
      <c r="J123" s="58" t="s">
        <v>1106</v>
      </c>
      <c r="K123" s="74" t="s">
        <v>1101</v>
      </c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77" t="s">
        <v>1102</v>
      </c>
      <c r="X123" s="58" t="s">
        <v>1090</v>
      </c>
      <c r="Y123" s="52"/>
      <c r="Z123" s="52"/>
      <c r="AA123" s="52"/>
      <c r="AB123" s="52"/>
      <c r="AC123" s="52"/>
    </row>
    <row r="124" ht="89.099999999999994" customHeight="1">
      <c r="A124" s="73">
        <v>112</v>
      </c>
      <c r="B124" s="75"/>
      <c r="C124" s="75"/>
      <c r="D124" s="58" t="s">
        <v>369</v>
      </c>
      <c r="E124" s="58" t="s">
        <v>1107</v>
      </c>
      <c r="F124" s="58" t="s">
        <v>203</v>
      </c>
      <c r="G124" s="58" t="s">
        <v>1108</v>
      </c>
      <c r="H124" s="58" t="s">
        <v>1109</v>
      </c>
      <c r="I124" s="58" t="s">
        <v>504</v>
      </c>
      <c r="J124" s="58" t="s">
        <v>1110</v>
      </c>
      <c r="K124" s="74" t="s">
        <v>1111</v>
      </c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77" t="s">
        <v>1112</v>
      </c>
      <c r="X124" s="58" t="s">
        <v>1090</v>
      </c>
      <c r="Y124" s="52"/>
      <c r="Z124" s="52"/>
      <c r="AA124" s="52"/>
      <c r="AB124" s="52"/>
      <c r="AC124" s="52"/>
    </row>
    <row r="125" ht="75.599999999999994" customHeight="1">
      <c r="A125" s="73">
        <v>113</v>
      </c>
      <c r="B125" s="75"/>
      <c r="C125" s="78"/>
      <c r="D125" s="78"/>
      <c r="E125" s="58" t="s">
        <v>1113</v>
      </c>
      <c r="F125" s="58" t="s">
        <v>210</v>
      </c>
      <c r="G125" s="58" t="s">
        <v>1114</v>
      </c>
      <c r="H125" s="58" t="s">
        <v>1115</v>
      </c>
      <c r="I125" s="58" t="s">
        <v>504</v>
      </c>
      <c r="J125" s="58" t="s">
        <v>1116</v>
      </c>
      <c r="K125" s="84" t="s">
        <v>1117</v>
      </c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77" t="s">
        <v>1118</v>
      </c>
      <c r="X125" s="58" t="s">
        <v>1090</v>
      </c>
      <c r="Y125" s="52"/>
      <c r="Z125" s="52"/>
      <c r="AA125" s="52"/>
      <c r="AB125" s="52"/>
      <c r="AC125" s="52"/>
    </row>
    <row r="126" ht="116.09999999999999" customHeight="1">
      <c r="A126" s="73">
        <v>114</v>
      </c>
      <c r="B126" s="75"/>
      <c r="C126" s="58" t="s">
        <v>107</v>
      </c>
      <c r="D126" s="58" t="s">
        <v>268</v>
      </c>
      <c r="E126" s="58" t="s">
        <v>960</v>
      </c>
      <c r="F126" s="58" t="s">
        <v>203</v>
      </c>
      <c r="G126" s="58" t="s">
        <v>1119</v>
      </c>
      <c r="H126" s="58" t="s">
        <v>1120</v>
      </c>
      <c r="I126" s="58" t="s">
        <v>504</v>
      </c>
      <c r="J126" s="58" t="s">
        <v>1121</v>
      </c>
      <c r="K126" s="74" t="s">
        <v>1122</v>
      </c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 t="s">
        <v>1123</v>
      </c>
      <c r="Y126" s="52"/>
      <c r="Z126" s="52"/>
      <c r="AA126" s="52"/>
      <c r="AB126" s="52"/>
      <c r="AC126" s="52"/>
    </row>
    <row r="127" ht="48.600000000000001" customHeight="1">
      <c r="A127" s="73">
        <v>115</v>
      </c>
      <c r="B127" s="75"/>
      <c r="C127" s="75"/>
      <c r="D127" s="75"/>
      <c r="E127" s="58" t="s">
        <v>1124</v>
      </c>
      <c r="F127" s="58" t="s">
        <v>210</v>
      </c>
      <c r="G127" s="58" t="s">
        <v>1125</v>
      </c>
      <c r="H127" s="58" t="s">
        <v>1126</v>
      </c>
      <c r="I127" s="58" t="s">
        <v>504</v>
      </c>
      <c r="J127" s="58" t="s">
        <v>1127</v>
      </c>
      <c r="K127" s="74" t="s">
        <v>1128</v>
      </c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 t="s">
        <v>1123</v>
      </c>
      <c r="Y127" s="52"/>
      <c r="Z127" s="52"/>
      <c r="AA127" s="52"/>
      <c r="AB127" s="52"/>
      <c r="AC127" s="52"/>
    </row>
    <row r="128" ht="48.600000000000001" customHeight="1">
      <c r="A128" s="73">
        <v>116</v>
      </c>
      <c r="B128" s="75"/>
      <c r="C128" s="78"/>
      <c r="D128" s="78"/>
      <c r="E128" s="58" t="s">
        <v>1129</v>
      </c>
      <c r="F128" s="58" t="s">
        <v>210</v>
      </c>
      <c r="G128" s="58" t="s">
        <v>1130</v>
      </c>
      <c r="H128" s="58" t="s">
        <v>1131</v>
      </c>
      <c r="I128" s="58" t="s">
        <v>504</v>
      </c>
      <c r="J128" s="58" t="s">
        <v>1132</v>
      </c>
      <c r="K128" s="74" t="s">
        <v>1133</v>
      </c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 t="s">
        <v>1123</v>
      </c>
      <c r="Y128" s="52"/>
      <c r="Z128" s="52"/>
      <c r="AA128" s="52"/>
      <c r="AB128" s="52"/>
      <c r="AC128" s="52"/>
    </row>
    <row r="129" ht="224.09999999999999" customHeight="1">
      <c r="A129" s="73">
        <v>117</v>
      </c>
      <c r="B129" s="75"/>
      <c r="C129" s="58" t="s">
        <v>108</v>
      </c>
      <c r="D129" s="58" t="s">
        <v>552</v>
      </c>
      <c r="E129" s="58" t="s">
        <v>1134</v>
      </c>
      <c r="F129" s="58" t="s">
        <v>203</v>
      </c>
      <c r="G129" s="58" t="s">
        <v>1135</v>
      </c>
      <c r="H129" s="58" t="s">
        <v>1136</v>
      </c>
      <c r="I129" s="58" t="s">
        <v>504</v>
      </c>
      <c r="J129" s="58" t="s">
        <v>1137</v>
      </c>
      <c r="K129" s="74" t="s">
        <v>1138</v>
      </c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 t="s">
        <v>1123</v>
      </c>
      <c r="Y129" s="52"/>
      <c r="Z129" s="52"/>
      <c r="AA129" s="52"/>
      <c r="AB129" s="52"/>
      <c r="AC129" s="52"/>
    </row>
    <row r="130" ht="36">
      <c r="A130" s="73">
        <v>118</v>
      </c>
      <c r="B130" s="75"/>
      <c r="C130" s="75"/>
      <c r="D130" s="78"/>
      <c r="E130" s="85" t="s">
        <v>1139</v>
      </c>
      <c r="F130" s="86" t="s">
        <v>203</v>
      </c>
      <c r="G130" s="58" t="s">
        <v>1140</v>
      </c>
      <c r="H130" s="86" t="s">
        <v>1141</v>
      </c>
      <c r="I130" s="86" t="s">
        <v>504</v>
      </c>
      <c r="J130" s="86" t="s">
        <v>1142</v>
      </c>
      <c r="K130" s="87" t="s">
        <v>1143</v>
      </c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77" t="s">
        <v>1144</v>
      </c>
      <c r="X130" s="58" t="s">
        <v>1123</v>
      </c>
      <c r="Y130" s="52"/>
      <c r="Z130" s="52"/>
      <c r="AA130" s="52"/>
      <c r="AB130" s="52"/>
      <c r="AC130" s="52"/>
    </row>
    <row r="131" ht="48.600000000000001" customHeight="1">
      <c r="A131" s="73">
        <v>119</v>
      </c>
      <c r="B131" s="75"/>
      <c r="C131" s="75"/>
      <c r="D131" s="58" t="s">
        <v>393</v>
      </c>
      <c r="E131" s="58" t="s">
        <v>622</v>
      </c>
      <c r="F131" s="58" t="s">
        <v>210</v>
      </c>
      <c r="G131" s="58" t="s">
        <v>1145</v>
      </c>
      <c r="H131" s="58" t="s">
        <v>1146</v>
      </c>
      <c r="I131" s="58" t="s">
        <v>504</v>
      </c>
      <c r="J131" s="58" t="s">
        <v>1147</v>
      </c>
      <c r="K131" s="74" t="s">
        <v>1148</v>
      </c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 t="s">
        <v>1123</v>
      </c>
      <c r="Y131" s="52"/>
      <c r="Z131" s="52"/>
      <c r="AA131" s="52"/>
      <c r="AB131" s="52"/>
      <c r="AC131" s="52"/>
    </row>
    <row r="132" ht="75.599999999999994" customHeight="1">
      <c r="A132" s="73">
        <v>120</v>
      </c>
      <c r="B132" s="75"/>
      <c r="C132" s="75"/>
      <c r="D132" s="58" t="s">
        <v>369</v>
      </c>
      <c r="E132" s="58" t="s">
        <v>1149</v>
      </c>
      <c r="F132" s="58" t="s">
        <v>203</v>
      </c>
      <c r="G132" s="58" t="s">
        <v>1150</v>
      </c>
      <c r="H132" s="58" t="s">
        <v>1151</v>
      </c>
      <c r="I132" s="58" t="s">
        <v>504</v>
      </c>
      <c r="J132" s="58" t="s">
        <v>1152</v>
      </c>
      <c r="K132" s="74" t="s">
        <v>1153</v>
      </c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 t="s">
        <v>1123</v>
      </c>
      <c r="Y132" s="52"/>
      <c r="Z132" s="52"/>
      <c r="AA132" s="52"/>
      <c r="AB132" s="52"/>
      <c r="AC132" s="52"/>
    </row>
    <row r="133" ht="62.100000000000001" customHeight="1">
      <c r="A133" s="73">
        <v>121</v>
      </c>
      <c r="B133" s="75"/>
      <c r="C133" s="75"/>
      <c r="D133" s="75"/>
      <c r="E133" s="58" t="s">
        <v>1154</v>
      </c>
      <c r="F133" s="58" t="s">
        <v>203</v>
      </c>
      <c r="G133" s="58" t="s">
        <v>1155</v>
      </c>
      <c r="H133" s="58" t="s">
        <v>1156</v>
      </c>
      <c r="I133" s="58" t="s">
        <v>504</v>
      </c>
      <c r="J133" s="58" t="s">
        <v>1157</v>
      </c>
      <c r="K133" s="74" t="s">
        <v>1158</v>
      </c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 t="s">
        <v>1123</v>
      </c>
      <c r="Y133" s="52"/>
      <c r="Z133" s="52"/>
      <c r="AA133" s="52"/>
      <c r="AB133" s="52"/>
      <c r="AC133" s="52"/>
    </row>
    <row r="134" ht="62.100000000000001" customHeight="1">
      <c r="A134" s="73">
        <v>122</v>
      </c>
      <c r="B134" s="75"/>
      <c r="C134" s="75"/>
      <c r="D134" s="75"/>
      <c r="E134" s="58" t="s">
        <v>1159</v>
      </c>
      <c r="F134" s="58" t="s">
        <v>210</v>
      </c>
      <c r="G134" s="58" t="s">
        <v>1160</v>
      </c>
      <c r="H134" s="58" t="s">
        <v>1161</v>
      </c>
      <c r="I134" s="58" t="s">
        <v>504</v>
      </c>
      <c r="J134" s="58" t="s">
        <v>1162</v>
      </c>
      <c r="K134" s="74" t="s">
        <v>1163</v>
      </c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 t="s">
        <v>1164</v>
      </c>
      <c r="Y134" s="52"/>
      <c r="Z134" s="52"/>
      <c r="AA134" s="52"/>
      <c r="AB134" s="52"/>
      <c r="AC134" s="52"/>
    </row>
    <row r="135" ht="62.100000000000001" customHeight="1">
      <c r="A135" s="73">
        <v>123</v>
      </c>
      <c r="B135" s="75"/>
      <c r="C135" s="75"/>
      <c r="D135" s="75"/>
      <c r="E135" s="58" t="s">
        <v>1165</v>
      </c>
      <c r="F135" s="58" t="s">
        <v>203</v>
      </c>
      <c r="G135" s="58" t="s">
        <v>1166</v>
      </c>
      <c r="H135" s="58" t="s">
        <v>1167</v>
      </c>
      <c r="I135" s="58" t="s">
        <v>504</v>
      </c>
      <c r="J135" s="58" t="s">
        <v>1168</v>
      </c>
      <c r="K135" s="74" t="s">
        <v>1169</v>
      </c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77" t="s">
        <v>1170</v>
      </c>
      <c r="X135" s="58" t="s">
        <v>1123</v>
      </c>
      <c r="Y135" s="52"/>
      <c r="Z135" s="52"/>
      <c r="AA135" s="52"/>
      <c r="AB135" s="52"/>
      <c r="AC135" s="52"/>
    </row>
    <row r="136" ht="75.599999999999994" customHeight="1">
      <c r="A136" s="73">
        <v>124</v>
      </c>
      <c r="B136" s="75"/>
      <c r="C136" s="78"/>
      <c r="D136" s="78"/>
      <c r="E136" s="58" t="s">
        <v>1171</v>
      </c>
      <c r="F136" s="58" t="s">
        <v>203</v>
      </c>
      <c r="G136" s="58" t="s">
        <v>1172</v>
      </c>
      <c r="H136" s="58" t="s">
        <v>1173</v>
      </c>
      <c r="I136" s="58" t="s">
        <v>504</v>
      </c>
      <c r="J136" s="58" t="s">
        <v>1174</v>
      </c>
      <c r="K136" s="74" t="s">
        <v>1175</v>
      </c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77" t="s">
        <v>1176</v>
      </c>
      <c r="X136" s="58" t="s">
        <v>1123</v>
      </c>
      <c r="Y136" s="52"/>
      <c r="Z136" s="52"/>
      <c r="AA136" s="52"/>
      <c r="AB136" s="52"/>
      <c r="AC136" s="52"/>
    </row>
    <row r="137" ht="89.099999999999994" customHeight="1">
      <c r="A137" s="73">
        <v>125</v>
      </c>
      <c r="B137" s="78"/>
      <c r="C137" s="58" t="s">
        <v>109</v>
      </c>
      <c r="D137" s="58" t="s">
        <v>268</v>
      </c>
      <c r="E137" s="58" t="s">
        <v>1177</v>
      </c>
      <c r="F137" s="58" t="s">
        <v>210</v>
      </c>
      <c r="G137" s="58" t="s">
        <v>1178</v>
      </c>
      <c r="H137" s="58" t="s">
        <v>1179</v>
      </c>
      <c r="I137" s="58" t="s">
        <v>504</v>
      </c>
      <c r="J137" s="58" t="s">
        <v>1180</v>
      </c>
      <c r="K137" s="74" t="s">
        <v>1181</v>
      </c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77" t="s">
        <v>1182</v>
      </c>
      <c r="X137" s="58" t="s">
        <v>742</v>
      </c>
      <c r="Y137" s="52"/>
      <c r="Z137" s="52"/>
      <c r="AA137" s="52"/>
      <c r="AB137" s="52"/>
      <c r="AC137" s="52"/>
    </row>
    <row r="138" ht="62.100000000000001" customHeight="1">
      <c r="A138" s="73">
        <v>126</v>
      </c>
      <c r="B138" s="58" t="s">
        <v>110</v>
      </c>
      <c r="C138" s="58" t="s">
        <v>111</v>
      </c>
      <c r="D138" s="58" t="s">
        <v>1183</v>
      </c>
      <c r="E138" s="58" t="s">
        <v>1184</v>
      </c>
      <c r="F138" s="58" t="s">
        <v>203</v>
      </c>
      <c r="G138" s="58" t="s">
        <v>1185</v>
      </c>
      <c r="H138" s="58" t="s">
        <v>1186</v>
      </c>
      <c r="I138" s="58" t="s">
        <v>1187</v>
      </c>
      <c r="J138" s="58" t="s">
        <v>542</v>
      </c>
      <c r="K138" s="74" t="s">
        <v>1188</v>
      </c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 t="s">
        <v>507</v>
      </c>
      <c r="Y138" s="52"/>
      <c r="Z138" s="52"/>
      <c r="AA138" s="52"/>
      <c r="AB138" s="52"/>
      <c r="AC138" s="52"/>
    </row>
    <row r="139" ht="62.100000000000001" customHeight="1">
      <c r="A139" s="73">
        <v>127</v>
      </c>
      <c r="B139" s="75"/>
      <c r="C139" s="75"/>
      <c r="D139" s="78"/>
      <c r="E139" s="58" t="s">
        <v>1189</v>
      </c>
      <c r="F139" s="58" t="s">
        <v>225</v>
      </c>
      <c r="G139" s="58" t="s">
        <v>1190</v>
      </c>
      <c r="H139" s="58" t="s">
        <v>1191</v>
      </c>
      <c r="I139" s="58" t="s">
        <v>1187</v>
      </c>
      <c r="J139" s="58" t="s">
        <v>1192</v>
      </c>
      <c r="K139" s="74" t="s">
        <v>1193</v>
      </c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77" t="s">
        <v>1194</v>
      </c>
      <c r="X139" s="58" t="s">
        <v>507</v>
      </c>
      <c r="Y139" s="52"/>
      <c r="Z139" s="52"/>
      <c r="AA139" s="52"/>
      <c r="AB139" s="52"/>
      <c r="AC139" s="52"/>
    </row>
    <row r="140" ht="89.099999999999994" customHeight="1">
      <c r="A140" s="73">
        <v>128</v>
      </c>
      <c r="B140" s="75"/>
      <c r="C140" s="75"/>
      <c r="D140" s="58" t="s">
        <v>1195</v>
      </c>
      <c r="E140" s="58" t="s">
        <v>1196</v>
      </c>
      <c r="F140" s="58" t="s">
        <v>203</v>
      </c>
      <c r="G140" s="58" t="s">
        <v>1197</v>
      </c>
      <c r="H140" s="58" t="s">
        <v>1198</v>
      </c>
      <c r="I140" s="58" t="s">
        <v>1187</v>
      </c>
      <c r="J140" s="58" t="s">
        <v>1199</v>
      </c>
      <c r="K140" s="74" t="s">
        <v>1200</v>
      </c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 t="s">
        <v>519</v>
      </c>
      <c r="Y140" s="52"/>
      <c r="Z140" s="52"/>
      <c r="AA140" s="52"/>
      <c r="AB140" s="52"/>
      <c r="AC140" s="52"/>
    </row>
    <row r="141" ht="62.100000000000001" customHeight="1">
      <c r="A141" s="73">
        <v>129</v>
      </c>
      <c r="B141" s="75"/>
      <c r="C141" s="78"/>
      <c r="D141" s="78"/>
      <c r="E141" s="58" t="s">
        <v>1201</v>
      </c>
      <c r="F141" s="58" t="s">
        <v>203</v>
      </c>
      <c r="G141" s="58" t="s">
        <v>1202</v>
      </c>
      <c r="H141" s="58" t="s">
        <v>1203</v>
      </c>
      <c r="I141" s="58" t="s">
        <v>1187</v>
      </c>
      <c r="J141" s="58" t="s">
        <v>1204</v>
      </c>
      <c r="K141" s="74" t="s">
        <v>1205</v>
      </c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77" t="s">
        <v>1206</v>
      </c>
      <c r="X141" s="58" t="s">
        <v>222</v>
      </c>
      <c r="Y141" s="52"/>
      <c r="Z141" s="52"/>
      <c r="AA141" s="52"/>
      <c r="AB141" s="52"/>
      <c r="AC141" s="52"/>
    </row>
    <row r="142" ht="48.600000000000001" customHeight="1">
      <c r="A142" s="73">
        <v>130</v>
      </c>
      <c r="B142" s="75"/>
      <c r="C142" s="88" t="s">
        <v>112</v>
      </c>
      <c r="D142" s="80" t="s">
        <v>1207</v>
      </c>
      <c r="E142" s="80" t="s">
        <v>1208</v>
      </c>
      <c r="F142" s="80" t="s">
        <v>203</v>
      </c>
      <c r="G142" s="58" t="s">
        <v>1209</v>
      </c>
      <c r="H142" s="80" t="s">
        <v>1210</v>
      </c>
      <c r="I142" s="88" t="s">
        <v>1211</v>
      </c>
      <c r="J142" s="88" t="s">
        <v>1212</v>
      </c>
      <c r="K142" s="82" t="s">
        <v>1213</v>
      </c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77" t="s">
        <v>1214</v>
      </c>
      <c r="X142" s="58" t="s">
        <v>222</v>
      </c>
      <c r="Y142" s="52"/>
      <c r="Z142" s="52"/>
      <c r="AA142" s="52"/>
      <c r="AB142" s="52"/>
      <c r="AC142" s="52"/>
    </row>
    <row r="143" ht="102.59999999999999" customHeight="1">
      <c r="A143" s="73">
        <v>131</v>
      </c>
      <c r="B143" s="75"/>
      <c r="C143" s="58" t="s">
        <v>113</v>
      </c>
      <c r="D143" s="58" t="s">
        <v>1215</v>
      </c>
      <c r="E143" s="58" t="s">
        <v>1216</v>
      </c>
      <c r="F143" s="58" t="s">
        <v>203</v>
      </c>
      <c r="G143" s="58" t="s">
        <v>1217</v>
      </c>
      <c r="H143" s="58" t="s">
        <v>1218</v>
      </c>
      <c r="I143" s="58" t="s">
        <v>1219</v>
      </c>
      <c r="J143" s="58" t="s">
        <v>1220</v>
      </c>
      <c r="K143" s="74" t="s">
        <v>1221</v>
      </c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77" t="s">
        <v>1222</v>
      </c>
      <c r="X143" s="58" t="s">
        <v>519</v>
      </c>
      <c r="Y143" s="52"/>
      <c r="Z143" s="52"/>
      <c r="AA143" s="52"/>
      <c r="AB143" s="52"/>
      <c r="AC143" s="52"/>
    </row>
    <row r="144" ht="62.100000000000001" customHeight="1">
      <c r="A144" s="73">
        <v>132</v>
      </c>
      <c r="B144" s="78"/>
      <c r="C144" s="78"/>
      <c r="D144" s="58" t="s">
        <v>1223</v>
      </c>
      <c r="E144" s="58" t="s">
        <v>1224</v>
      </c>
      <c r="F144" s="58" t="s">
        <v>203</v>
      </c>
      <c r="G144" s="58" t="s">
        <v>1225</v>
      </c>
      <c r="H144" s="58" t="s">
        <v>1226</v>
      </c>
      <c r="I144" s="58" t="s">
        <v>1227</v>
      </c>
      <c r="J144" s="58" t="s">
        <v>1228</v>
      </c>
      <c r="K144" s="74" t="s">
        <v>1229</v>
      </c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77" t="s">
        <v>1222</v>
      </c>
      <c r="X144" s="58" t="s">
        <v>222</v>
      </c>
      <c r="Y144" s="52"/>
      <c r="Z144" s="52"/>
      <c r="AA144" s="52"/>
      <c r="AB144" s="52"/>
      <c r="AC144" s="52"/>
    </row>
    <row r="145" ht="62.100000000000001" customHeight="1">
      <c r="A145" s="73">
        <v>133</v>
      </c>
      <c r="B145" s="58" t="s">
        <v>89</v>
      </c>
      <c r="C145" s="58" t="s">
        <v>114</v>
      </c>
      <c r="D145" s="58" t="s">
        <v>1183</v>
      </c>
      <c r="E145" s="58" t="s">
        <v>1230</v>
      </c>
      <c r="F145" s="58" t="s">
        <v>203</v>
      </c>
      <c r="G145" s="58" t="s">
        <v>1231</v>
      </c>
      <c r="H145" s="58" t="s">
        <v>1232</v>
      </c>
      <c r="I145" s="58" t="s">
        <v>1233</v>
      </c>
      <c r="J145" s="58" t="s">
        <v>542</v>
      </c>
      <c r="K145" s="74" t="s">
        <v>1234</v>
      </c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 t="s">
        <v>222</v>
      </c>
      <c r="Y145" s="52"/>
      <c r="Z145" s="52"/>
      <c r="AA145" s="52"/>
      <c r="AB145" s="52"/>
      <c r="AC145" s="52"/>
    </row>
    <row r="146" ht="62.100000000000001" customHeight="1">
      <c r="A146" s="73">
        <v>134</v>
      </c>
      <c r="B146" s="75"/>
      <c r="C146" s="78"/>
      <c r="D146" s="58" t="s">
        <v>1235</v>
      </c>
      <c r="E146" s="58" t="s">
        <v>1236</v>
      </c>
      <c r="F146" s="58" t="s">
        <v>203</v>
      </c>
      <c r="G146" s="58" t="s">
        <v>1237</v>
      </c>
      <c r="H146" s="58" t="s">
        <v>1238</v>
      </c>
      <c r="I146" s="58" t="s">
        <v>1233</v>
      </c>
      <c r="J146" s="58" t="s">
        <v>1239</v>
      </c>
      <c r="K146" s="74" t="s">
        <v>1240</v>
      </c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77" t="s">
        <v>1206</v>
      </c>
      <c r="X146" s="58" t="s">
        <v>222</v>
      </c>
      <c r="Y146" s="52"/>
      <c r="Z146" s="52"/>
      <c r="AA146" s="52"/>
      <c r="AB146" s="52"/>
      <c r="AC146" s="52"/>
    </row>
    <row r="147" ht="116.09999999999999" customHeight="1">
      <c r="A147" s="73">
        <v>135</v>
      </c>
      <c r="B147" s="75"/>
      <c r="C147" s="58" t="s">
        <v>115</v>
      </c>
      <c r="D147" s="58" t="s">
        <v>1241</v>
      </c>
      <c r="E147" s="58" t="s">
        <v>1242</v>
      </c>
      <c r="F147" s="58" t="s">
        <v>203</v>
      </c>
      <c r="G147" s="58" t="s">
        <v>1243</v>
      </c>
      <c r="H147" s="58" t="s">
        <v>1244</v>
      </c>
      <c r="I147" s="58" t="s">
        <v>504</v>
      </c>
      <c r="J147" s="58" t="s">
        <v>1245</v>
      </c>
      <c r="K147" s="74" t="s">
        <v>1246</v>
      </c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 t="s">
        <v>551</v>
      </c>
      <c r="Y147" s="52"/>
      <c r="Z147" s="52"/>
      <c r="AA147" s="52"/>
      <c r="AB147" s="52"/>
      <c r="AC147" s="52"/>
    </row>
    <row r="148" ht="62.100000000000001" customHeight="1">
      <c r="A148" s="73">
        <v>136</v>
      </c>
      <c r="B148" s="78"/>
      <c r="C148" s="85" t="s">
        <v>116</v>
      </c>
      <c r="D148" s="86" t="s">
        <v>1247</v>
      </c>
      <c r="E148" s="86" t="s">
        <v>1248</v>
      </c>
      <c r="F148" s="86" t="s">
        <v>210</v>
      </c>
      <c r="G148" s="89" t="s">
        <v>1249</v>
      </c>
      <c r="H148" s="86" t="s">
        <v>1250</v>
      </c>
      <c r="I148" s="86" t="s">
        <v>504</v>
      </c>
      <c r="J148" s="86" t="s">
        <v>1251</v>
      </c>
      <c r="K148" s="76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77" t="s">
        <v>1252</v>
      </c>
      <c r="X148" s="58" t="s">
        <v>496</v>
      </c>
      <c r="Y148" s="52"/>
      <c r="Z148" s="52"/>
      <c r="AA148" s="52"/>
      <c r="AB148" s="52"/>
      <c r="AC148" s="52"/>
    </row>
  </sheetData>
  <mergeCells count="84">
    <mergeCell ref="K2:S2"/>
    <mergeCell ref="K4:K5"/>
    <mergeCell ref="L4:L5"/>
    <mergeCell ref="K6:K7"/>
    <mergeCell ref="L6:L7"/>
    <mergeCell ref="M10:Q10"/>
    <mergeCell ref="R10:V10"/>
    <mergeCell ref="B11:D11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B13:B17"/>
    <mergeCell ref="C13:C14"/>
    <mergeCell ref="C15:C17"/>
    <mergeCell ref="D16:D17"/>
    <mergeCell ref="B18:B73"/>
    <mergeCell ref="C20:C39"/>
    <mergeCell ref="D21:D22"/>
    <mergeCell ref="D23:D24"/>
    <mergeCell ref="D25:D26"/>
    <mergeCell ref="D27:D36"/>
    <mergeCell ref="D37:D39"/>
    <mergeCell ref="C40:C46"/>
    <mergeCell ref="D41:D46"/>
    <mergeCell ref="C47:C68"/>
    <mergeCell ref="D47:D65"/>
    <mergeCell ref="E49:E52"/>
    <mergeCell ref="E56:E65"/>
    <mergeCell ref="D66:D68"/>
    <mergeCell ref="C69:C73"/>
    <mergeCell ref="D69:D70"/>
    <mergeCell ref="D72:D73"/>
    <mergeCell ref="B74:B137"/>
    <mergeCell ref="C74:C80"/>
    <mergeCell ref="D74:D77"/>
    <mergeCell ref="E75:E77"/>
    <mergeCell ref="D79:D80"/>
    <mergeCell ref="C81:C82"/>
    <mergeCell ref="C83:C86"/>
    <mergeCell ref="D83:D86"/>
    <mergeCell ref="C87:C95"/>
    <mergeCell ref="D88:D92"/>
    <mergeCell ref="D93:D95"/>
    <mergeCell ref="C96:C107"/>
    <mergeCell ref="D97:D106"/>
    <mergeCell ref="E99:E100"/>
    <mergeCell ref="E101:E104"/>
    <mergeCell ref="C108:C119"/>
    <mergeCell ref="D109:D110"/>
    <mergeCell ref="D111:D112"/>
    <mergeCell ref="D113:D115"/>
    <mergeCell ref="D116:D119"/>
    <mergeCell ref="C120:C125"/>
    <mergeCell ref="D120:D121"/>
    <mergeCell ref="D122:D123"/>
    <mergeCell ref="D124:D125"/>
    <mergeCell ref="C126:C128"/>
    <mergeCell ref="D126:D128"/>
    <mergeCell ref="C129:C136"/>
    <mergeCell ref="D129:D130"/>
    <mergeCell ref="D132:D136"/>
    <mergeCell ref="B138:B144"/>
    <mergeCell ref="C138:C141"/>
    <mergeCell ref="D138:D139"/>
    <mergeCell ref="D140:D141"/>
    <mergeCell ref="C143:C144"/>
    <mergeCell ref="B145:B148"/>
    <mergeCell ref="C145:C146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B32E2E74-BC54-4E60-AFFC-0E6665A27FA5}" type="list" allowBlank="1" errorStyle="stop" imeMode="noControl" operator="between" showDropDown="0" showErrorMessage="0" showInputMessage="0">
          <x14:formula1>
            <xm:f>"High,Medium,Low,Critical"</xm:f>
          </x14:formula1>
          <xm:sqref>F13:F116 F118:F148</xm:sqref>
        </x14:dataValidation>
        <x14:dataValidation xr:uid="{CD9C4AAA-C9B4-4D28-9E9B-ABEEC03069AF}" type="list" allowBlank="1" errorStyle="stop" imeMode="noControl" operator="between" showDropDown="0" showErrorMessage="0" showInputMessage="0">
          <x14:formula1>
            <xm:f>"Passed,Failed,Pending,Blocked,NA,Not execute"</xm:f>
          </x14:formula1>
          <xm:sqref>M13:M148 R13:R148</xm:sqref>
        </x14:dataValidation>
        <x14:dataValidation xr:uid="{F926CBE1-409F-41D2-B031-C93FDE836B01}" type="list" allowBlank="1" errorStyle="stop" imeMode="noControl" operator="between" showDropDown="0" showErrorMessage="0" showInputMessage="0">
          <x14:formula1>
            <xm:f>"High,Medium,Low,Critical"</xm:f>
          </x14:formula1>
          <xm:sqref>F117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64" zoomScale="100" workbookViewId="0">
      <selection activeCell="A13" activeCellId="0" sqref="A13"/>
    </sheetView>
  </sheetViews>
  <sheetFormatPr defaultColWidth="12.5703125" defaultRowHeight="15" customHeight="1"/>
  <cols>
    <col customWidth="1" min="1" max="1" style="50" width="4.140625"/>
    <col customWidth="1" min="2" max="3" style="49" width="22.85546875"/>
    <col customWidth="1" min="4" max="4" style="49" width="14.42578125"/>
    <col customWidth="1" min="5" max="5" style="49" width="21.7109375"/>
    <col customWidth="1" min="6" max="6" style="49" width="9.5703125"/>
    <col customWidth="1" min="7" max="7" style="49" width="9.42578125"/>
    <col customWidth="1" min="8" max="8" style="49" width="31.85546875"/>
    <col customWidth="1" min="9" max="9" style="49" width="21.5703125"/>
    <col customWidth="1" min="10" max="10" style="49" width="46.42578125"/>
    <col customWidth="1" min="11" max="11" style="49" width="34.42578125"/>
    <col customWidth="1" hidden="1" min="12" max="12" style="49" width="10.28515625"/>
    <col customWidth="1" hidden="1" min="13" max="16" style="49" width="9.5703125"/>
    <col customWidth="1" hidden="1" min="17" max="17" style="49" width="13.42578125"/>
    <col customWidth="1" hidden="1" min="18" max="18" style="49" width="10.5703125"/>
    <col customWidth="1" hidden="1" min="19" max="19" style="49" width="9.5703125"/>
    <col customWidth="1" hidden="1" min="20" max="20" style="49" width="11.7109375"/>
    <col customWidth="1" hidden="1" min="21" max="21" style="49" width="9.5703125"/>
    <col customWidth="1" hidden="1" min="22" max="22" style="49" width="7.42578125"/>
    <col customWidth="1" min="23" max="23" style="49" width="34"/>
    <col customWidth="1" min="24" max="24" style="49" width="22.7109375"/>
    <col customWidth="1" min="25" max="29" style="49" width="34"/>
    <col customWidth="1" min="30" max="30" style="49" width="12.5703125"/>
    <col min="31" max="16384" style="49" width="12.5703125"/>
  </cols>
  <sheetData>
    <row r="1" ht="15.75" customHeight="1">
      <c r="A1" s="51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3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</row>
    <row r="2" ht="15.75" customHeight="1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49"/>
      <c r="M2" s="49"/>
      <c r="N2" s="49"/>
      <c r="O2" s="49"/>
      <c r="P2" s="49"/>
      <c r="Q2" s="49"/>
      <c r="R2" s="49"/>
      <c r="S2" s="49"/>
      <c r="T2" s="52"/>
      <c r="U2" s="52"/>
      <c r="V2" s="52"/>
      <c r="W2" s="52"/>
      <c r="X2" s="52"/>
      <c r="Y2" s="52"/>
      <c r="Z2" s="52"/>
      <c r="AA2" s="52"/>
      <c r="AB2" s="52"/>
      <c r="AC2" s="52"/>
    </row>
    <row r="3" ht="15.75" customHeight="1">
      <c r="A3" s="51"/>
      <c r="B3" s="54" t="s">
        <v>171</v>
      </c>
      <c r="C3" s="55" t="s">
        <v>1253</v>
      </c>
      <c r="D3" s="56"/>
      <c r="E3" s="52"/>
      <c r="F3" s="52"/>
      <c r="G3" s="52"/>
      <c r="H3" s="52"/>
      <c r="I3" s="52"/>
      <c r="J3" s="52"/>
      <c r="K3" s="54" t="s">
        <v>173</v>
      </c>
      <c r="L3" s="40" t="s">
        <v>71</v>
      </c>
      <c r="M3" s="40" t="s">
        <v>72</v>
      </c>
      <c r="N3" s="40" t="s">
        <v>73</v>
      </c>
      <c r="O3" s="40" t="s">
        <v>74</v>
      </c>
      <c r="P3" s="57" t="s">
        <v>75</v>
      </c>
      <c r="Q3" s="40" t="s">
        <v>76</v>
      </c>
      <c r="R3" s="40" t="s">
        <v>77</v>
      </c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</row>
    <row r="4" ht="15.75" customHeight="1">
      <c r="A4" s="51"/>
      <c r="B4" s="54" t="s">
        <v>174</v>
      </c>
      <c r="C4" s="58" t="s">
        <v>1254</v>
      </c>
      <c r="D4" s="59"/>
      <c r="E4" s="52"/>
      <c r="F4" s="52"/>
      <c r="G4" s="52"/>
      <c r="H4" s="52"/>
      <c r="I4" s="52"/>
      <c r="J4" s="52"/>
      <c r="K4" s="54" t="s">
        <v>176</v>
      </c>
      <c r="L4" s="60">
        <f>COUNTA($G$13:$G$135)</f>
        <v>123</v>
      </c>
      <c r="M4" s="61">
        <f>COUNTIF($M$13:$M$135,M3)</f>
        <v>0</v>
      </c>
      <c r="N4" s="61">
        <f>COUNTIF($M$13:$M$135,N3)</f>
        <v>0</v>
      </c>
      <c r="O4" s="61">
        <f>COUNTIF($M$13:$M$135,O3)</f>
        <v>0</v>
      </c>
      <c r="P4" s="62">
        <f>COUNTIF($M$13:$M$135,P3)</f>
        <v>0</v>
      </c>
      <c r="Q4" s="61">
        <f>COUNTIF($M$13:$M$135,Q3)</f>
        <v>0</v>
      </c>
      <c r="R4" s="61">
        <f>L4-SUM(M4:Q4)</f>
        <v>123</v>
      </c>
      <c r="S4" s="63"/>
      <c r="T4" s="52"/>
      <c r="U4" s="52"/>
      <c r="V4" s="52"/>
      <c r="W4" s="52"/>
      <c r="X4" s="52"/>
      <c r="Y4" s="52"/>
      <c r="Z4" s="52"/>
      <c r="AA4" s="52"/>
      <c r="AB4" s="52"/>
      <c r="AC4" s="52"/>
    </row>
    <row r="5" ht="15.75" customHeight="1">
      <c r="A5" s="51"/>
      <c r="B5" s="54" t="s">
        <v>3</v>
      </c>
      <c r="C5" s="55" t="s">
        <v>177</v>
      </c>
      <c r="D5" s="59"/>
      <c r="E5" s="52"/>
      <c r="F5" s="52"/>
      <c r="G5" s="52"/>
      <c r="H5" s="52"/>
      <c r="I5" s="52"/>
      <c r="J5" s="52"/>
      <c r="K5" s="12"/>
      <c r="L5" s="12"/>
      <c r="M5" s="64">
        <f t="shared" ref="M5:R5" si="22">M4/$L$4</f>
        <v>0</v>
      </c>
      <c r="N5" s="64">
        <f t="shared" si="22"/>
        <v>0</v>
      </c>
      <c r="O5" s="64">
        <f t="shared" si="22"/>
        <v>0</v>
      </c>
      <c r="P5" s="65">
        <f t="shared" si="22"/>
        <v>0</v>
      </c>
      <c r="Q5" s="64">
        <f t="shared" si="22"/>
        <v>0</v>
      </c>
      <c r="R5" s="64">
        <f t="shared" si="22"/>
        <v>1</v>
      </c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</row>
    <row r="6" ht="15.75" customHeight="1">
      <c r="A6" s="51"/>
      <c r="B6" s="54" t="s">
        <v>178</v>
      </c>
      <c r="C6" s="55" t="s">
        <v>55</v>
      </c>
      <c r="D6" s="59"/>
      <c r="E6" s="52"/>
      <c r="F6" s="52"/>
      <c r="G6" s="52"/>
      <c r="H6" s="52"/>
      <c r="I6" s="52"/>
      <c r="J6" s="52"/>
      <c r="K6" s="54" t="s">
        <v>179</v>
      </c>
      <c r="L6" s="60">
        <f>COUNTA($G$13:$G$135)</f>
        <v>123</v>
      </c>
      <c r="M6" s="61">
        <f>COUNTIF($R$13:$R$135,M3)</f>
        <v>0</v>
      </c>
      <c r="N6" s="61">
        <f>COUNTIF($R$13:$R$135,N3)</f>
        <v>0</v>
      </c>
      <c r="O6" s="61">
        <f>COUNTIF($R$13:$R$135,O3)</f>
        <v>0</v>
      </c>
      <c r="P6" s="62">
        <f>COUNTIF($R$13:$R$135,P3)</f>
        <v>0</v>
      </c>
      <c r="Q6" s="61">
        <f>COUNTIF($R$13:$R$135,Q3)</f>
        <v>0</v>
      </c>
      <c r="R6" s="61">
        <f>L6-SUM(M6:Q6)</f>
        <v>123</v>
      </c>
      <c r="S6" s="63"/>
      <c r="T6" s="52"/>
      <c r="U6" s="52"/>
      <c r="V6" s="52"/>
      <c r="W6" s="52"/>
      <c r="X6" s="52"/>
      <c r="Y6" s="52"/>
      <c r="Z6" s="52"/>
      <c r="AA6" s="52"/>
      <c r="AB6" s="52"/>
      <c r="AC6" s="52"/>
    </row>
    <row r="7" ht="36" customHeight="1">
      <c r="A7" s="51"/>
      <c r="B7" s="54" t="s">
        <v>17</v>
      </c>
      <c r="C7" s="55" t="s">
        <v>1255</v>
      </c>
      <c r="D7" s="68"/>
      <c r="E7" s="52"/>
      <c r="F7" s="52"/>
      <c r="G7" s="52"/>
      <c r="H7" s="52"/>
      <c r="I7" s="52"/>
      <c r="J7" s="52"/>
      <c r="K7" s="12"/>
      <c r="L7" s="12"/>
      <c r="M7" s="64">
        <f t="shared" ref="M7:R7" si="23">M6/$L$6</f>
        <v>0</v>
      </c>
      <c r="N7" s="64">
        <f t="shared" si="23"/>
        <v>0</v>
      </c>
      <c r="O7" s="64">
        <f t="shared" si="23"/>
        <v>0</v>
      </c>
      <c r="P7" s="65">
        <f t="shared" si="23"/>
        <v>0</v>
      </c>
      <c r="Q7" s="64">
        <f t="shared" si="23"/>
        <v>0</v>
      </c>
      <c r="R7" s="64">
        <f t="shared" si="23"/>
        <v>1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</row>
    <row r="8" ht="15.75" customHeight="1">
      <c r="A8" s="51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3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</row>
    <row r="9" ht="15.75" customHeight="1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3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</row>
    <row r="10" ht="15.75" customHeight="1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4" t="s">
        <v>176</v>
      </c>
      <c r="N10" s="90"/>
      <c r="O10" s="90"/>
      <c r="P10" s="90"/>
      <c r="Q10" s="91"/>
      <c r="R10" s="54" t="s">
        <v>179</v>
      </c>
      <c r="S10" s="90"/>
      <c r="T10" s="90"/>
      <c r="U10" s="90"/>
      <c r="V10" s="91"/>
      <c r="W10" s="52"/>
      <c r="X10" s="52"/>
      <c r="Y10" s="52"/>
      <c r="Z10" s="52"/>
      <c r="AA10" s="52"/>
      <c r="AB10" s="52"/>
      <c r="AC10" s="52"/>
    </row>
    <row r="11" ht="15.75" customHeight="1">
      <c r="A11" s="69"/>
      <c r="B11" s="40" t="s">
        <v>181</v>
      </c>
      <c r="C11" s="90"/>
      <c r="D11" s="91"/>
      <c r="E11" s="40"/>
      <c r="F11" s="70" t="s">
        <v>182</v>
      </c>
      <c r="G11" s="70" t="s">
        <v>183</v>
      </c>
      <c r="H11" s="70" t="s">
        <v>184</v>
      </c>
      <c r="I11" s="70" t="s">
        <v>185</v>
      </c>
      <c r="J11" s="70" t="s">
        <v>186</v>
      </c>
      <c r="K11" s="70" t="s">
        <v>187</v>
      </c>
      <c r="L11" s="70" t="s">
        <v>188</v>
      </c>
      <c r="M11" s="70" t="s">
        <v>189</v>
      </c>
      <c r="N11" s="70" t="s">
        <v>190</v>
      </c>
      <c r="O11" s="70" t="s">
        <v>191</v>
      </c>
      <c r="P11" s="71" t="s">
        <v>192</v>
      </c>
      <c r="Q11" s="70" t="s">
        <v>193</v>
      </c>
      <c r="R11" s="72" t="s">
        <v>189</v>
      </c>
      <c r="S11" s="72" t="s">
        <v>190</v>
      </c>
      <c r="T11" s="72" t="s">
        <v>191</v>
      </c>
      <c r="U11" s="72" t="s">
        <v>192</v>
      </c>
      <c r="V11" s="72" t="s">
        <v>193</v>
      </c>
      <c r="W11" s="70" t="s">
        <v>194</v>
      </c>
      <c r="X11" s="70" t="s">
        <v>195</v>
      </c>
      <c r="Y11" s="52"/>
      <c r="Z11" s="52"/>
      <c r="AA11" s="52"/>
      <c r="AB11" s="52"/>
      <c r="AC11" s="52"/>
    </row>
    <row r="12" ht="15.75" customHeight="1">
      <c r="A12" s="69" t="s">
        <v>196</v>
      </c>
      <c r="B12" s="70" t="s">
        <v>197</v>
      </c>
      <c r="C12" s="70" t="s">
        <v>198</v>
      </c>
      <c r="D12" s="70" t="s">
        <v>199</v>
      </c>
      <c r="E12" s="70" t="s">
        <v>200</v>
      </c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52"/>
      <c r="Z12" s="52"/>
      <c r="AA12" s="52"/>
      <c r="AB12" s="52"/>
      <c r="AC12" s="52"/>
    </row>
    <row r="13" ht="60" customHeight="1">
      <c r="A13" s="73">
        <v>1</v>
      </c>
      <c r="B13" s="93" t="s">
        <v>80</v>
      </c>
      <c r="C13" s="58" t="s">
        <v>117</v>
      </c>
      <c r="D13" s="58" t="s">
        <v>500</v>
      </c>
      <c r="E13" s="58" t="s">
        <v>1256</v>
      </c>
      <c r="F13" s="58" t="s">
        <v>203</v>
      </c>
      <c r="G13" s="58" t="s">
        <v>1257</v>
      </c>
      <c r="H13" s="58" t="s">
        <v>1258</v>
      </c>
      <c r="I13" s="58" t="s">
        <v>1259</v>
      </c>
      <c r="J13" s="58" t="s">
        <v>1260</v>
      </c>
      <c r="K13" s="74" t="s">
        <v>1261</v>
      </c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 t="s">
        <v>1262</v>
      </c>
      <c r="Y13" s="52"/>
      <c r="Z13" s="52"/>
      <c r="AA13" s="52"/>
      <c r="AB13" s="52"/>
      <c r="AC13" s="52"/>
    </row>
    <row r="14" ht="60" customHeight="1">
      <c r="A14" s="73">
        <v>2</v>
      </c>
      <c r="B14" s="93"/>
      <c r="C14" s="93" t="s">
        <v>118</v>
      </c>
      <c r="D14" s="93" t="s">
        <v>513</v>
      </c>
      <c r="E14" s="58" t="s">
        <v>1263</v>
      </c>
      <c r="F14" s="58" t="s">
        <v>203</v>
      </c>
      <c r="G14" s="58" t="s">
        <v>1264</v>
      </c>
      <c r="H14" s="58" t="s">
        <v>1265</v>
      </c>
      <c r="I14" s="58" t="s">
        <v>1266</v>
      </c>
      <c r="J14" s="58" t="s">
        <v>1267</v>
      </c>
      <c r="K14" s="74" t="s">
        <v>1268</v>
      </c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 t="s">
        <v>1269</v>
      </c>
      <c r="Y14" s="52"/>
      <c r="Z14" s="52"/>
      <c r="AA14" s="52"/>
      <c r="AB14" s="52"/>
      <c r="AC14" s="52"/>
    </row>
    <row r="15" ht="60" customHeight="1">
      <c r="A15" s="73">
        <v>3</v>
      </c>
      <c r="B15" s="93"/>
      <c r="C15" s="94"/>
      <c r="D15" s="94"/>
      <c r="E15" s="58" t="s">
        <v>1270</v>
      </c>
      <c r="F15" s="58" t="s">
        <v>203</v>
      </c>
      <c r="G15" s="58" t="s">
        <v>1271</v>
      </c>
      <c r="H15" s="58" t="s">
        <v>1272</v>
      </c>
      <c r="I15" s="58" t="s">
        <v>1273</v>
      </c>
      <c r="J15" s="58" t="s">
        <v>1274</v>
      </c>
      <c r="K15" s="74" t="s">
        <v>1275</v>
      </c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 t="s">
        <v>1269</v>
      </c>
      <c r="Y15" s="52"/>
      <c r="Z15" s="52"/>
      <c r="AA15" s="52"/>
      <c r="AB15" s="52"/>
      <c r="AC15" s="52"/>
    </row>
    <row r="16" ht="60" customHeight="1">
      <c r="A16" s="73">
        <v>4</v>
      </c>
      <c r="B16" s="93"/>
      <c r="C16" s="93" t="s">
        <v>119</v>
      </c>
      <c r="D16" s="93" t="s">
        <v>1276</v>
      </c>
      <c r="E16" s="58" t="s">
        <v>1277</v>
      </c>
      <c r="F16" s="58" t="s">
        <v>210</v>
      </c>
      <c r="G16" s="58" t="s">
        <v>1278</v>
      </c>
      <c r="H16" s="58" t="s">
        <v>1279</v>
      </c>
      <c r="I16" s="58" t="s">
        <v>1266</v>
      </c>
      <c r="J16" s="58" t="s">
        <v>1280</v>
      </c>
      <c r="K16" s="74" t="s">
        <v>1281</v>
      </c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 t="s">
        <v>1269</v>
      </c>
      <c r="Y16" s="52"/>
      <c r="Z16" s="52"/>
      <c r="AA16" s="52"/>
      <c r="AB16" s="52"/>
      <c r="AC16" s="52"/>
    </row>
    <row r="17" ht="60" customHeight="1">
      <c r="A17" s="73">
        <v>5</v>
      </c>
      <c r="B17" s="94"/>
      <c r="C17" s="94"/>
      <c r="D17" s="94"/>
      <c r="E17" s="58" t="s">
        <v>1282</v>
      </c>
      <c r="F17" s="58" t="s">
        <v>210</v>
      </c>
      <c r="G17" s="58" t="s">
        <v>1283</v>
      </c>
      <c r="H17" s="58" t="s">
        <v>1284</v>
      </c>
      <c r="I17" s="58" t="s">
        <v>1273</v>
      </c>
      <c r="J17" s="58" t="s">
        <v>1285</v>
      </c>
      <c r="K17" s="74" t="s">
        <v>1281</v>
      </c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 t="s">
        <v>1269</v>
      </c>
      <c r="Y17" s="52"/>
      <c r="Z17" s="52"/>
      <c r="AA17" s="52"/>
      <c r="AB17" s="52"/>
      <c r="AC17" s="52"/>
    </row>
    <row r="18" ht="73.5" customHeight="1">
      <c r="A18" s="73">
        <v>6</v>
      </c>
      <c r="B18" s="93" t="s">
        <v>120</v>
      </c>
      <c r="C18" s="93" t="s">
        <v>121</v>
      </c>
      <c r="D18" s="93" t="s">
        <v>268</v>
      </c>
      <c r="E18" s="58" t="s">
        <v>1286</v>
      </c>
      <c r="F18" s="58" t="s">
        <v>203</v>
      </c>
      <c r="G18" s="58" t="s">
        <v>1287</v>
      </c>
      <c r="H18" s="58" t="s">
        <v>1288</v>
      </c>
      <c r="I18" s="58" t="s">
        <v>1259</v>
      </c>
      <c r="J18" s="58" t="s">
        <v>1289</v>
      </c>
      <c r="K18" s="74" t="s">
        <v>1290</v>
      </c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 t="s">
        <v>1262</v>
      </c>
      <c r="Y18" s="52"/>
      <c r="Z18" s="52"/>
      <c r="AA18" s="52"/>
      <c r="AB18" s="52"/>
      <c r="AC18" s="52"/>
    </row>
    <row r="19" ht="48.600000000000001" customHeight="1">
      <c r="A19" s="73">
        <v>7</v>
      </c>
      <c r="B19" s="93"/>
      <c r="C19" s="93"/>
      <c r="D19" s="93"/>
      <c r="E19" s="58" t="s">
        <v>1291</v>
      </c>
      <c r="F19" s="58" t="s">
        <v>210</v>
      </c>
      <c r="G19" s="58" t="s">
        <v>1292</v>
      </c>
      <c r="H19" s="58" t="s">
        <v>1293</v>
      </c>
      <c r="I19" s="58" t="s">
        <v>1259</v>
      </c>
      <c r="J19" s="58" t="s">
        <v>1294</v>
      </c>
      <c r="K19" s="74" t="s">
        <v>1295</v>
      </c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 t="s">
        <v>1296</v>
      </c>
      <c r="Y19" s="52"/>
      <c r="Z19" s="52"/>
      <c r="AA19" s="52"/>
      <c r="AB19" s="52"/>
      <c r="AC19" s="52"/>
    </row>
    <row r="20" ht="48.600000000000001" customHeight="1">
      <c r="A20" s="73">
        <v>8</v>
      </c>
      <c r="B20" s="93"/>
      <c r="C20" s="94"/>
      <c r="D20" s="94"/>
      <c r="E20" s="58" t="s">
        <v>1297</v>
      </c>
      <c r="F20" s="58" t="s">
        <v>203</v>
      </c>
      <c r="G20" s="58" t="s">
        <v>1298</v>
      </c>
      <c r="H20" s="58" t="s">
        <v>1299</v>
      </c>
      <c r="I20" s="58" t="s">
        <v>1259</v>
      </c>
      <c r="J20" s="58" t="s">
        <v>1294</v>
      </c>
      <c r="K20" s="74" t="s">
        <v>1300</v>
      </c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 t="s">
        <v>1301</v>
      </c>
      <c r="Y20" s="52"/>
      <c r="Z20" s="52"/>
      <c r="AA20" s="52"/>
      <c r="AB20" s="52"/>
      <c r="AC20" s="52"/>
    </row>
    <row r="21" ht="48.600000000000001" customHeight="1">
      <c r="A21" s="73">
        <v>9</v>
      </c>
      <c r="B21" s="93"/>
      <c r="C21" s="93" t="s">
        <v>96</v>
      </c>
      <c r="D21" s="93" t="s">
        <v>268</v>
      </c>
      <c r="E21" s="58" t="s">
        <v>1302</v>
      </c>
      <c r="F21" s="58" t="s">
        <v>210</v>
      </c>
      <c r="G21" s="58" t="s">
        <v>1303</v>
      </c>
      <c r="H21" s="58" t="s">
        <v>1304</v>
      </c>
      <c r="I21" s="58" t="s">
        <v>1259</v>
      </c>
      <c r="J21" s="58" t="s">
        <v>1305</v>
      </c>
      <c r="K21" s="74" t="s">
        <v>1306</v>
      </c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 t="s">
        <v>1262</v>
      </c>
      <c r="Y21" s="52"/>
      <c r="Z21" s="52"/>
      <c r="AA21" s="52"/>
      <c r="AB21" s="52"/>
      <c r="AC21" s="52"/>
    </row>
    <row r="22" ht="48.600000000000001" customHeight="1">
      <c r="A22" s="73">
        <v>10</v>
      </c>
      <c r="B22" s="93"/>
      <c r="C22" s="93"/>
      <c r="D22" s="94"/>
      <c r="E22" s="58" t="s">
        <v>1307</v>
      </c>
      <c r="F22" s="58" t="s">
        <v>225</v>
      </c>
      <c r="G22" s="58" t="s">
        <v>1308</v>
      </c>
      <c r="H22" s="58" t="s">
        <v>662</v>
      </c>
      <c r="I22" s="58" t="s">
        <v>1259</v>
      </c>
      <c r="J22" s="58" t="s">
        <v>1309</v>
      </c>
      <c r="K22" s="74" t="s">
        <v>1310</v>
      </c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 t="s">
        <v>1262</v>
      </c>
      <c r="Y22" s="52"/>
      <c r="Z22" s="52"/>
      <c r="AA22" s="52"/>
      <c r="AB22" s="52"/>
      <c r="AC22" s="52"/>
    </row>
    <row r="23" ht="48.600000000000001" customHeight="1">
      <c r="A23" s="73">
        <v>11</v>
      </c>
      <c r="B23" s="93"/>
      <c r="C23" s="93"/>
      <c r="D23" s="93" t="s">
        <v>659</v>
      </c>
      <c r="E23" s="58" t="s">
        <v>1311</v>
      </c>
      <c r="F23" s="58" t="s">
        <v>203</v>
      </c>
      <c r="G23" s="58" t="s">
        <v>1312</v>
      </c>
      <c r="H23" s="58" t="s">
        <v>1313</v>
      </c>
      <c r="I23" s="58" t="s">
        <v>1259</v>
      </c>
      <c r="J23" s="58" t="s">
        <v>1314</v>
      </c>
      <c r="K23" s="74" t="s">
        <v>1315</v>
      </c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 t="s">
        <v>1262</v>
      </c>
      <c r="Y23" s="52"/>
      <c r="Z23" s="52"/>
      <c r="AA23" s="52"/>
      <c r="AB23" s="52"/>
      <c r="AC23" s="52"/>
    </row>
    <row r="24" ht="48.600000000000001" customHeight="1">
      <c r="A24" s="73">
        <v>12</v>
      </c>
      <c r="B24" s="93"/>
      <c r="C24" s="93"/>
      <c r="D24" s="93"/>
      <c r="E24" s="58" t="s">
        <v>1316</v>
      </c>
      <c r="F24" s="58" t="s">
        <v>203</v>
      </c>
      <c r="G24" s="58" t="s">
        <v>1317</v>
      </c>
      <c r="H24" s="58" t="s">
        <v>1318</v>
      </c>
      <c r="I24" s="58" t="s">
        <v>1259</v>
      </c>
      <c r="J24" s="58" t="s">
        <v>1319</v>
      </c>
      <c r="K24" s="74" t="s">
        <v>1320</v>
      </c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 t="s">
        <v>1262</v>
      </c>
      <c r="Y24" s="52"/>
      <c r="Z24" s="52"/>
      <c r="AA24" s="52"/>
      <c r="AB24" s="52"/>
      <c r="AC24" s="52"/>
    </row>
    <row r="25" ht="48.600000000000001" customHeight="1">
      <c r="A25" s="73"/>
      <c r="B25" s="93"/>
      <c r="C25" s="93"/>
      <c r="D25" s="93"/>
      <c r="E25" s="95" t="s">
        <v>1321</v>
      </c>
      <c r="F25" s="58" t="s">
        <v>203</v>
      </c>
      <c r="G25" s="58" t="s">
        <v>1312</v>
      </c>
      <c r="H25" s="95" t="s">
        <v>1322</v>
      </c>
      <c r="I25" s="58" t="s">
        <v>1259</v>
      </c>
      <c r="J25" s="95" t="s">
        <v>1323</v>
      </c>
      <c r="K25" s="96" t="s">
        <v>1324</v>
      </c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2"/>
      <c r="Z25" s="52"/>
      <c r="AA25" s="52"/>
      <c r="AB25" s="52"/>
      <c r="AC25" s="52"/>
    </row>
    <row r="26" ht="48.600000000000001" customHeight="1">
      <c r="A26" s="73"/>
      <c r="B26" s="93"/>
      <c r="C26" s="93"/>
      <c r="D26" s="93"/>
      <c r="E26" s="95" t="s">
        <v>1325</v>
      </c>
      <c r="F26" s="58" t="s">
        <v>203</v>
      </c>
      <c r="G26" s="58" t="s">
        <v>1312</v>
      </c>
      <c r="H26" s="95" t="s">
        <v>1326</v>
      </c>
      <c r="I26" s="58" t="s">
        <v>1259</v>
      </c>
      <c r="J26" s="95" t="s">
        <v>1327</v>
      </c>
      <c r="K26" s="96" t="s">
        <v>1328</v>
      </c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2"/>
      <c r="Z26" s="52"/>
      <c r="AA26" s="52"/>
      <c r="AB26" s="52"/>
      <c r="AC26" s="52"/>
    </row>
    <row r="27" ht="48.600000000000001" customHeight="1">
      <c r="A27" s="73"/>
      <c r="B27" s="93"/>
      <c r="C27" s="93"/>
      <c r="D27" s="93"/>
      <c r="E27" s="95" t="s">
        <v>1329</v>
      </c>
      <c r="F27" s="58" t="s">
        <v>203</v>
      </c>
      <c r="G27" s="58" t="s">
        <v>1312</v>
      </c>
      <c r="H27" s="95" t="s">
        <v>1330</v>
      </c>
      <c r="I27" s="58" t="s">
        <v>1259</v>
      </c>
      <c r="J27" s="95" t="s">
        <v>1331</v>
      </c>
      <c r="K27" s="96" t="s">
        <v>1332</v>
      </c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2"/>
      <c r="Z27" s="52"/>
      <c r="AA27" s="52"/>
      <c r="AB27" s="52"/>
      <c r="AC27" s="52"/>
    </row>
    <row r="28" ht="48.600000000000001" customHeight="1">
      <c r="A28" s="73"/>
      <c r="B28" s="93"/>
      <c r="C28" s="93"/>
      <c r="D28" s="93"/>
      <c r="E28" s="95" t="s">
        <v>1333</v>
      </c>
      <c r="F28" s="58" t="s">
        <v>203</v>
      </c>
      <c r="G28" s="58" t="s">
        <v>1312</v>
      </c>
      <c r="H28" s="95" t="s">
        <v>1334</v>
      </c>
      <c r="I28" s="58" t="s">
        <v>1259</v>
      </c>
      <c r="J28" s="95" t="s">
        <v>1335</v>
      </c>
      <c r="K28" s="96" t="s">
        <v>1336</v>
      </c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2"/>
      <c r="Z28" s="52"/>
      <c r="AA28" s="52"/>
      <c r="AB28" s="52"/>
      <c r="AC28" s="52"/>
    </row>
    <row r="29" ht="60" customHeight="1">
      <c r="A29" s="73">
        <v>13</v>
      </c>
      <c r="B29" s="93"/>
      <c r="C29" s="93"/>
      <c r="D29" s="93"/>
      <c r="E29" s="58" t="s">
        <v>677</v>
      </c>
      <c r="F29" s="58" t="s">
        <v>210</v>
      </c>
      <c r="G29" s="58" t="s">
        <v>1337</v>
      </c>
      <c r="H29" s="58" t="s">
        <v>1338</v>
      </c>
      <c r="I29" s="58" t="s">
        <v>1259</v>
      </c>
      <c r="J29" s="58" t="s">
        <v>1339</v>
      </c>
      <c r="K29" s="96" t="s">
        <v>1340</v>
      </c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 t="s">
        <v>1262</v>
      </c>
      <c r="Y29" s="52"/>
      <c r="Z29" s="52"/>
      <c r="AA29" s="52"/>
      <c r="AB29" s="52"/>
      <c r="AC29" s="52"/>
    </row>
    <row r="30" ht="48.600000000000001" customHeight="1">
      <c r="A30" s="73">
        <v>14</v>
      </c>
      <c r="B30" s="93"/>
      <c r="C30" s="94"/>
      <c r="D30" s="94"/>
      <c r="E30" s="58" t="s">
        <v>1341</v>
      </c>
      <c r="F30" s="58" t="s">
        <v>210</v>
      </c>
      <c r="G30" s="58" t="s">
        <v>1342</v>
      </c>
      <c r="H30" s="58" t="s">
        <v>1343</v>
      </c>
      <c r="I30" s="58" t="s">
        <v>1259</v>
      </c>
      <c r="J30" s="58" t="s">
        <v>1344</v>
      </c>
      <c r="K30" s="74" t="s">
        <v>1345</v>
      </c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 t="s">
        <v>1262</v>
      </c>
      <c r="Y30" s="52"/>
      <c r="Z30" s="52"/>
      <c r="AA30" s="52"/>
      <c r="AB30" s="52"/>
      <c r="AC30" s="52"/>
    </row>
    <row r="31" ht="73.5" customHeight="1">
      <c r="A31" s="73">
        <v>15</v>
      </c>
      <c r="B31" s="93"/>
      <c r="C31" s="93" t="s">
        <v>97</v>
      </c>
      <c r="D31" s="58" t="s">
        <v>1346</v>
      </c>
      <c r="E31" s="58" t="s">
        <v>1347</v>
      </c>
      <c r="F31" s="58" t="s">
        <v>203</v>
      </c>
      <c r="G31" s="58" t="s">
        <v>1348</v>
      </c>
      <c r="H31" s="58" t="s">
        <v>1349</v>
      </c>
      <c r="I31" s="58" t="s">
        <v>1259</v>
      </c>
      <c r="J31" s="58" t="s">
        <v>1350</v>
      </c>
      <c r="K31" s="74" t="s">
        <v>1351</v>
      </c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 t="s">
        <v>1262</v>
      </c>
      <c r="Y31" s="52"/>
      <c r="Z31" s="52"/>
      <c r="AA31" s="52"/>
      <c r="AB31" s="52"/>
      <c r="AC31" s="52"/>
    </row>
    <row r="32" ht="100.5" customHeight="1">
      <c r="A32" s="73">
        <v>16</v>
      </c>
      <c r="B32" s="93"/>
      <c r="C32" s="93"/>
      <c r="D32" s="93" t="s">
        <v>1352</v>
      </c>
      <c r="E32" s="58" t="s">
        <v>1353</v>
      </c>
      <c r="F32" s="58" t="s">
        <v>203</v>
      </c>
      <c r="G32" s="58" t="s">
        <v>1354</v>
      </c>
      <c r="H32" s="58" t="s">
        <v>1355</v>
      </c>
      <c r="I32" s="58" t="s">
        <v>1356</v>
      </c>
      <c r="J32" s="58" t="s">
        <v>1357</v>
      </c>
      <c r="K32" s="74" t="s">
        <v>1358</v>
      </c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 t="s">
        <v>1262</v>
      </c>
      <c r="Y32" s="52"/>
      <c r="Z32" s="52"/>
      <c r="AA32" s="52"/>
      <c r="AB32" s="52"/>
      <c r="AC32" s="52"/>
    </row>
    <row r="33" ht="73.5" customHeight="1">
      <c r="A33" s="73">
        <v>17</v>
      </c>
      <c r="B33" s="93"/>
      <c r="C33" s="93"/>
      <c r="D33" s="93"/>
      <c r="E33" s="58" t="s">
        <v>1359</v>
      </c>
      <c r="F33" s="58" t="s">
        <v>203</v>
      </c>
      <c r="G33" s="58" t="s">
        <v>1360</v>
      </c>
      <c r="H33" s="58" t="s">
        <v>1361</v>
      </c>
      <c r="I33" s="58" t="s">
        <v>1362</v>
      </c>
      <c r="J33" s="58" t="s">
        <v>1363</v>
      </c>
      <c r="K33" s="74" t="s">
        <v>1364</v>
      </c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 t="s">
        <v>1262</v>
      </c>
      <c r="Y33" s="52"/>
      <c r="Z33" s="52"/>
      <c r="AA33" s="52"/>
      <c r="AB33" s="52"/>
      <c r="AC33" s="52"/>
    </row>
    <row r="34" ht="60" customHeight="1">
      <c r="A34" s="73">
        <v>18</v>
      </c>
      <c r="B34" s="93"/>
      <c r="C34" s="93"/>
      <c r="D34" s="93"/>
      <c r="E34" s="58" t="s">
        <v>1365</v>
      </c>
      <c r="F34" s="58" t="s">
        <v>203</v>
      </c>
      <c r="G34" s="58" t="s">
        <v>1366</v>
      </c>
      <c r="H34" s="58" t="s">
        <v>1367</v>
      </c>
      <c r="I34" s="58" t="s">
        <v>1273</v>
      </c>
      <c r="J34" s="58" t="s">
        <v>1368</v>
      </c>
      <c r="K34" s="74" t="s">
        <v>1369</v>
      </c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 t="s">
        <v>1262</v>
      </c>
      <c r="Y34" s="52"/>
      <c r="Z34" s="52"/>
      <c r="AA34" s="52"/>
      <c r="AB34" s="52"/>
      <c r="AC34" s="52"/>
    </row>
    <row r="35" ht="73.5" customHeight="1">
      <c r="A35" s="73">
        <v>19</v>
      </c>
      <c r="B35" s="93"/>
      <c r="C35" s="93"/>
      <c r="D35" s="94"/>
      <c r="E35" s="58" t="s">
        <v>1370</v>
      </c>
      <c r="F35" s="58" t="s">
        <v>210</v>
      </c>
      <c r="G35" s="58" t="s">
        <v>1371</v>
      </c>
      <c r="H35" s="58" t="s">
        <v>1372</v>
      </c>
      <c r="I35" s="58" t="s">
        <v>1373</v>
      </c>
      <c r="J35" s="58" t="s">
        <v>1374</v>
      </c>
      <c r="K35" s="74" t="s">
        <v>1375</v>
      </c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 t="s">
        <v>1262</v>
      </c>
      <c r="Y35" s="52"/>
      <c r="Z35" s="52"/>
      <c r="AA35" s="52"/>
      <c r="AB35" s="52"/>
      <c r="AC35" s="52"/>
    </row>
    <row r="36" ht="48.600000000000001" customHeight="1">
      <c r="A36" s="73">
        <v>20</v>
      </c>
      <c r="B36" s="93"/>
      <c r="C36" s="93"/>
      <c r="D36" s="93" t="s">
        <v>784</v>
      </c>
      <c r="E36" s="95" t="s">
        <v>785</v>
      </c>
      <c r="F36" s="58" t="s">
        <v>210</v>
      </c>
      <c r="G36" s="58" t="s">
        <v>1376</v>
      </c>
      <c r="H36" s="58" t="s">
        <v>787</v>
      </c>
      <c r="I36" s="58" t="s">
        <v>504</v>
      </c>
      <c r="J36" s="95" t="s">
        <v>1377</v>
      </c>
      <c r="K36" s="74" t="s">
        <v>789</v>
      </c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 t="s">
        <v>1262</v>
      </c>
      <c r="Y36" s="52"/>
      <c r="Z36" s="52"/>
      <c r="AA36" s="52"/>
      <c r="AB36" s="52"/>
      <c r="AC36" s="52"/>
    </row>
    <row r="37" ht="48.600000000000001" customHeight="1">
      <c r="A37" s="73">
        <v>21</v>
      </c>
      <c r="B37" s="93"/>
      <c r="C37" s="93"/>
      <c r="D37" s="93"/>
      <c r="E37" s="95" t="s">
        <v>791</v>
      </c>
      <c r="F37" s="58" t="s">
        <v>210</v>
      </c>
      <c r="G37" s="58" t="s">
        <v>1376</v>
      </c>
      <c r="H37" s="58" t="s">
        <v>793</v>
      </c>
      <c r="I37" s="58" t="s">
        <v>504</v>
      </c>
      <c r="J37" s="95" t="s">
        <v>1378</v>
      </c>
      <c r="K37" s="74" t="s">
        <v>795</v>
      </c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 t="s">
        <v>1262</v>
      </c>
      <c r="Y37" s="52"/>
      <c r="Z37" s="52"/>
      <c r="AA37" s="52"/>
      <c r="AB37" s="52"/>
      <c r="AC37" s="52"/>
    </row>
    <row r="38" ht="48.600000000000001" customHeight="1">
      <c r="A38" s="73">
        <v>22</v>
      </c>
      <c r="B38" s="93"/>
      <c r="C38" s="93"/>
      <c r="D38" s="93"/>
      <c r="E38" s="95" t="s">
        <v>797</v>
      </c>
      <c r="F38" s="58" t="s">
        <v>210</v>
      </c>
      <c r="G38" s="58" t="s">
        <v>1376</v>
      </c>
      <c r="H38" s="58" t="s">
        <v>799</v>
      </c>
      <c r="I38" s="58" t="s">
        <v>504</v>
      </c>
      <c r="J38" s="95" t="s">
        <v>1379</v>
      </c>
      <c r="K38" s="74" t="s">
        <v>801</v>
      </c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 t="s">
        <v>1262</v>
      </c>
      <c r="Y38" s="52"/>
      <c r="Z38" s="52"/>
      <c r="AA38" s="52"/>
      <c r="AB38" s="52"/>
      <c r="AC38" s="52"/>
    </row>
    <row r="39" ht="48.600000000000001" customHeight="1">
      <c r="A39" s="73"/>
      <c r="B39" s="93"/>
      <c r="C39" s="93"/>
      <c r="D39" s="97" t="s">
        <v>1380</v>
      </c>
      <c r="E39" s="95" t="s">
        <v>1381</v>
      </c>
      <c r="F39" s="58" t="s">
        <v>225</v>
      </c>
      <c r="G39" s="58" t="s">
        <v>1376</v>
      </c>
      <c r="H39" s="95" t="s">
        <v>1382</v>
      </c>
      <c r="I39" s="58" t="s">
        <v>504</v>
      </c>
      <c r="J39" s="95" t="s">
        <v>1383</v>
      </c>
      <c r="K39" s="74" t="s">
        <v>1384</v>
      </c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2"/>
      <c r="Z39" s="52"/>
      <c r="AA39" s="52"/>
      <c r="AB39" s="52"/>
      <c r="AC39" s="52"/>
    </row>
    <row r="40" ht="48.600000000000001" customHeight="1">
      <c r="A40" s="73">
        <v>24</v>
      </c>
      <c r="B40" s="93"/>
      <c r="C40" s="94"/>
      <c r="D40" s="98"/>
      <c r="E40" s="58" t="s">
        <v>1385</v>
      </c>
      <c r="F40" s="58" t="s">
        <v>225</v>
      </c>
      <c r="G40" s="58" t="s">
        <v>1376</v>
      </c>
      <c r="H40" s="58" t="s">
        <v>1386</v>
      </c>
      <c r="I40" s="58" t="s">
        <v>1259</v>
      </c>
      <c r="J40" s="58" t="s">
        <v>1387</v>
      </c>
      <c r="K40" s="96" t="s">
        <v>1388</v>
      </c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2"/>
      <c r="Z40" s="52"/>
      <c r="AA40" s="52"/>
      <c r="AB40" s="52"/>
      <c r="AC40" s="52"/>
    </row>
    <row r="41" ht="48.600000000000001" customHeight="1">
      <c r="A41" s="73">
        <v>25</v>
      </c>
      <c r="B41" s="93"/>
      <c r="C41" s="93" t="s">
        <v>122</v>
      </c>
      <c r="D41" s="93" t="s">
        <v>268</v>
      </c>
      <c r="E41" s="58" t="s">
        <v>1389</v>
      </c>
      <c r="F41" s="58" t="s">
        <v>210</v>
      </c>
      <c r="G41" s="58" t="s">
        <v>1390</v>
      </c>
      <c r="H41" s="58" t="s">
        <v>1391</v>
      </c>
      <c r="I41" s="58" t="s">
        <v>1259</v>
      </c>
      <c r="J41" s="58" t="s">
        <v>1392</v>
      </c>
      <c r="K41" s="74" t="s">
        <v>1393</v>
      </c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 t="s">
        <v>1262</v>
      </c>
      <c r="Y41" s="52"/>
      <c r="Z41" s="52"/>
      <c r="AA41" s="52"/>
      <c r="AB41" s="52"/>
      <c r="AC41" s="52"/>
    </row>
    <row r="42" ht="48.600000000000001" customHeight="1">
      <c r="A42" s="73">
        <v>26</v>
      </c>
      <c r="B42" s="94"/>
      <c r="C42" s="94"/>
      <c r="D42" s="94"/>
      <c r="E42" s="58" t="s">
        <v>1394</v>
      </c>
      <c r="F42" s="58" t="s">
        <v>225</v>
      </c>
      <c r="G42" s="58" t="s">
        <v>1395</v>
      </c>
      <c r="H42" s="58" t="s">
        <v>1396</v>
      </c>
      <c r="I42" s="58" t="s">
        <v>1259</v>
      </c>
      <c r="J42" s="58" t="s">
        <v>1397</v>
      </c>
      <c r="K42" s="74" t="s">
        <v>1398</v>
      </c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 t="s">
        <v>1262</v>
      </c>
      <c r="Y42" s="52"/>
      <c r="Z42" s="52"/>
      <c r="AA42" s="52"/>
      <c r="AB42" s="52"/>
      <c r="AC42" s="52"/>
    </row>
    <row r="43" ht="73.5" customHeight="1">
      <c r="A43" s="73">
        <v>27</v>
      </c>
      <c r="B43" s="93" t="s">
        <v>123</v>
      </c>
      <c r="C43" s="93" t="s">
        <v>100</v>
      </c>
      <c r="D43" s="93" t="s">
        <v>268</v>
      </c>
      <c r="E43" s="58" t="s">
        <v>1399</v>
      </c>
      <c r="F43" s="58" t="s">
        <v>203</v>
      </c>
      <c r="G43" s="58" t="s">
        <v>1400</v>
      </c>
      <c r="H43" s="58" t="s">
        <v>1401</v>
      </c>
      <c r="I43" s="58" t="s">
        <v>1266</v>
      </c>
      <c r="J43" s="58" t="s">
        <v>1402</v>
      </c>
      <c r="K43" s="74" t="s">
        <v>1403</v>
      </c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 t="s">
        <v>1269</v>
      </c>
      <c r="Y43" s="52"/>
      <c r="Z43" s="52"/>
      <c r="AA43" s="52"/>
      <c r="AB43" s="52"/>
      <c r="AC43" s="52"/>
    </row>
    <row r="44" ht="73.5" customHeight="1">
      <c r="A44" s="73">
        <v>28</v>
      </c>
      <c r="B44" s="93"/>
      <c r="C44" s="94"/>
      <c r="D44" s="94"/>
      <c r="E44" s="58" t="s">
        <v>1404</v>
      </c>
      <c r="F44" s="58" t="s">
        <v>203</v>
      </c>
      <c r="G44" s="58" t="s">
        <v>1405</v>
      </c>
      <c r="H44" s="58" t="s">
        <v>1406</v>
      </c>
      <c r="I44" s="58" t="s">
        <v>1273</v>
      </c>
      <c r="J44" s="58" t="s">
        <v>1407</v>
      </c>
      <c r="K44" s="74" t="s">
        <v>1408</v>
      </c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 t="s">
        <v>1409</v>
      </c>
      <c r="Y44" s="52"/>
      <c r="Z44" s="52"/>
      <c r="AA44" s="52"/>
      <c r="AB44" s="52"/>
      <c r="AC44" s="52"/>
    </row>
    <row r="45" ht="73.5" customHeight="1">
      <c r="A45" s="73"/>
      <c r="B45" s="93"/>
      <c r="C45" s="99" t="s">
        <v>124</v>
      </c>
      <c r="D45" s="58" t="s">
        <v>1410</v>
      </c>
      <c r="E45" s="58" t="s">
        <v>1411</v>
      </c>
      <c r="F45" s="58" t="s">
        <v>210</v>
      </c>
      <c r="G45" s="58" t="s">
        <v>1412</v>
      </c>
      <c r="H45" s="58" t="s">
        <v>1413</v>
      </c>
      <c r="I45" s="58" t="s">
        <v>1266</v>
      </c>
      <c r="J45" s="58" t="s">
        <v>1414</v>
      </c>
      <c r="K45" s="74" t="s">
        <v>1415</v>
      </c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2"/>
      <c r="Z45" s="52"/>
      <c r="AA45" s="52"/>
      <c r="AB45" s="52"/>
      <c r="AC45" s="52"/>
    </row>
    <row r="46" ht="60" customHeight="1">
      <c r="A46" s="73">
        <v>29</v>
      </c>
      <c r="B46" s="93"/>
      <c r="C46" s="100"/>
      <c r="D46" s="95" t="s">
        <v>1416</v>
      </c>
      <c r="E46" s="95" t="s">
        <v>1417</v>
      </c>
      <c r="F46" s="58" t="s">
        <v>210</v>
      </c>
      <c r="G46" s="58" t="s">
        <v>1412</v>
      </c>
      <c r="H46" s="95" t="s">
        <v>1418</v>
      </c>
      <c r="I46" s="58" t="s">
        <v>1266</v>
      </c>
      <c r="J46" s="95" t="s">
        <v>1419</v>
      </c>
      <c r="K46" s="96" t="s">
        <v>1420</v>
      </c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 t="s">
        <v>1301</v>
      </c>
      <c r="Y46" s="52"/>
      <c r="Z46" s="52"/>
      <c r="AA46" s="52"/>
      <c r="AB46" s="52"/>
      <c r="AC46" s="52"/>
    </row>
    <row r="47" ht="60" customHeight="1">
      <c r="A47" s="73">
        <v>30</v>
      </c>
      <c r="B47" s="93"/>
      <c r="C47" s="93" t="s">
        <v>125</v>
      </c>
      <c r="D47" s="101" t="s">
        <v>1421</v>
      </c>
      <c r="E47" s="58" t="s">
        <v>1422</v>
      </c>
      <c r="F47" s="58" t="s">
        <v>203</v>
      </c>
      <c r="G47" s="58" t="s">
        <v>1423</v>
      </c>
      <c r="H47" s="58" t="s">
        <v>1424</v>
      </c>
      <c r="I47" s="58" t="s">
        <v>1266</v>
      </c>
      <c r="J47" s="58" t="s">
        <v>1425</v>
      </c>
      <c r="K47" s="74" t="s">
        <v>1426</v>
      </c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 t="s">
        <v>1269</v>
      </c>
      <c r="Y47" s="52"/>
      <c r="Z47" s="52"/>
      <c r="AA47" s="52"/>
      <c r="AB47" s="52"/>
      <c r="AC47" s="52"/>
    </row>
    <row r="48" ht="60" customHeight="1">
      <c r="A48" s="73">
        <v>31</v>
      </c>
      <c r="B48" s="93"/>
      <c r="C48" s="94"/>
      <c r="D48" s="94"/>
      <c r="E48" s="58" t="s">
        <v>1427</v>
      </c>
      <c r="F48" s="58" t="s">
        <v>203</v>
      </c>
      <c r="G48" s="58" t="s">
        <v>1428</v>
      </c>
      <c r="H48" s="58" t="s">
        <v>1429</v>
      </c>
      <c r="I48" s="58" t="s">
        <v>1273</v>
      </c>
      <c r="J48" s="58" t="s">
        <v>1430</v>
      </c>
      <c r="K48" s="74" t="s">
        <v>1431</v>
      </c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 t="s">
        <v>1269</v>
      </c>
      <c r="Y48" s="52"/>
      <c r="Z48" s="52"/>
      <c r="AA48" s="52"/>
      <c r="AB48" s="52"/>
      <c r="AC48" s="52"/>
    </row>
    <row r="49" ht="60" customHeight="1">
      <c r="A49" s="73">
        <v>32</v>
      </c>
      <c r="B49" s="93"/>
      <c r="C49" s="93" t="s">
        <v>102</v>
      </c>
      <c r="D49" s="58" t="s">
        <v>1432</v>
      </c>
      <c r="E49" s="58" t="s">
        <v>1433</v>
      </c>
      <c r="F49" s="58" t="s">
        <v>203</v>
      </c>
      <c r="G49" s="58" t="s">
        <v>1434</v>
      </c>
      <c r="H49" s="58" t="s">
        <v>1435</v>
      </c>
      <c r="I49" s="58" t="s">
        <v>1266</v>
      </c>
      <c r="J49" s="58" t="s">
        <v>1436</v>
      </c>
      <c r="K49" s="74" t="s">
        <v>1437</v>
      </c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 t="s">
        <v>1269</v>
      </c>
      <c r="Y49" s="52"/>
      <c r="Z49" s="52"/>
      <c r="AA49" s="52"/>
      <c r="AB49" s="52"/>
      <c r="AC49" s="52"/>
    </row>
    <row r="50" ht="73.5" customHeight="1">
      <c r="A50" s="73">
        <v>33</v>
      </c>
      <c r="B50" s="93"/>
      <c r="C50" s="93"/>
      <c r="D50" s="93" t="s">
        <v>1438</v>
      </c>
      <c r="E50" s="58" t="s">
        <v>1439</v>
      </c>
      <c r="F50" s="58" t="s">
        <v>203</v>
      </c>
      <c r="G50" s="58" t="s">
        <v>1440</v>
      </c>
      <c r="H50" s="58" t="s">
        <v>1441</v>
      </c>
      <c r="I50" s="58" t="s">
        <v>1356</v>
      </c>
      <c r="J50" s="58" t="s">
        <v>1442</v>
      </c>
      <c r="K50" s="74" t="s">
        <v>1443</v>
      </c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 t="s">
        <v>1269</v>
      </c>
      <c r="Y50" s="52"/>
      <c r="Z50" s="52"/>
      <c r="AA50" s="52"/>
      <c r="AB50" s="52"/>
      <c r="AC50" s="52"/>
    </row>
    <row r="51" ht="73.5" customHeight="1">
      <c r="A51" s="73">
        <v>34</v>
      </c>
      <c r="B51" s="93"/>
      <c r="C51" s="93"/>
      <c r="D51" s="94"/>
      <c r="E51" s="58" t="s">
        <v>1444</v>
      </c>
      <c r="F51" s="58" t="s">
        <v>210</v>
      </c>
      <c r="G51" s="58" t="s">
        <v>1445</v>
      </c>
      <c r="H51" s="58" t="s">
        <v>1446</v>
      </c>
      <c r="I51" s="58" t="s">
        <v>1362</v>
      </c>
      <c r="J51" s="58" t="s">
        <v>1447</v>
      </c>
      <c r="K51" s="74" t="s">
        <v>1448</v>
      </c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 t="s">
        <v>1269</v>
      </c>
      <c r="Y51" s="52"/>
      <c r="Z51" s="52"/>
      <c r="AA51" s="52"/>
      <c r="AB51" s="52"/>
      <c r="AC51" s="52"/>
    </row>
    <row r="52" ht="60" customHeight="1">
      <c r="A52" s="73">
        <v>35</v>
      </c>
      <c r="B52" s="93"/>
      <c r="C52" s="93"/>
      <c r="D52" s="102" t="s">
        <v>1449</v>
      </c>
      <c r="E52" s="86" t="s">
        <v>1450</v>
      </c>
      <c r="F52" s="86" t="s">
        <v>203</v>
      </c>
      <c r="G52" s="86" t="s">
        <v>1451</v>
      </c>
      <c r="H52" s="86" t="s">
        <v>1452</v>
      </c>
      <c r="I52" s="86" t="s">
        <v>1453</v>
      </c>
      <c r="J52" s="86" t="s">
        <v>1454</v>
      </c>
      <c r="K52" s="103" t="s">
        <v>1455</v>
      </c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77" t="s">
        <v>1456</v>
      </c>
      <c r="X52" s="58" t="s">
        <v>1269</v>
      </c>
      <c r="Y52" s="52"/>
      <c r="Z52" s="52"/>
      <c r="AA52" s="52"/>
      <c r="AB52" s="52"/>
      <c r="AC52" s="52"/>
    </row>
    <row r="53" ht="60" customHeight="1">
      <c r="A53" s="73">
        <v>36</v>
      </c>
      <c r="B53" s="93"/>
      <c r="C53" s="93"/>
      <c r="D53" s="97"/>
      <c r="E53" s="86" t="s">
        <v>1457</v>
      </c>
      <c r="F53" s="86" t="s">
        <v>203</v>
      </c>
      <c r="G53" s="86" t="s">
        <v>1458</v>
      </c>
      <c r="H53" s="86" t="s">
        <v>1459</v>
      </c>
      <c r="I53" s="86" t="s">
        <v>1453</v>
      </c>
      <c r="J53" s="86" t="s">
        <v>1460</v>
      </c>
      <c r="K53" s="103" t="s">
        <v>1461</v>
      </c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77" t="s">
        <v>1456</v>
      </c>
      <c r="X53" s="58" t="s">
        <v>1269</v>
      </c>
      <c r="Y53" s="52"/>
      <c r="Z53" s="52"/>
      <c r="AA53" s="52"/>
      <c r="AB53" s="52"/>
      <c r="AC53" s="52"/>
    </row>
    <row r="54" ht="60" customHeight="1">
      <c r="A54" s="73">
        <v>37</v>
      </c>
      <c r="B54" s="93"/>
      <c r="C54" s="93"/>
      <c r="D54" s="97"/>
      <c r="E54" s="86" t="s">
        <v>1462</v>
      </c>
      <c r="F54" s="86" t="s">
        <v>203</v>
      </c>
      <c r="G54" s="86" t="s">
        <v>1463</v>
      </c>
      <c r="H54" s="86" t="s">
        <v>1464</v>
      </c>
      <c r="I54" s="86" t="s">
        <v>1453</v>
      </c>
      <c r="J54" s="86" t="s">
        <v>1465</v>
      </c>
      <c r="K54" s="103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77" t="s">
        <v>1466</v>
      </c>
      <c r="X54" s="58" t="s">
        <v>1269</v>
      </c>
      <c r="Y54" s="52"/>
      <c r="Z54" s="52"/>
      <c r="AA54" s="52"/>
      <c r="AB54" s="52"/>
      <c r="AC54" s="52"/>
    </row>
    <row r="55" ht="73.5" customHeight="1">
      <c r="A55" s="73">
        <v>38</v>
      </c>
      <c r="B55" s="93"/>
      <c r="C55" s="93"/>
      <c r="D55" s="93" t="s">
        <v>1467</v>
      </c>
      <c r="E55" s="58" t="s">
        <v>1468</v>
      </c>
      <c r="F55" s="58" t="s">
        <v>210</v>
      </c>
      <c r="G55" s="58" t="s">
        <v>1469</v>
      </c>
      <c r="H55" s="58" t="s">
        <v>1470</v>
      </c>
      <c r="I55" s="58" t="s">
        <v>1356</v>
      </c>
      <c r="J55" s="58" t="s">
        <v>1471</v>
      </c>
      <c r="K55" s="74" t="s">
        <v>1472</v>
      </c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 t="s">
        <v>1269</v>
      </c>
      <c r="Y55" s="52"/>
      <c r="Z55" s="52"/>
      <c r="AA55" s="52"/>
      <c r="AB55" s="52"/>
      <c r="AC55" s="52"/>
    </row>
    <row r="56" ht="73.5" customHeight="1">
      <c r="A56" s="73">
        <v>39</v>
      </c>
      <c r="B56" s="93"/>
      <c r="C56" s="94"/>
      <c r="D56" s="94"/>
      <c r="E56" s="58" t="s">
        <v>1473</v>
      </c>
      <c r="F56" s="58" t="s">
        <v>210</v>
      </c>
      <c r="G56" s="58" t="s">
        <v>1474</v>
      </c>
      <c r="H56" s="58" t="s">
        <v>1475</v>
      </c>
      <c r="I56" s="58" t="s">
        <v>1362</v>
      </c>
      <c r="J56" s="58" t="s">
        <v>1476</v>
      </c>
      <c r="K56" s="74" t="s">
        <v>1477</v>
      </c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 t="s">
        <v>1269</v>
      </c>
      <c r="Y56" s="52"/>
      <c r="Z56" s="52"/>
      <c r="AA56" s="52"/>
      <c r="AB56" s="52"/>
      <c r="AC56" s="52"/>
    </row>
    <row r="57" ht="60" customHeight="1">
      <c r="A57" s="73">
        <v>40</v>
      </c>
      <c r="B57" s="93"/>
      <c r="C57" s="93" t="s">
        <v>126</v>
      </c>
      <c r="D57" s="93" t="s">
        <v>268</v>
      </c>
      <c r="E57" s="58" t="s">
        <v>1478</v>
      </c>
      <c r="F57" s="58" t="s">
        <v>203</v>
      </c>
      <c r="G57" s="58" t="s">
        <v>1479</v>
      </c>
      <c r="H57" s="58" t="s">
        <v>1480</v>
      </c>
      <c r="I57" s="58" t="s">
        <v>1266</v>
      </c>
      <c r="J57" s="58" t="s">
        <v>1481</v>
      </c>
      <c r="K57" s="74" t="s">
        <v>1482</v>
      </c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 t="s">
        <v>1269</v>
      </c>
      <c r="Y57" s="52"/>
      <c r="Z57" s="52"/>
      <c r="AA57" s="52"/>
      <c r="AB57" s="52"/>
      <c r="AC57" s="52"/>
    </row>
    <row r="58" ht="73.5" customHeight="1">
      <c r="A58" s="73">
        <v>41</v>
      </c>
      <c r="B58" s="93"/>
      <c r="C58" s="93"/>
      <c r="D58" s="93"/>
      <c r="E58" s="58" t="s">
        <v>1483</v>
      </c>
      <c r="F58" s="58" t="s">
        <v>203</v>
      </c>
      <c r="G58" s="58" t="s">
        <v>1484</v>
      </c>
      <c r="H58" s="58" t="s">
        <v>1485</v>
      </c>
      <c r="I58" s="58" t="s">
        <v>1356</v>
      </c>
      <c r="J58" s="58" t="s">
        <v>1486</v>
      </c>
      <c r="K58" s="74" t="s">
        <v>1487</v>
      </c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 t="s">
        <v>1269</v>
      </c>
      <c r="Y58" s="52"/>
      <c r="Z58" s="52"/>
      <c r="AA58" s="52"/>
      <c r="AB58" s="52"/>
      <c r="AC58" s="52"/>
    </row>
    <row r="59" ht="87" customHeight="1">
      <c r="A59" s="73">
        <v>42</v>
      </c>
      <c r="B59" s="93"/>
      <c r="C59" s="93"/>
      <c r="D59" s="94"/>
      <c r="E59" s="58" t="s">
        <v>1488</v>
      </c>
      <c r="F59" s="58" t="s">
        <v>203</v>
      </c>
      <c r="G59" s="58" t="s">
        <v>1489</v>
      </c>
      <c r="H59" s="58" t="s">
        <v>1490</v>
      </c>
      <c r="I59" s="58" t="s">
        <v>1356</v>
      </c>
      <c r="J59" s="58" t="s">
        <v>1491</v>
      </c>
      <c r="K59" s="74" t="s">
        <v>1492</v>
      </c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 t="s">
        <v>1269</v>
      </c>
      <c r="Y59" s="52"/>
      <c r="Z59" s="52"/>
      <c r="AA59" s="52"/>
      <c r="AB59" s="52"/>
      <c r="AC59" s="52"/>
    </row>
    <row r="60" ht="60" customHeight="1">
      <c r="A60" s="73">
        <v>43</v>
      </c>
      <c r="B60" s="93"/>
      <c r="C60" s="93"/>
      <c r="D60" s="58" t="s">
        <v>1216</v>
      </c>
      <c r="E60" s="58" t="s">
        <v>1493</v>
      </c>
      <c r="F60" s="58" t="s">
        <v>203</v>
      </c>
      <c r="G60" s="58" t="s">
        <v>1494</v>
      </c>
      <c r="H60" s="58" t="s">
        <v>1495</v>
      </c>
      <c r="I60" s="58" t="s">
        <v>1266</v>
      </c>
      <c r="J60" s="58" t="s">
        <v>1496</v>
      </c>
      <c r="K60" s="74" t="s">
        <v>1497</v>
      </c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 t="s">
        <v>1269</v>
      </c>
      <c r="Y60" s="52"/>
      <c r="Z60" s="52"/>
      <c r="AA60" s="52"/>
      <c r="AB60" s="52"/>
      <c r="AC60" s="52"/>
    </row>
    <row r="61" ht="60" customHeight="1">
      <c r="A61" s="73">
        <v>44</v>
      </c>
      <c r="B61" s="93"/>
      <c r="C61" s="93"/>
      <c r="D61" s="93" t="s">
        <v>659</v>
      </c>
      <c r="E61" s="58" t="s">
        <v>1498</v>
      </c>
      <c r="F61" s="58" t="s">
        <v>203</v>
      </c>
      <c r="G61" s="58" t="s">
        <v>1499</v>
      </c>
      <c r="H61" s="58" t="s">
        <v>1500</v>
      </c>
      <c r="I61" s="58" t="s">
        <v>1266</v>
      </c>
      <c r="J61" s="58" t="s">
        <v>1501</v>
      </c>
      <c r="K61" s="58" t="s">
        <v>1502</v>
      </c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 t="s">
        <v>1269</v>
      </c>
      <c r="Y61" s="52"/>
      <c r="Z61" s="52"/>
      <c r="AA61" s="52"/>
      <c r="AB61" s="52"/>
      <c r="AC61" s="52"/>
    </row>
    <row r="62" ht="60" customHeight="1">
      <c r="A62" s="73">
        <v>45</v>
      </c>
      <c r="B62" s="93"/>
      <c r="C62" s="93"/>
      <c r="D62" s="93"/>
      <c r="E62" s="58" t="s">
        <v>1503</v>
      </c>
      <c r="F62" s="58" t="s">
        <v>210</v>
      </c>
      <c r="G62" s="58" t="s">
        <v>1504</v>
      </c>
      <c r="H62" s="58" t="s">
        <v>1505</v>
      </c>
      <c r="I62" s="58" t="s">
        <v>1266</v>
      </c>
      <c r="J62" s="58" t="s">
        <v>1506</v>
      </c>
      <c r="K62" s="96" t="s">
        <v>1507</v>
      </c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 t="s">
        <v>1269</v>
      </c>
      <c r="Y62" s="52"/>
      <c r="Z62" s="52"/>
      <c r="AA62" s="52"/>
      <c r="AB62" s="52"/>
      <c r="AC62" s="52"/>
    </row>
    <row r="63" ht="60" customHeight="1">
      <c r="A63" s="73">
        <v>46</v>
      </c>
      <c r="B63" s="93"/>
      <c r="C63" s="93"/>
      <c r="D63" s="94"/>
      <c r="E63" s="58" t="s">
        <v>677</v>
      </c>
      <c r="F63" s="58" t="s">
        <v>210</v>
      </c>
      <c r="G63" s="58" t="s">
        <v>1508</v>
      </c>
      <c r="H63" s="58" t="s">
        <v>1509</v>
      </c>
      <c r="I63" s="58" t="s">
        <v>1266</v>
      </c>
      <c r="J63" s="58" t="s">
        <v>1510</v>
      </c>
      <c r="K63" s="96" t="s">
        <v>1511</v>
      </c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 t="s">
        <v>1269</v>
      </c>
      <c r="Y63" s="52"/>
      <c r="Z63" s="52"/>
      <c r="AA63" s="52"/>
      <c r="AB63" s="52"/>
      <c r="AC63" s="52"/>
    </row>
    <row r="64" ht="73.5" customHeight="1">
      <c r="A64" s="73">
        <v>47</v>
      </c>
      <c r="B64" s="93"/>
      <c r="C64" s="93"/>
      <c r="D64" s="93" t="s">
        <v>1512</v>
      </c>
      <c r="E64" s="58" t="s">
        <v>1513</v>
      </c>
      <c r="F64" s="58" t="s">
        <v>210</v>
      </c>
      <c r="G64" s="58" t="s">
        <v>1514</v>
      </c>
      <c r="H64" s="58" t="s">
        <v>1515</v>
      </c>
      <c r="I64" s="58" t="s">
        <v>1356</v>
      </c>
      <c r="J64" s="58" t="s">
        <v>1516</v>
      </c>
      <c r="K64" s="96" t="s">
        <v>1517</v>
      </c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 t="s">
        <v>1269</v>
      </c>
      <c r="Y64" s="52"/>
      <c r="Z64" s="52"/>
      <c r="AA64" s="52"/>
      <c r="AB64" s="52"/>
      <c r="AC64" s="52"/>
    </row>
    <row r="65" ht="73.5" customHeight="1">
      <c r="A65" s="73">
        <v>48</v>
      </c>
      <c r="B65" s="93"/>
      <c r="C65" s="93"/>
      <c r="D65" s="93"/>
      <c r="E65" s="58" t="s">
        <v>1518</v>
      </c>
      <c r="F65" s="58" t="s">
        <v>210</v>
      </c>
      <c r="G65" s="58" t="s">
        <v>1519</v>
      </c>
      <c r="H65" s="58" t="s">
        <v>1520</v>
      </c>
      <c r="I65" s="58" t="s">
        <v>1356</v>
      </c>
      <c r="J65" s="58" t="s">
        <v>1521</v>
      </c>
      <c r="K65" s="96" t="s">
        <v>1522</v>
      </c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 t="s">
        <v>1269</v>
      </c>
      <c r="Y65" s="52"/>
      <c r="Z65" s="52"/>
      <c r="AA65" s="52"/>
      <c r="AB65" s="52"/>
      <c r="AC65" s="52"/>
    </row>
    <row r="66" ht="73.5" customHeight="1">
      <c r="A66" s="73">
        <v>49</v>
      </c>
      <c r="B66" s="93"/>
      <c r="C66" s="93"/>
      <c r="D66" s="93"/>
      <c r="E66" s="58" t="s">
        <v>1523</v>
      </c>
      <c r="F66" s="58" t="s">
        <v>210</v>
      </c>
      <c r="G66" s="58" t="s">
        <v>1524</v>
      </c>
      <c r="H66" s="58" t="s">
        <v>1525</v>
      </c>
      <c r="I66" s="58" t="s">
        <v>1356</v>
      </c>
      <c r="J66" s="58" t="s">
        <v>1526</v>
      </c>
      <c r="K66" s="96" t="s">
        <v>1527</v>
      </c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 t="s">
        <v>1269</v>
      </c>
      <c r="Y66" s="52"/>
      <c r="Z66" s="52"/>
      <c r="AA66" s="52"/>
      <c r="AB66" s="52"/>
      <c r="AC66" s="52"/>
    </row>
    <row r="67" ht="73.5" customHeight="1">
      <c r="A67" s="73">
        <v>50</v>
      </c>
      <c r="B67" s="93"/>
      <c r="C67" s="93"/>
      <c r="D67" s="94"/>
      <c r="E67" s="58" t="s">
        <v>1528</v>
      </c>
      <c r="F67" s="58" t="s">
        <v>210</v>
      </c>
      <c r="G67" s="58" t="s">
        <v>1529</v>
      </c>
      <c r="H67" s="58" t="s">
        <v>1530</v>
      </c>
      <c r="I67" s="58" t="s">
        <v>1356</v>
      </c>
      <c r="J67" s="58" t="s">
        <v>1531</v>
      </c>
      <c r="K67" s="96" t="s">
        <v>1532</v>
      </c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 t="s">
        <v>1269</v>
      </c>
      <c r="Y67" s="52"/>
      <c r="Z67" s="52"/>
      <c r="AA67" s="52"/>
      <c r="AB67" s="52"/>
      <c r="AC67" s="52"/>
    </row>
    <row r="68" ht="60" customHeight="1">
      <c r="A68" s="73">
        <v>51</v>
      </c>
      <c r="B68" s="93"/>
      <c r="C68" s="93"/>
      <c r="D68" s="93" t="s">
        <v>1533</v>
      </c>
      <c r="E68" s="58" t="s">
        <v>1534</v>
      </c>
      <c r="F68" s="58" t="s">
        <v>203</v>
      </c>
      <c r="G68" s="58" t="s">
        <v>1535</v>
      </c>
      <c r="H68" s="58" t="s">
        <v>1536</v>
      </c>
      <c r="I68" s="58" t="s">
        <v>1453</v>
      </c>
      <c r="J68" s="58" t="s">
        <v>1537</v>
      </c>
      <c r="K68" s="96" t="s">
        <v>1538</v>
      </c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77" t="s">
        <v>1539</v>
      </c>
      <c r="X68" s="58" t="s">
        <v>1269</v>
      </c>
      <c r="Y68" s="52"/>
      <c r="Z68" s="52"/>
      <c r="AA68" s="52"/>
      <c r="AB68" s="52"/>
      <c r="AC68" s="52"/>
    </row>
    <row r="69" ht="73.5" customHeight="1">
      <c r="A69" s="73">
        <v>52</v>
      </c>
      <c r="B69" s="94"/>
      <c r="C69" s="94"/>
      <c r="D69" s="94"/>
      <c r="E69" s="58" t="s">
        <v>1540</v>
      </c>
      <c r="F69" s="58" t="s">
        <v>210</v>
      </c>
      <c r="G69" s="58" t="s">
        <v>1541</v>
      </c>
      <c r="H69" s="58" t="s">
        <v>1542</v>
      </c>
      <c r="I69" s="58" t="s">
        <v>1543</v>
      </c>
      <c r="J69" s="58" t="s">
        <v>1544</v>
      </c>
      <c r="K69" s="74" t="s">
        <v>1545</v>
      </c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77" t="s">
        <v>1539</v>
      </c>
      <c r="X69" s="58" t="s">
        <v>1269</v>
      </c>
      <c r="Y69" s="52"/>
      <c r="Z69" s="52"/>
      <c r="AA69" s="52"/>
      <c r="AB69" s="52"/>
      <c r="AC69" s="52"/>
    </row>
    <row r="70" ht="48.600000000000001" customHeight="1">
      <c r="A70" s="73">
        <v>53</v>
      </c>
      <c r="B70" s="93" t="s">
        <v>127</v>
      </c>
      <c r="C70" s="101" t="s">
        <v>128</v>
      </c>
      <c r="D70" s="93" t="s">
        <v>552</v>
      </c>
      <c r="E70" s="58" t="s">
        <v>1546</v>
      </c>
      <c r="F70" s="58" t="s">
        <v>203</v>
      </c>
      <c r="G70" s="58" t="s">
        <v>1547</v>
      </c>
      <c r="H70" s="58" t="s">
        <v>1548</v>
      </c>
      <c r="I70" s="58" t="s">
        <v>1259</v>
      </c>
      <c r="J70" s="58" t="s">
        <v>1549</v>
      </c>
      <c r="K70" s="74" t="s">
        <v>1550</v>
      </c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 t="s">
        <v>1301</v>
      </c>
      <c r="Y70" s="52"/>
      <c r="Z70" s="52"/>
      <c r="AA70" s="52"/>
      <c r="AB70" s="52"/>
      <c r="AC70" s="52"/>
    </row>
    <row r="71" ht="60" customHeight="1">
      <c r="A71" s="73">
        <v>54</v>
      </c>
      <c r="B71" s="93"/>
      <c r="C71" s="93"/>
      <c r="D71" s="94"/>
      <c r="E71" s="58" t="s">
        <v>1551</v>
      </c>
      <c r="F71" s="58" t="s">
        <v>210</v>
      </c>
      <c r="G71" s="58" t="s">
        <v>1552</v>
      </c>
      <c r="H71" s="58" t="s">
        <v>1553</v>
      </c>
      <c r="I71" s="58" t="s">
        <v>1266</v>
      </c>
      <c r="J71" s="58" t="s">
        <v>1554</v>
      </c>
      <c r="K71" s="74" t="s">
        <v>1550</v>
      </c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 t="s">
        <v>1301</v>
      </c>
      <c r="Y71" s="52"/>
      <c r="Z71" s="52"/>
      <c r="AA71" s="52"/>
      <c r="AB71" s="52"/>
      <c r="AC71" s="52"/>
    </row>
    <row r="72" ht="87" customHeight="1">
      <c r="A72" s="73">
        <v>55</v>
      </c>
      <c r="B72" s="93"/>
      <c r="C72" s="93"/>
      <c r="D72" s="93" t="s">
        <v>1555</v>
      </c>
      <c r="E72" s="58" t="s">
        <v>1556</v>
      </c>
      <c r="F72" s="58" t="s">
        <v>203</v>
      </c>
      <c r="G72" s="58" t="s">
        <v>1557</v>
      </c>
      <c r="H72" s="58" t="s">
        <v>1558</v>
      </c>
      <c r="I72" s="58" t="s">
        <v>1259</v>
      </c>
      <c r="J72" s="58" t="s">
        <v>1559</v>
      </c>
      <c r="K72" s="74" t="s">
        <v>1560</v>
      </c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77" t="s">
        <v>1561</v>
      </c>
      <c r="X72" s="58" t="s">
        <v>1301</v>
      </c>
      <c r="Y72" s="52"/>
      <c r="Z72" s="52"/>
      <c r="AA72" s="52"/>
      <c r="AB72" s="52"/>
      <c r="AC72" s="52"/>
    </row>
    <row r="73" ht="60" customHeight="1">
      <c r="A73" s="73">
        <v>56</v>
      </c>
      <c r="B73" s="93"/>
      <c r="C73" s="93"/>
      <c r="D73" s="93"/>
      <c r="E73" s="58" t="s">
        <v>1562</v>
      </c>
      <c r="F73" s="58" t="s">
        <v>210</v>
      </c>
      <c r="G73" s="58" t="s">
        <v>1563</v>
      </c>
      <c r="H73" s="58" t="s">
        <v>1564</v>
      </c>
      <c r="I73" s="58" t="s">
        <v>1259</v>
      </c>
      <c r="J73" s="58" t="s">
        <v>1565</v>
      </c>
      <c r="K73" s="74" t="s">
        <v>1566</v>
      </c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 t="s">
        <v>1301</v>
      </c>
      <c r="Y73" s="52"/>
      <c r="Z73" s="52"/>
      <c r="AA73" s="52"/>
      <c r="AB73" s="52"/>
      <c r="AC73" s="52"/>
    </row>
    <row r="74" ht="48.600000000000001" customHeight="1">
      <c r="A74" s="73">
        <v>57</v>
      </c>
      <c r="B74" s="93"/>
      <c r="C74" s="93"/>
      <c r="D74" s="94"/>
      <c r="E74" s="58" t="s">
        <v>1567</v>
      </c>
      <c r="F74" s="58" t="s">
        <v>210</v>
      </c>
      <c r="G74" s="58" t="s">
        <v>1568</v>
      </c>
      <c r="H74" s="58" t="s">
        <v>1569</v>
      </c>
      <c r="I74" s="58" t="s">
        <v>1259</v>
      </c>
      <c r="J74" s="58" t="s">
        <v>1570</v>
      </c>
      <c r="K74" s="74" t="s">
        <v>1571</v>
      </c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77" t="s">
        <v>1572</v>
      </c>
      <c r="X74" s="58" t="s">
        <v>1301</v>
      </c>
      <c r="Y74" s="52"/>
      <c r="Z74" s="52"/>
      <c r="AA74" s="52"/>
      <c r="AB74" s="52"/>
      <c r="AC74" s="52"/>
    </row>
    <row r="75" ht="48.600000000000001" customHeight="1">
      <c r="A75" s="73">
        <v>58</v>
      </c>
      <c r="B75" s="93"/>
      <c r="C75" s="93"/>
      <c r="D75" s="93" t="s">
        <v>1573</v>
      </c>
      <c r="E75" s="58" t="s">
        <v>1574</v>
      </c>
      <c r="F75" s="58" t="s">
        <v>225</v>
      </c>
      <c r="G75" s="58" t="s">
        <v>1575</v>
      </c>
      <c r="H75" s="58" t="s">
        <v>1576</v>
      </c>
      <c r="I75" s="58" t="s">
        <v>1259</v>
      </c>
      <c r="J75" s="58" t="s">
        <v>1577</v>
      </c>
      <c r="K75" s="104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77" t="s">
        <v>1578</v>
      </c>
      <c r="X75" s="58" t="s">
        <v>1579</v>
      </c>
      <c r="Y75" s="52"/>
      <c r="Z75" s="52"/>
      <c r="AA75" s="52"/>
      <c r="AB75" s="52"/>
      <c r="AC75" s="52"/>
    </row>
    <row r="76" ht="48.600000000000001" customHeight="1">
      <c r="A76" s="73">
        <v>59</v>
      </c>
      <c r="B76" s="93"/>
      <c r="C76" s="94"/>
      <c r="D76" s="94"/>
      <c r="E76" s="58" t="s">
        <v>1580</v>
      </c>
      <c r="F76" s="58" t="s">
        <v>225</v>
      </c>
      <c r="G76" s="58" t="s">
        <v>1581</v>
      </c>
      <c r="H76" s="58" t="s">
        <v>1293</v>
      </c>
      <c r="I76" s="58" t="s">
        <v>1259</v>
      </c>
      <c r="J76" s="58" t="s">
        <v>1582</v>
      </c>
      <c r="K76" s="104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77" t="s">
        <v>1578</v>
      </c>
      <c r="X76" s="58" t="s">
        <v>1579</v>
      </c>
      <c r="Y76" s="52"/>
      <c r="Z76" s="52"/>
      <c r="AA76" s="52"/>
      <c r="AB76" s="52"/>
      <c r="AC76" s="52"/>
    </row>
    <row r="77" ht="48.600000000000001" customHeight="1">
      <c r="A77" s="73">
        <v>60</v>
      </c>
      <c r="B77" s="93"/>
      <c r="C77" s="93" t="s">
        <v>129</v>
      </c>
      <c r="D77" s="93" t="s">
        <v>268</v>
      </c>
      <c r="E77" s="58" t="s">
        <v>1583</v>
      </c>
      <c r="F77" s="58" t="s">
        <v>203</v>
      </c>
      <c r="G77" s="58" t="s">
        <v>1584</v>
      </c>
      <c r="H77" s="58" t="s">
        <v>1585</v>
      </c>
      <c r="I77" s="58" t="s">
        <v>1259</v>
      </c>
      <c r="J77" s="58" t="s">
        <v>1586</v>
      </c>
      <c r="K77" s="74" t="s">
        <v>1587</v>
      </c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 t="s">
        <v>1301</v>
      </c>
      <c r="Y77" s="52"/>
      <c r="Z77" s="52"/>
      <c r="AA77" s="52"/>
      <c r="AB77" s="52"/>
      <c r="AC77" s="52"/>
    </row>
    <row r="78" ht="60" customHeight="1">
      <c r="A78" s="73">
        <v>61</v>
      </c>
      <c r="B78" s="93"/>
      <c r="C78" s="93"/>
      <c r="D78" s="94"/>
      <c r="E78" s="58" t="s">
        <v>1588</v>
      </c>
      <c r="F78" s="58" t="s">
        <v>210</v>
      </c>
      <c r="G78" s="58" t="s">
        <v>1589</v>
      </c>
      <c r="H78" s="58" t="s">
        <v>1590</v>
      </c>
      <c r="I78" s="58" t="s">
        <v>1259</v>
      </c>
      <c r="J78" s="58" t="s">
        <v>1591</v>
      </c>
      <c r="K78" s="74" t="s">
        <v>1592</v>
      </c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 t="s">
        <v>1301</v>
      </c>
      <c r="Y78" s="52"/>
      <c r="Z78" s="52"/>
      <c r="AA78" s="52"/>
      <c r="AB78" s="52"/>
      <c r="AC78" s="52"/>
    </row>
    <row r="79" ht="48.600000000000001" customHeight="1">
      <c r="A79" s="73">
        <v>62</v>
      </c>
      <c r="B79" s="93"/>
      <c r="C79" s="93"/>
      <c r="D79" s="93" t="s">
        <v>393</v>
      </c>
      <c r="E79" s="58" t="s">
        <v>1593</v>
      </c>
      <c r="F79" s="58" t="s">
        <v>203</v>
      </c>
      <c r="G79" s="58" t="s">
        <v>1594</v>
      </c>
      <c r="H79" s="58" t="s">
        <v>1595</v>
      </c>
      <c r="I79" s="58" t="s">
        <v>1259</v>
      </c>
      <c r="J79" s="58" t="s">
        <v>1596</v>
      </c>
      <c r="K79" s="104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77" t="s">
        <v>1597</v>
      </c>
      <c r="X79" s="58" t="s">
        <v>1301</v>
      </c>
      <c r="Y79" s="52"/>
      <c r="Z79" s="52"/>
      <c r="AA79" s="52"/>
      <c r="AB79" s="52"/>
      <c r="AC79" s="52"/>
    </row>
    <row r="80" ht="48.600000000000001" customHeight="1">
      <c r="A80" s="73">
        <v>63</v>
      </c>
      <c r="B80" s="93"/>
      <c r="C80" s="94"/>
      <c r="D80" s="94"/>
      <c r="E80" s="58" t="s">
        <v>1598</v>
      </c>
      <c r="F80" s="58" t="s">
        <v>203</v>
      </c>
      <c r="G80" s="58" t="s">
        <v>1599</v>
      </c>
      <c r="H80" s="58" t="s">
        <v>1600</v>
      </c>
      <c r="I80" s="58" t="s">
        <v>1259</v>
      </c>
      <c r="J80" s="58" t="s">
        <v>1601</v>
      </c>
      <c r="K80" s="104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77" t="s">
        <v>1602</v>
      </c>
      <c r="X80" s="58" t="s">
        <v>1301</v>
      </c>
      <c r="Y80" s="52"/>
      <c r="Z80" s="52"/>
      <c r="AA80" s="52"/>
      <c r="AB80" s="52"/>
      <c r="AC80" s="52"/>
    </row>
    <row r="81" ht="73.5" customHeight="1">
      <c r="A81" s="73">
        <v>64</v>
      </c>
      <c r="B81" s="93"/>
      <c r="C81" s="93" t="s">
        <v>130</v>
      </c>
      <c r="D81" s="93" t="s">
        <v>393</v>
      </c>
      <c r="E81" s="58" t="s">
        <v>1603</v>
      </c>
      <c r="F81" s="58" t="s">
        <v>203</v>
      </c>
      <c r="G81" s="58" t="s">
        <v>1604</v>
      </c>
      <c r="H81" s="58" t="s">
        <v>1605</v>
      </c>
      <c r="I81" s="58" t="s">
        <v>1259</v>
      </c>
      <c r="J81" s="58" t="s">
        <v>1606</v>
      </c>
      <c r="K81" s="74" t="s">
        <v>1607</v>
      </c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 t="s">
        <v>1301</v>
      </c>
      <c r="Y81" s="52"/>
      <c r="Z81" s="52"/>
      <c r="AA81" s="52"/>
      <c r="AB81" s="52"/>
      <c r="AC81" s="52"/>
    </row>
    <row r="82" ht="73.5" customHeight="1">
      <c r="A82" s="73">
        <v>65</v>
      </c>
      <c r="B82" s="93"/>
      <c r="C82" s="93"/>
      <c r="D82" s="93"/>
      <c r="E82" s="58" t="s">
        <v>1608</v>
      </c>
      <c r="F82" s="58" t="s">
        <v>203</v>
      </c>
      <c r="G82" s="58" t="s">
        <v>1609</v>
      </c>
      <c r="H82" s="58" t="s">
        <v>1610</v>
      </c>
      <c r="I82" s="58" t="s">
        <v>1259</v>
      </c>
      <c r="J82" s="58" t="s">
        <v>1611</v>
      </c>
      <c r="K82" s="74" t="s">
        <v>1612</v>
      </c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 t="s">
        <v>1301</v>
      </c>
      <c r="Y82" s="52"/>
      <c r="Z82" s="52"/>
      <c r="AA82" s="52"/>
      <c r="AB82" s="52"/>
      <c r="AC82" s="52"/>
    </row>
    <row r="83" ht="87" customHeight="1">
      <c r="A83" s="73">
        <v>66</v>
      </c>
      <c r="B83" s="93"/>
      <c r="C83" s="93"/>
      <c r="D83" s="93"/>
      <c r="E83" s="58" t="s">
        <v>1613</v>
      </c>
      <c r="F83" s="58" t="s">
        <v>203</v>
      </c>
      <c r="G83" s="58" t="s">
        <v>1614</v>
      </c>
      <c r="H83" s="58" t="s">
        <v>1615</v>
      </c>
      <c r="I83" s="58" t="s">
        <v>1259</v>
      </c>
      <c r="J83" s="58" t="s">
        <v>1616</v>
      </c>
      <c r="K83" s="74" t="s">
        <v>1617</v>
      </c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 t="s">
        <v>1301</v>
      </c>
      <c r="Y83" s="52"/>
      <c r="Z83" s="52"/>
      <c r="AA83" s="52"/>
      <c r="AB83" s="52"/>
      <c r="AC83" s="52"/>
    </row>
    <row r="84" ht="87" customHeight="1">
      <c r="A84" s="73">
        <v>67</v>
      </c>
      <c r="B84" s="93"/>
      <c r="C84" s="93"/>
      <c r="D84" s="93"/>
      <c r="E84" s="58" t="s">
        <v>1618</v>
      </c>
      <c r="F84" s="58" t="s">
        <v>203</v>
      </c>
      <c r="G84" s="58" t="s">
        <v>1619</v>
      </c>
      <c r="H84" s="58" t="s">
        <v>1620</v>
      </c>
      <c r="I84" s="58" t="s">
        <v>1259</v>
      </c>
      <c r="J84" s="58" t="s">
        <v>1621</v>
      </c>
      <c r="K84" s="74" t="s">
        <v>1622</v>
      </c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 t="s">
        <v>1301</v>
      </c>
      <c r="Y84" s="52"/>
      <c r="Z84" s="52"/>
      <c r="AA84" s="52"/>
      <c r="AB84" s="52"/>
      <c r="AC84" s="52"/>
    </row>
    <row r="85" ht="87" customHeight="1">
      <c r="A85" s="73">
        <v>68</v>
      </c>
      <c r="B85" s="93"/>
      <c r="C85" s="93"/>
      <c r="D85" s="93"/>
      <c r="E85" s="58" t="s">
        <v>1623</v>
      </c>
      <c r="F85" s="58" t="s">
        <v>203</v>
      </c>
      <c r="G85" s="58" t="s">
        <v>1624</v>
      </c>
      <c r="H85" s="58" t="s">
        <v>1625</v>
      </c>
      <c r="I85" s="58" t="s">
        <v>1259</v>
      </c>
      <c r="J85" s="58" t="s">
        <v>1626</v>
      </c>
      <c r="K85" s="104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77" t="s">
        <v>1627</v>
      </c>
      <c r="X85" s="58" t="s">
        <v>1301</v>
      </c>
      <c r="Y85" s="52"/>
      <c r="Z85" s="52"/>
      <c r="AA85" s="52"/>
      <c r="AB85" s="52"/>
      <c r="AC85" s="52"/>
    </row>
    <row r="86" ht="73.5" customHeight="1">
      <c r="A86" s="73">
        <v>69</v>
      </c>
      <c r="B86" s="93"/>
      <c r="C86" s="93"/>
      <c r="D86" s="93"/>
      <c r="E86" s="58" t="s">
        <v>1628</v>
      </c>
      <c r="F86" s="58" t="s">
        <v>210</v>
      </c>
      <c r="G86" s="58" t="s">
        <v>1629</v>
      </c>
      <c r="H86" s="58" t="s">
        <v>1630</v>
      </c>
      <c r="I86" s="58" t="s">
        <v>1259</v>
      </c>
      <c r="J86" s="58" t="s">
        <v>1631</v>
      </c>
      <c r="K86" s="104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77" t="s">
        <v>1632</v>
      </c>
      <c r="X86" s="58" t="s">
        <v>1301</v>
      </c>
      <c r="Y86" s="52"/>
      <c r="Z86" s="52"/>
      <c r="AA86" s="52"/>
      <c r="AB86" s="52"/>
      <c r="AC86" s="52"/>
    </row>
    <row r="87" ht="73.5" customHeight="1">
      <c r="A87" s="73">
        <v>70</v>
      </c>
      <c r="B87" s="93"/>
      <c r="C87" s="93"/>
      <c r="D87" s="93"/>
      <c r="E87" s="58" t="s">
        <v>1633</v>
      </c>
      <c r="F87" s="58" t="s">
        <v>210</v>
      </c>
      <c r="G87" s="58" t="s">
        <v>1634</v>
      </c>
      <c r="H87" s="58" t="s">
        <v>1635</v>
      </c>
      <c r="I87" s="58" t="s">
        <v>1259</v>
      </c>
      <c r="J87" s="58" t="s">
        <v>1636</v>
      </c>
      <c r="K87" s="104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77" t="s">
        <v>1637</v>
      </c>
      <c r="X87" s="58" t="s">
        <v>1301</v>
      </c>
      <c r="Y87" s="52"/>
      <c r="Z87" s="52"/>
      <c r="AA87" s="52"/>
      <c r="AB87" s="52"/>
      <c r="AC87" s="52"/>
    </row>
    <row r="88" ht="73.5" customHeight="1">
      <c r="A88" s="73">
        <v>71</v>
      </c>
      <c r="B88" s="93"/>
      <c r="C88" s="93"/>
      <c r="D88" s="93"/>
      <c r="E88" s="58" t="s">
        <v>1638</v>
      </c>
      <c r="F88" s="58" t="s">
        <v>210</v>
      </c>
      <c r="G88" s="58" t="s">
        <v>1639</v>
      </c>
      <c r="H88" s="58" t="s">
        <v>1640</v>
      </c>
      <c r="I88" s="58" t="s">
        <v>1259</v>
      </c>
      <c r="J88" s="58" t="s">
        <v>1641</v>
      </c>
      <c r="K88" s="104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77" t="s">
        <v>1642</v>
      </c>
      <c r="X88" s="58" t="s">
        <v>1301</v>
      </c>
      <c r="Y88" s="52"/>
      <c r="Z88" s="52"/>
      <c r="AA88" s="52"/>
      <c r="AB88" s="52"/>
      <c r="AC88" s="52"/>
    </row>
    <row r="89" ht="73.5" customHeight="1">
      <c r="A89" s="73">
        <v>72</v>
      </c>
      <c r="B89" s="93"/>
      <c r="C89" s="93"/>
      <c r="D89" s="93"/>
      <c r="E89" s="58" t="s">
        <v>1643</v>
      </c>
      <c r="F89" s="58" t="s">
        <v>210</v>
      </c>
      <c r="G89" s="58" t="s">
        <v>1644</v>
      </c>
      <c r="H89" s="58" t="s">
        <v>1645</v>
      </c>
      <c r="I89" s="58" t="s">
        <v>1259</v>
      </c>
      <c r="J89" s="58" t="s">
        <v>1646</v>
      </c>
      <c r="K89" s="104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77" t="s">
        <v>1647</v>
      </c>
      <c r="X89" s="58" t="s">
        <v>1301</v>
      </c>
      <c r="Y89" s="52"/>
      <c r="Z89" s="52"/>
      <c r="AA89" s="52"/>
      <c r="AB89" s="52"/>
      <c r="AC89" s="52"/>
    </row>
    <row r="90" ht="60" customHeight="1">
      <c r="A90" s="73">
        <v>73</v>
      </c>
      <c r="B90" s="93"/>
      <c r="C90" s="93"/>
      <c r="D90" s="93"/>
      <c r="E90" s="58" t="s">
        <v>1648</v>
      </c>
      <c r="F90" s="58" t="s">
        <v>210</v>
      </c>
      <c r="G90" s="58" t="s">
        <v>1649</v>
      </c>
      <c r="H90" s="58" t="s">
        <v>1650</v>
      </c>
      <c r="I90" s="58" t="s">
        <v>1259</v>
      </c>
      <c r="J90" s="58" t="s">
        <v>1651</v>
      </c>
      <c r="K90" s="104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77" t="s">
        <v>1647</v>
      </c>
      <c r="X90" s="58" t="s">
        <v>1301</v>
      </c>
      <c r="Y90" s="52"/>
      <c r="Z90" s="52"/>
      <c r="AA90" s="52"/>
      <c r="AB90" s="52"/>
      <c r="AC90" s="52"/>
    </row>
    <row r="91" ht="73.5" customHeight="1">
      <c r="A91" s="73">
        <v>74</v>
      </c>
      <c r="B91" s="93"/>
      <c r="C91" s="93"/>
      <c r="D91" s="93"/>
      <c r="E91" s="58" t="s">
        <v>1652</v>
      </c>
      <c r="F91" s="58" t="s">
        <v>210</v>
      </c>
      <c r="G91" s="58" t="s">
        <v>1653</v>
      </c>
      <c r="H91" s="58" t="s">
        <v>1654</v>
      </c>
      <c r="I91" s="58" t="s">
        <v>1259</v>
      </c>
      <c r="J91" s="58" t="s">
        <v>1655</v>
      </c>
      <c r="K91" s="104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77" t="s">
        <v>1647</v>
      </c>
      <c r="X91" s="58" t="s">
        <v>1301</v>
      </c>
      <c r="Y91" s="52"/>
      <c r="Z91" s="52"/>
      <c r="AA91" s="52"/>
      <c r="AB91" s="52"/>
      <c r="AC91" s="52"/>
    </row>
    <row r="92" ht="73.5" customHeight="1">
      <c r="A92" s="73">
        <v>75</v>
      </c>
      <c r="B92" s="93"/>
      <c r="C92" s="93"/>
      <c r="D92" s="93"/>
      <c r="E92" s="58" t="s">
        <v>1656</v>
      </c>
      <c r="F92" s="58" t="s">
        <v>210</v>
      </c>
      <c r="G92" s="58" t="s">
        <v>1657</v>
      </c>
      <c r="H92" s="58" t="s">
        <v>1658</v>
      </c>
      <c r="I92" s="58" t="s">
        <v>1259</v>
      </c>
      <c r="J92" s="58" t="s">
        <v>1659</v>
      </c>
      <c r="K92" s="104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77" t="s">
        <v>1647</v>
      </c>
      <c r="X92" s="58" t="s">
        <v>1301</v>
      </c>
      <c r="Y92" s="52"/>
      <c r="Z92" s="52"/>
      <c r="AA92" s="52"/>
      <c r="AB92" s="52"/>
      <c r="AC92" s="52"/>
    </row>
    <row r="93" ht="60" customHeight="1">
      <c r="A93" s="73">
        <v>76</v>
      </c>
      <c r="B93" s="93"/>
      <c r="C93" s="93"/>
      <c r="D93" s="93"/>
      <c r="E93" s="58" t="s">
        <v>1660</v>
      </c>
      <c r="F93" s="58" t="s">
        <v>210</v>
      </c>
      <c r="G93" s="58" t="s">
        <v>1661</v>
      </c>
      <c r="H93" s="58" t="s">
        <v>1662</v>
      </c>
      <c r="I93" s="58" t="s">
        <v>1259</v>
      </c>
      <c r="J93" s="58" t="s">
        <v>1663</v>
      </c>
      <c r="K93" s="104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77" t="s">
        <v>1647</v>
      </c>
      <c r="X93" s="58" t="s">
        <v>1301</v>
      </c>
      <c r="Y93" s="52"/>
      <c r="Z93" s="52"/>
      <c r="AA93" s="52"/>
      <c r="AB93" s="52"/>
      <c r="AC93" s="52"/>
    </row>
    <row r="94" ht="73.5" customHeight="1">
      <c r="A94" s="73">
        <v>77</v>
      </c>
      <c r="B94" s="93"/>
      <c r="C94" s="93"/>
      <c r="D94" s="93"/>
      <c r="E94" s="58" t="s">
        <v>1664</v>
      </c>
      <c r="F94" s="58" t="s">
        <v>210</v>
      </c>
      <c r="G94" s="58" t="s">
        <v>1665</v>
      </c>
      <c r="H94" s="58" t="s">
        <v>1666</v>
      </c>
      <c r="I94" s="58" t="s">
        <v>1259</v>
      </c>
      <c r="J94" s="58" t="s">
        <v>1667</v>
      </c>
      <c r="K94" s="104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77" t="s">
        <v>1647</v>
      </c>
      <c r="X94" s="58" t="s">
        <v>1301</v>
      </c>
      <c r="Y94" s="52"/>
      <c r="Z94" s="52"/>
      <c r="AA94" s="52"/>
      <c r="AB94" s="52"/>
      <c r="AC94" s="52"/>
    </row>
    <row r="95" ht="60" customHeight="1">
      <c r="A95" s="73">
        <v>78</v>
      </c>
      <c r="B95" s="93"/>
      <c r="C95" s="93"/>
      <c r="D95" s="94"/>
      <c r="E95" s="58" t="s">
        <v>1668</v>
      </c>
      <c r="F95" s="58" t="s">
        <v>210</v>
      </c>
      <c r="G95" s="58" t="s">
        <v>1669</v>
      </c>
      <c r="H95" s="58" t="s">
        <v>1670</v>
      </c>
      <c r="I95" s="58" t="s">
        <v>1259</v>
      </c>
      <c r="J95" s="58" t="s">
        <v>1671</v>
      </c>
      <c r="K95" s="104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77" t="s">
        <v>1647</v>
      </c>
      <c r="X95" s="58" t="s">
        <v>1301</v>
      </c>
      <c r="Y95" s="52"/>
      <c r="Z95" s="52"/>
      <c r="AA95" s="52"/>
      <c r="AB95" s="52"/>
      <c r="AC95" s="52"/>
    </row>
    <row r="96" ht="73.5" customHeight="1">
      <c r="A96" s="73">
        <v>79</v>
      </c>
      <c r="B96" s="93"/>
      <c r="C96" s="93"/>
      <c r="D96" s="93" t="s">
        <v>369</v>
      </c>
      <c r="E96" s="58" t="s">
        <v>1672</v>
      </c>
      <c r="F96" s="58" t="s">
        <v>203</v>
      </c>
      <c r="G96" s="58" t="s">
        <v>1673</v>
      </c>
      <c r="H96" s="58" t="s">
        <v>1674</v>
      </c>
      <c r="I96" s="58" t="s">
        <v>1259</v>
      </c>
      <c r="J96" s="58" t="s">
        <v>1675</v>
      </c>
      <c r="K96" s="104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77" t="s">
        <v>1676</v>
      </c>
      <c r="X96" s="58" t="s">
        <v>1301</v>
      </c>
      <c r="Y96" s="52"/>
      <c r="Z96" s="52"/>
      <c r="AA96" s="52"/>
      <c r="AB96" s="52"/>
      <c r="AC96" s="52"/>
    </row>
    <row r="97" ht="73.5" customHeight="1">
      <c r="A97" s="73">
        <v>80</v>
      </c>
      <c r="B97" s="94"/>
      <c r="C97" s="94"/>
      <c r="D97" s="94"/>
      <c r="E97" s="58" t="s">
        <v>1677</v>
      </c>
      <c r="F97" s="58" t="s">
        <v>203</v>
      </c>
      <c r="G97" s="58" t="s">
        <v>1678</v>
      </c>
      <c r="H97" s="58" t="s">
        <v>1679</v>
      </c>
      <c r="I97" s="58" t="s">
        <v>1259</v>
      </c>
      <c r="J97" s="58" t="s">
        <v>1680</v>
      </c>
      <c r="K97" s="104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77" t="s">
        <v>1681</v>
      </c>
      <c r="X97" s="58" t="s">
        <v>1301</v>
      </c>
      <c r="Y97" s="52"/>
      <c r="Z97" s="52"/>
      <c r="AA97" s="52"/>
      <c r="AB97" s="52"/>
      <c r="AC97" s="52"/>
    </row>
    <row r="98" ht="87" customHeight="1">
      <c r="A98" s="73">
        <v>81</v>
      </c>
      <c r="B98" s="93" t="s">
        <v>131</v>
      </c>
      <c r="C98" s="93" t="s">
        <v>100</v>
      </c>
      <c r="D98" s="93" t="s">
        <v>268</v>
      </c>
      <c r="E98" s="58" t="s">
        <v>1682</v>
      </c>
      <c r="F98" s="58" t="s">
        <v>203</v>
      </c>
      <c r="G98" s="58" t="s">
        <v>1683</v>
      </c>
      <c r="H98" s="58" t="s">
        <v>1684</v>
      </c>
      <c r="I98" s="58" t="s">
        <v>1685</v>
      </c>
      <c r="J98" s="58" t="s">
        <v>1407</v>
      </c>
      <c r="K98" s="74" t="s">
        <v>1686</v>
      </c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 t="s">
        <v>1301</v>
      </c>
      <c r="Y98" s="52"/>
      <c r="Z98" s="52"/>
      <c r="AA98" s="52"/>
      <c r="AB98" s="52"/>
      <c r="AC98" s="52"/>
    </row>
    <row r="99" ht="60" customHeight="1">
      <c r="A99" s="73">
        <v>82</v>
      </c>
      <c r="B99" s="93"/>
      <c r="C99" s="94"/>
      <c r="D99" s="94"/>
      <c r="E99" s="58" t="s">
        <v>1687</v>
      </c>
      <c r="F99" s="58" t="s">
        <v>203</v>
      </c>
      <c r="G99" s="58" t="s">
        <v>1688</v>
      </c>
      <c r="H99" s="58" t="s">
        <v>1689</v>
      </c>
      <c r="I99" s="58" t="s">
        <v>1273</v>
      </c>
      <c r="J99" s="58" t="s">
        <v>1690</v>
      </c>
      <c r="K99" s="74" t="s">
        <v>1691</v>
      </c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 t="s">
        <v>1409</v>
      </c>
      <c r="Y99" s="52"/>
      <c r="Z99" s="52"/>
      <c r="AA99" s="52"/>
      <c r="AB99" s="52"/>
      <c r="AC99" s="52"/>
    </row>
    <row r="100" ht="60" customHeight="1">
      <c r="A100" s="73">
        <v>83</v>
      </c>
      <c r="B100" s="93"/>
      <c r="C100" s="93" t="s">
        <v>132</v>
      </c>
      <c r="D100" s="93" t="s">
        <v>268</v>
      </c>
      <c r="E100" s="58" t="s">
        <v>1692</v>
      </c>
      <c r="F100" s="58" t="s">
        <v>203</v>
      </c>
      <c r="G100" s="58" t="s">
        <v>1693</v>
      </c>
      <c r="H100" s="58" t="s">
        <v>1694</v>
      </c>
      <c r="I100" s="58" t="s">
        <v>1685</v>
      </c>
      <c r="J100" s="58" t="s">
        <v>1695</v>
      </c>
      <c r="K100" s="74" t="s">
        <v>1696</v>
      </c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 t="s">
        <v>1269</v>
      </c>
      <c r="Y100" s="52"/>
      <c r="Z100" s="52"/>
      <c r="AA100" s="52"/>
      <c r="AB100" s="52"/>
      <c r="AC100" s="52"/>
    </row>
    <row r="101" ht="73.5" customHeight="1">
      <c r="A101" s="73">
        <v>84</v>
      </c>
      <c r="B101" s="93"/>
      <c r="C101" s="93"/>
      <c r="D101" s="93"/>
      <c r="E101" s="58" t="s">
        <v>1697</v>
      </c>
      <c r="F101" s="58" t="s">
        <v>203</v>
      </c>
      <c r="G101" s="58" t="s">
        <v>1698</v>
      </c>
      <c r="H101" s="58" t="s">
        <v>1699</v>
      </c>
      <c r="I101" s="58" t="s">
        <v>1685</v>
      </c>
      <c r="J101" s="58" t="s">
        <v>1700</v>
      </c>
      <c r="K101" s="74" t="s">
        <v>1701</v>
      </c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77" t="s">
        <v>1456</v>
      </c>
      <c r="X101" s="58" t="s">
        <v>1269</v>
      </c>
      <c r="Y101" s="52"/>
      <c r="Z101" s="52"/>
      <c r="AA101" s="52"/>
      <c r="AB101" s="52"/>
      <c r="AC101" s="52"/>
    </row>
    <row r="102" ht="73.5" customHeight="1">
      <c r="A102" s="73">
        <v>85</v>
      </c>
      <c r="B102" s="93"/>
      <c r="C102" s="94"/>
      <c r="D102" s="94"/>
      <c r="E102" s="58" t="s">
        <v>1702</v>
      </c>
      <c r="F102" s="58" t="s">
        <v>203</v>
      </c>
      <c r="G102" s="58" t="s">
        <v>1703</v>
      </c>
      <c r="H102" s="58" t="s">
        <v>1704</v>
      </c>
      <c r="I102" s="58" t="s">
        <v>1685</v>
      </c>
      <c r="J102" s="58" t="s">
        <v>1705</v>
      </c>
      <c r="K102" s="74" t="s">
        <v>1706</v>
      </c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 t="s">
        <v>1269</v>
      </c>
      <c r="Y102" s="52"/>
      <c r="Z102" s="52"/>
      <c r="AA102" s="52"/>
      <c r="AB102" s="52"/>
      <c r="AC102" s="52"/>
    </row>
    <row r="103" ht="60" customHeight="1">
      <c r="A103" s="73">
        <v>86</v>
      </c>
      <c r="B103" s="93"/>
      <c r="C103" s="93" t="s">
        <v>133</v>
      </c>
      <c r="D103" s="93" t="s">
        <v>268</v>
      </c>
      <c r="E103" s="58" t="s">
        <v>1707</v>
      </c>
      <c r="F103" s="58" t="s">
        <v>210</v>
      </c>
      <c r="G103" s="58" t="s">
        <v>1708</v>
      </c>
      <c r="H103" s="58" t="s">
        <v>1709</v>
      </c>
      <c r="I103" s="58" t="s">
        <v>1273</v>
      </c>
      <c r="J103" s="58" t="s">
        <v>1710</v>
      </c>
      <c r="K103" s="74" t="s">
        <v>1711</v>
      </c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77" t="s">
        <v>1712</v>
      </c>
      <c r="X103" s="58" t="s">
        <v>1301</v>
      </c>
      <c r="Y103" s="52"/>
      <c r="Z103" s="52"/>
      <c r="AA103" s="52"/>
      <c r="AB103" s="52"/>
      <c r="AC103" s="52"/>
    </row>
    <row r="104" ht="60" customHeight="1">
      <c r="A104" s="73">
        <v>87</v>
      </c>
      <c r="B104" s="93"/>
      <c r="C104" s="94"/>
      <c r="D104" s="94"/>
      <c r="E104" s="58" t="s">
        <v>1713</v>
      </c>
      <c r="F104" s="58" t="s">
        <v>210</v>
      </c>
      <c r="G104" s="58" t="s">
        <v>1714</v>
      </c>
      <c r="H104" s="58" t="s">
        <v>1715</v>
      </c>
      <c r="I104" s="58" t="s">
        <v>1273</v>
      </c>
      <c r="J104" s="58" t="s">
        <v>1716</v>
      </c>
      <c r="K104" s="104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77" t="s">
        <v>1717</v>
      </c>
      <c r="X104" s="58" t="s">
        <v>1409</v>
      </c>
      <c r="Y104" s="52"/>
      <c r="Z104" s="52"/>
      <c r="AA104" s="52"/>
      <c r="AB104" s="52"/>
      <c r="AC104" s="52"/>
    </row>
    <row r="105" ht="87" customHeight="1">
      <c r="A105" s="73">
        <v>88</v>
      </c>
      <c r="B105" s="93"/>
      <c r="C105" s="93" t="s">
        <v>134</v>
      </c>
      <c r="D105" s="58" t="s">
        <v>552</v>
      </c>
      <c r="E105" s="58" t="s">
        <v>1718</v>
      </c>
      <c r="F105" s="58" t="s">
        <v>203</v>
      </c>
      <c r="G105" s="58" t="s">
        <v>1719</v>
      </c>
      <c r="H105" s="58" t="s">
        <v>1720</v>
      </c>
      <c r="I105" s="58" t="s">
        <v>1273</v>
      </c>
      <c r="J105" s="58" t="s">
        <v>1721</v>
      </c>
      <c r="K105" s="74" t="s">
        <v>1722</v>
      </c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77" t="s">
        <v>1723</v>
      </c>
      <c r="X105" s="58" t="s">
        <v>1724</v>
      </c>
      <c r="Y105" s="52"/>
      <c r="Z105" s="52"/>
      <c r="AA105" s="52"/>
      <c r="AB105" s="52"/>
      <c r="AC105" s="52"/>
    </row>
    <row r="106" ht="60" customHeight="1">
      <c r="A106" s="73">
        <v>89</v>
      </c>
      <c r="B106" s="93"/>
      <c r="C106" s="93"/>
      <c r="D106" s="93" t="s">
        <v>393</v>
      </c>
      <c r="E106" s="58" t="s">
        <v>622</v>
      </c>
      <c r="F106" s="58" t="s">
        <v>210</v>
      </c>
      <c r="G106" s="58" t="s">
        <v>1725</v>
      </c>
      <c r="H106" s="58" t="s">
        <v>1726</v>
      </c>
      <c r="I106" s="58" t="s">
        <v>1273</v>
      </c>
      <c r="J106" s="58" t="s">
        <v>1727</v>
      </c>
      <c r="K106" s="104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77" t="s">
        <v>1728</v>
      </c>
      <c r="X106" s="58" t="s">
        <v>1724</v>
      </c>
      <c r="Y106" s="52"/>
      <c r="Z106" s="52"/>
      <c r="AA106" s="52"/>
      <c r="AB106" s="52"/>
      <c r="AC106" s="52"/>
    </row>
    <row r="107" ht="60" customHeight="1">
      <c r="A107" s="73">
        <v>90</v>
      </c>
      <c r="B107" s="93"/>
      <c r="C107" s="93"/>
      <c r="D107" s="93"/>
      <c r="E107" s="58" t="s">
        <v>628</v>
      </c>
      <c r="F107" s="58" t="s">
        <v>210</v>
      </c>
      <c r="G107" s="58" t="s">
        <v>1729</v>
      </c>
      <c r="H107" s="58" t="s">
        <v>1730</v>
      </c>
      <c r="I107" s="58" t="s">
        <v>1273</v>
      </c>
      <c r="J107" s="58" t="s">
        <v>1731</v>
      </c>
      <c r="K107" s="104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77" t="s">
        <v>1728</v>
      </c>
      <c r="X107" s="58" t="s">
        <v>1724</v>
      </c>
      <c r="Y107" s="52"/>
      <c r="Z107" s="52"/>
      <c r="AA107" s="52"/>
      <c r="AB107" s="52"/>
      <c r="AC107" s="52"/>
    </row>
    <row r="108" ht="60" customHeight="1">
      <c r="A108" s="73">
        <v>91</v>
      </c>
      <c r="B108" s="93"/>
      <c r="C108" s="93"/>
      <c r="D108" s="94"/>
      <c r="E108" s="58" t="s">
        <v>1732</v>
      </c>
      <c r="F108" s="58" t="s">
        <v>210</v>
      </c>
      <c r="G108" s="58" t="s">
        <v>1733</v>
      </c>
      <c r="H108" s="58" t="s">
        <v>1734</v>
      </c>
      <c r="I108" s="58" t="s">
        <v>1273</v>
      </c>
      <c r="J108" s="58" t="s">
        <v>1735</v>
      </c>
      <c r="K108" s="104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77" t="s">
        <v>1728</v>
      </c>
      <c r="X108" s="58" t="s">
        <v>1724</v>
      </c>
      <c r="Y108" s="52"/>
      <c r="Z108" s="52"/>
      <c r="AA108" s="52"/>
      <c r="AB108" s="52"/>
      <c r="AC108" s="52"/>
    </row>
    <row r="109" ht="60" customHeight="1">
      <c r="A109" s="73">
        <v>92</v>
      </c>
      <c r="B109" s="94"/>
      <c r="C109" s="94"/>
      <c r="D109" s="58" t="s">
        <v>369</v>
      </c>
      <c r="E109" s="58" t="s">
        <v>1736</v>
      </c>
      <c r="F109" s="58" t="s">
        <v>203</v>
      </c>
      <c r="G109" s="58" t="s">
        <v>1737</v>
      </c>
      <c r="H109" s="58" t="s">
        <v>1738</v>
      </c>
      <c r="I109" s="58" t="s">
        <v>1273</v>
      </c>
      <c r="J109" s="58" t="s">
        <v>1739</v>
      </c>
      <c r="K109" s="104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77" t="s">
        <v>1740</v>
      </c>
      <c r="X109" s="58" t="s">
        <v>1724</v>
      </c>
      <c r="Y109" s="52"/>
      <c r="Z109" s="52"/>
      <c r="AA109" s="52"/>
      <c r="AB109" s="52"/>
      <c r="AC109" s="52"/>
    </row>
    <row r="110" ht="114" customHeight="1">
      <c r="A110" s="73">
        <v>93</v>
      </c>
      <c r="B110" s="93" t="s">
        <v>135</v>
      </c>
      <c r="C110" s="93" t="s">
        <v>136</v>
      </c>
      <c r="D110" s="58" t="s">
        <v>552</v>
      </c>
      <c r="E110" s="58" t="s">
        <v>1741</v>
      </c>
      <c r="F110" s="58" t="s">
        <v>203</v>
      </c>
      <c r="G110" s="58" t="s">
        <v>1742</v>
      </c>
      <c r="H110" s="58" t="s">
        <v>1743</v>
      </c>
      <c r="I110" s="58" t="s">
        <v>1273</v>
      </c>
      <c r="J110" s="58" t="s">
        <v>1744</v>
      </c>
      <c r="K110" s="74" t="s">
        <v>1745</v>
      </c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77" t="s">
        <v>1746</v>
      </c>
      <c r="X110" s="58" t="s">
        <v>1409</v>
      </c>
      <c r="Y110" s="52"/>
      <c r="Z110" s="52"/>
      <c r="AA110" s="52"/>
      <c r="AB110" s="52"/>
      <c r="AC110" s="52"/>
    </row>
    <row r="111" ht="60" customHeight="1">
      <c r="A111" s="73">
        <v>94</v>
      </c>
      <c r="B111" s="93"/>
      <c r="C111" s="93"/>
      <c r="D111" s="93" t="s">
        <v>393</v>
      </c>
      <c r="E111" s="58" t="s">
        <v>622</v>
      </c>
      <c r="F111" s="58" t="s">
        <v>210</v>
      </c>
      <c r="G111" s="58" t="s">
        <v>1747</v>
      </c>
      <c r="H111" s="58" t="s">
        <v>1748</v>
      </c>
      <c r="I111" s="58" t="s">
        <v>1273</v>
      </c>
      <c r="J111" s="58" t="s">
        <v>1749</v>
      </c>
      <c r="K111" s="74" t="s">
        <v>1750</v>
      </c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77" t="s">
        <v>1751</v>
      </c>
      <c r="X111" s="58" t="s">
        <v>1409</v>
      </c>
      <c r="Y111" s="52"/>
      <c r="Z111" s="52"/>
      <c r="AA111" s="52"/>
      <c r="AB111" s="52"/>
      <c r="AC111" s="52"/>
    </row>
    <row r="112" ht="60" customHeight="1">
      <c r="A112" s="73">
        <v>95</v>
      </c>
      <c r="B112" s="93"/>
      <c r="C112" s="93"/>
      <c r="D112" s="93"/>
      <c r="E112" s="58" t="s">
        <v>628</v>
      </c>
      <c r="F112" s="58" t="s">
        <v>210</v>
      </c>
      <c r="G112" s="58" t="s">
        <v>1752</v>
      </c>
      <c r="H112" s="58" t="s">
        <v>1753</v>
      </c>
      <c r="I112" s="58" t="s">
        <v>1273</v>
      </c>
      <c r="J112" s="58" t="s">
        <v>1754</v>
      </c>
      <c r="K112" s="104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77" t="s">
        <v>1755</v>
      </c>
      <c r="X112" s="58" t="s">
        <v>1409</v>
      </c>
      <c r="Y112" s="52"/>
      <c r="Z112" s="52"/>
      <c r="AA112" s="52"/>
      <c r="AB112" s="52"/>
      <c r="AC112" s="52"/>
    </row>
    <row r="113" ht="60" customHeight="1">
      <c r="A113" s="73">
        <v>96</v>
      </c>
      <c r="B113" s="93"/>
      <c r="C113" s="93"/>
      <c r="D113" s="93"/>
      <c r="E113" s="58" t="s">
        <v>1732</v>
      </c>
      <c r="F113" s="58" t="s">
        <v>210</v>
      </c>
      <c r="G113" s="58" t="s">
        <v>1756</v>
      </c>
      <c r="H113" s="58" t="s">
        <v>1757</v>
      </c>
      <c r="I113" s="58" t="s">
        <v>1273</v>
      </c>
      <c r="J113" s="58" t="s">
        <v>1758</v>
      </c>
      <c r="K113" s="104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77" t="s">
        <v>1755</v>
      </c>
      <c r="X113" s="58" t="s">
        <v>1409</v>
      </c>
      <c r="Y113" s="52"/>
      <c r="Z113" s="52"/>
      <c r="AA113" s="52"/>
      <c r="AB113" s="52"/>
      <c r="AC113" s="52"/>
    </row>
    <row r="114" ht="87" customHeight="1">
      <c r="A114" s="73">
        <v>97</v>
      </c>
      <c r="B114" s="93"/>
      <c r="C114" s="93"/>
      <c r="D114" s="94"/>
      <c r="E114" s="58" t="s">
        <v>1759</v>
      </c>
      <c r="F114" s="58" t="s">
        <v>203</v>
      </c>
      <c r="G114" s="58" t="s">
        <v>1760</v>
      </c>
      <c r="H114" s="58" t="s">
        <v>1761</v>
      </c>
      <c r="I114" s="58" t="s">
        <v>1762</v>
      </c>
      <c r="J114" s="58" t="s">
        <v>1763</v>
      </c>
      <c r="K114" s="104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77" t="s">
        <v>1764</v>
      </c>
      <c r="X114" s="58" t="s">
        <v>1409</v>
      </c>
      <c r="Y114" s="52"/>
      <c r="Z114" s="52"/>
      <c r="AA114" s="52"/>
      <c r="AB114" s="52"/>
      <c r="AC114" s="52"/>
    </row>
    <row r="115" ht="73.5" customHeight="1">
      <c r="A115" s="73">
        <v>98</v>
      </c>
      <c r="B115" s="93"/>
      <c r="C115" s="93"/>
      <c r="D115" s="93" t="s">
        <v>369</v>
      </c>
      <c r="E115" s="58" t="s">
        <v>1765</v>
      </c>
      <c r="F115" s="58" t="s">
        <v>203</v>
      </c>
      <c r="G115" s="58" t="s">
        <v>1766</v>
      </c>
      <c r="H115" s="58" t="s">
        <v>1767</v>
      </c>
      <c r="I115" s="58" t="s">
        <v>1768</v>
      </c>
      <c r="J115" s="58" t="s">
        <v>1763</v>
      </c>
      <c r="K115" s="104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77" t="s">
        <v>1769</v>
      </c>
      <c r="X115" s="58" t="s">
        <v>1409</v>
      </c>
      <c r="Y115" s="52"/>
      <c r="Z115" s="52"/>
      <c r="AA115" s="52"/>
      <c r="AB115" s="52"/>
      <c r="AC115" s="52"/>
    </row>
    <row r="116" ht="73.5" customHeight="1">
      <c r="A116" s="73">
        <v>99</v>
      </c>
      <c r="B116" s="93"/>
      <c r="C116" s="94"/>
      <c r="D116" s="94"/>
      <c r="E116" s="58" t="s">
        <v>1770</v>
      </c>
      <c r="F116" s="58" t="s">
        <v>203</v>
      </c>
      <c r="G116" s="58" t="s">
        <v>1771</v>
      </c>
      <c r="H116" s="58" t="s">
        <v>1772</v>
      </c>
      <c r="I116" s="58" t="s">
        <v>1773</v>
      </c>
      <c r="J116" s="58" t="s">
        <v>1763</v>
      </c>
      <c r="K116" s="104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77" t="s">
        <v>1774</v>
      </c>
      <c r="X116" s="58" t="s">
        <v>1409</v>
      </c>
      <c r="Y116" s="52"/>
      <c r="Z116" s="52"/>
      <c r="AA116" s="52"/>
      <c r="AB116" s="52"/>
      <c r="AC116" s="52"/>
    </row>
    <row r="117" ht="73.5" customHeight="1">
      <c r="A117" s="73">
        <v>100</v>
      </c>
      <c r="B117" s="93"/>
      <c r="C117" s="93" t="s">
        <v>137</v>
      </c>
      <c r="D117" s="93" t="s">
        <v>1775</v>
      </c>
      <c r="E117" s="58" t="s">
        <v>1776</v>
      </c>
      <c r="F117" s="58" t="s">
        <v>203</v>
      </c>
      <c r="G117" s="58" t="s">
        <v>1777</v>
      </c>
      <c r="H117" s="58" t="s">
        <v>1778</v>
      </c>
      <c r="I117" s="58" t="s">
        <v>1273</v>
      </c>
      <c r="J117" s="58" t="s">
        <v>1779</v>
      </c>
      <c r="K117" s="104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77" t="s">
        <v>1780</v>
      </c>
      <c r="X117" s="58" t="s">
        <v>1409</v>
      </c>
      <c r="Y117" s="52"/>
      <c r="Z117" s="52"/>
      <c r="AA117" s="52"/>
      <c r="AB117" s="52"/>
      <c r="AC117" s="52"/>
    </row>
    <row r="118" ht="60" customHeight="1">
      <c r="A118" s="73">
        <v>101</v>
      </c>
      <c r="B118" s="94"/>
      <c r="C118" s="94"/>
      <c r="D118" s="94"/>
      <c r="E118" s="58" t="s">
        <v>1781</v>
      </c>
      <c r="F118" s="58" t="s">
        <v>210</v>
      </c>
      <c r="G118" s="58" t="s">
        <v>1782</v>
      </c>
      <c r="H118" s="58" t="s">
        <v>1783</v>
      </c>
      <c r="I118" s="58" t="s">
        <v>1784</v>
      </c>
      <c r="J118" s="58" t="s">
        <v>1785</v>
      </c>
      <c r="K118" s="104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77" t="s">
        <v>1786</v>
      </c>
      <c r="X118" s="58" t="s">
        <v>1409</v>
      </c>
      <c r="Y118" s="52"/>
      <c r="Z118" s="52"/>
      <c r="AA118" s="52"/>
      <c r="AB118" s="52"/>
      <c r="AC118" s="52"/>
    </row>
    <row r="119" ht="60" customHeight="1">
      <c r="A119" s="73">
        <v>102</v>
      </c>
      <c r="B119" s="93" t="s">
        <v>110</v>
      </c>
      <c r="C119" s="93" t="s">
        <v>138</v>
      </c>
      <c r="D119" s="93" t="s">
        <v>1787</v>
      </c>
      <c r="E119" s="58" t="s">
        <v>1788</v>
      </c>
      <c r="F119" s="58" t="s">
        <v>203</v>
      </c>
      <c r="G119" s="58" t="s">
        <v>1789</v>
      </c>
      <c r="H119" s="58" t="s">
        <v>1790</v>
      </c>
      <c r="I119" s="58" t="s">
        <v>1259</v>
      </c>
      <c r="J119" s="58" t="s">
        <v>1289</v>
      </c>
      <c r="K119" s="74" t="s">
        <v>1791</v>
      </c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 t="s">
        <v>1262</v>
      </c>
      <c r="Y119" s="52"/>
      <c r="Z119" s="52"/>
      <c r="AA119" s="52"/>
      <c r="AB119" s="52"/>
      <c r="AC119" s="52"/>
    </row>
    <row r="120" ht="60" customHeight="1">
      <c r="A120" s="73">
        <v>103</v>
      </c>
      <c r="B120" s="93"/>
      <c r="C120" s="93"/>
      <c r="D120" s="93"/>
      <c r="E120" s="58" t="s">
        <v>1792</v>
      </c>
      <c r="F120" s="58" t="s">
        <v>203</v>
      </c>
      <c r="G120" s="58" t="s">
        <v>1793</v>
      </c>
      <c r="H120" s="58" t="s">
        <v>1794</v>
      </c>
      <c r="I120" s="58" t="s">
        <v>1273</v>
      </c>
      <c r="J120" s="58" t="s">
        <v>1274</v>
      </c>
      <c r="K120" s="74" t="s">
        <v>1795</v>
      </c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 t="s">
        <v>1409</v>
      </c>
      <c r="Y120" s="52"/>
      <c r="Z120" s="52"/>
      <c r="AA120" s="52"/>
      <c r="AB120" s="52"/>
      <c r="AC120" s="52"/>
    </row>
    <row r="121" ht="60" customHeight="1">
      <c r="A121" s="73">
        <v>104</v>
      </c>
      <c r="B121" s="93"/>
      <c r="C121" s="94"/>
      <c r="D121" s="94"/>
      <c r="E121" s="58" t="s">
        <v>1796</v>
      </c>
      <c r="F121" s="58" t="s">
        <v>210</v>
      </c>
      <c r="G121" s="58" t="s">
        <v>1797</v>
      </c>
      <c r="H121" s="58" t="s">
        <v>1798</v>
      </c>
      <c r="I121" s="58" t="s">
        <v>1266</v>
      </c>
      <c r="J121" s="58" t="s">
        <v>1267</v>
      </c>
      <c r="K121" s="74" t="s">
        <v>1799</v>
      </c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 t="s">
        <v>1301</v>
      </c>
      <c r="Y121" s="52"/>
      <c r="Z121" s="52"/>
      <c r="AA121" s="52"/>
      <c r="AB121" s="52"/>
      <c r="AC121" s="52"/>
    </row>
    <row r="122" ht="60" customHeight="1">
      <c r="A122" s="73">
        <v>105</v>
      </c>
      <c r="B122" s="93"/>
      <c r="C122" s="93" t="s">
        <v>139</v>
      </c>
      <c r="D122" s="93" t="s">
        <v>1787</v>
      </c>
      <c r="E122" s="58" t="s">
        <v>1800</v>
      </c>
      <c r="F122" s="58" t="s">
        <v>203</v>
      </c>
      <c r="G122" s="58" t="s">
        <v>1801</v>
      </c>
      <c r="H122" s="58" t="s">
        <v>1802</v>
      </c>
      <c r="I122" s="58" t="s">
        <v>1803</v>
      </c>
      <c r="J122" s="58" t="s">
        <v>1804</v>
      </c>
      <c r="K122" s="74" t="s">
        <v>1805</v>
      </c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77" t="s">
        <v>1806</v>
      </c>
      <c r="X122" s="58" t="s">
        <v>1262</v>
      </c>
      <c r="Y122" s="52"/>
      <c r="Z122" s="52"/>
      <c r="AA122" s="52"/>
      <c r="AB122" s="52"/>
      <c r="AC122" s="52"/>
    </row>
    <row r="123" ht="60" customHeight="1">
      <c r="A123" s="73">
        <v>106</v>
      </c>
      <c r="B123" s="93"/>
      <c r="C123" s="94"/>
      <c r="D123" s="94"/>
      <c r="E123" s="58" t="s">
        <v>1807</v>
      </c>
      <c r="F123" s="58" t="s">
        <v>203</v>
      </c>
      <c r="G123" s="58" t="s">
        <v>1808</v>
      </c>
      <c r="H123" s="58" t="s">
        <v>1809</v>
      </c>
      <c r="I123" s="58" t="s">
        <v>1810</v>
      </c>
      <c r="J123" s="58" t="s">
        <v>1274</v>
      </c>
      <c r="K123" s="74" t="s">
        <v>1811</v>
      </c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77" t="s">
        <v>1812</v>
      </c>
      <c r="X123" s="58" t="s">
        <v>1269</v>
      </c>
      <c r="Y123" s="52"/>
      <c r="Z123" s="52"/>
      <c r="AA123" s="52"/>
      <c r="AB123" s="52"/>
      <c r="AC123" s="52"/>
    </row>
    <row r="124" ht="60" customHeight="1">
      <c r="A124" s="73">
        <v>107</v>
      </c>
      <c r="B124" s="93"/>
      <c r="C124" s="58" t="s">
        <v>140</v>
      </c>
      <c r="D124" s="58" t="s">
        <v>1787</v>
      </c>
      <c r="E124" s="58" t="s">
        <v>1800</v>
      </c>
      <c r="F124" s="58" t="s">
        <v>203</v>
      </c>
      <c r="G124" s="58" t="s">
        <v>1813</v>
      </c>
      <c r="H124" s="58" t="s">
        <v>1814</v>
      </c>
      <c r="I124" s="58" t="s">
        <v>1815</v>
      </c>
      <c r="J124" s="58" t="s">
        <v>1804</v>
      </c>
      <c r="K124" s="74" t="s">
        <v>1805</v>
      </c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77" t="s">
        <v>1816</v>
      </c>
      <c r="X124" s="58" t="s">
        <v>1262</v>
      </c>
      <c r="Y124" s="52"/>
      <c r="Z124" s="52"/>
      <c r="AA124" s="52"/>
      <c r="AB124" s="52"/>
      <c r="AC124" s="52"/>
    </row>
    <row r="125" ht="48.600000000000001" customHeight="1">
      <c r="A125" s="73">
        <v>108</v>
      </c>
      <c r="B125" s="93"/>
      <c r="C125" s="93" t="s">
        <v>141</v>
      </c>
      <c r="D125" s="93" t="s">
        <v>1787</v>
      </c>
      <c r="E125" s="58" t="s">
        <v>1817</v>
      </c>
      <c r="F125" s="58" t="s">
        <v>203</v>
      </c>
      <c r="G125" s="58" t="s">
        <v>1818</v>
      </c>
      <c r="H125" s="58" t="s">
        <v>1819</v>
      </c>
      <c r="I125" s="58" t="s">
        <v>1820</v>
      </c>
      <c r="J125" s="58" t="s">
        <v>1821</v>
      </c>
      <c r="K125" s="74" t="s">
        <v>1822</v>
      </c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77" t="s">
        <v>1823</v>
      </c>
      <c r="X125" s="58" t="s">
        <v>1262</v>
      </c>
      <c r="Y125" s="52"/>
      <c r="Z125" s="52"/>
      <c r="AA125" s="52"/>
      <c r="AB125" s="52"/>
      <c r="AC125" s="52"/>
    </row>
    <row r="126" ht="48.600000000000001" customHeight="1">
      <c r="A126" s="73">
        <v>109</v>
      </c>
      <c r="B126" s="93"/>
      <c r="C126" s="94"/>
      <c r="D126" s="94"/>
      <c r="E126" s="58" t="s">
        <v>1824</v>
      </c>
      <c r="F126" s="58" t="s">
        <v>203</v>
      </c>
      <c r="G126" s="58" t="s">
        <v>1825</v>
      </c>
      <c r="H126" s="58" t="s">
        <v>1826</v>
      </c>
      <c r="I126" s="58" t="s">
        <v>1820</v>
      </c>
      <c r="J126" s="58" t="s">
        <v>1827</v>
      </c>
      <c r="K126" s="104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77" t="s">
        <v>1828</v>
      </c>
      <c r="X126" s="58" t="s">
        <v>1262</v>
      </c>
      <c r="Y126" s="52"/>
      <c r="Z126" s="52"/>
      <c r="AA126" s="52"/>
      <c r="AB126" s="52"/>
      <c r="AC126" s="52"/>
    </row>
    <row r="127" ht="48.600000000000001" customHeight="1">
      <c r="A127" s="73">
        <v>110</v>
      </c>
      <c r="B127" s="93"/>
      <c r="C127" s="93" t="s">
        <v>142</v>
      </c>
      <c r="D127" s="93" t="s">
        <v>1787</v>
      </c>
      <c r="E127" s="58" t="s">
        <v>1829</v>
      </c>
      <c r="F127" s="58" t="s">
        <v>203</v>
      </c>
      <c r="G127" s="58" t="s">
        <v>1830</v>
      </c>
      <c r="H127" s="58" t="s">
        <v>1831</v>
      </c>
      <c r="I127" s="58" t="s">
        <v>504</v>
      </c>
      <c r="J127" s="58" t="s">
        <v>1821</v>
      </c>
      <c r="K127" s="74" t="s">
        <v>1822</v>
      </c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77" t="s">
        <v>1823</v>
      </c>
      <c r="X127" s="58" t="s">
        <v>1262</v>
      </c>
      <c r="Y127" s="52"/>
      <c r="Z127" s="52"/>
      <c r="AA127" s="52"/>
      <c r="AB127" s="52"/>
      <c r="AC127" s="52"/>
    </row>
    <row r="128" ht="48.600000000000001" customHeight="1">
      <c r="A128" s="73">
        <v>111</v>
      </c>
      <c r="B128" s="93"/>
      <c r="C128" s="93"/>
      <c r="D128" s="93"/>
      <c r="E128" s="58" t="s">
        <v>1832</v>
      </c>
      <c r="F128" s="58" t="s">
        <v>203</v>
      </c>
      <c r="G128" s="58" t="s">
        <v>1833</v>
      </c>
      <c r="H128" s="58" t="s">
        <v>1834</v>
      </c>
      <c r="I128" s="58" t="s">
        <v>1835</v>
      </c>
      <c r="J128" s="58" t="s">
        <v>1821</v>
      </c>
      <c r="K128" s="104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77" t="s">
        <v>1836</v>
      </c>
      <c r="X128" s="58" t="s">
        <v>1262</v>
      </c>
      <c r="Y128" s="52"/>
      <c r="Z128" s="52"/>
      <c r="AA128" s="52"/>
      <c r="AB128" s="52"/>
      <c r="AC128" s="52"/>
    </row>
    <row r="129" ht="48.600000000000001" customHeight="1">
      <c r="A129" s="73">
        <v>112</v>
      </c>
      <c r="B129" s="93"/>
      <c r="C129" s="93"/>
      <c r="D129" s="93"/>
      <c r="E129" s="58" t="s">
        <v>1837</v>
      </c>
      <c r="F129" s="58" t="s">
        <v>203</v>
      </c>
      <c r="G129" s="58" t="s">
        <v>1838</v>
      </c>
      <c r="H129" s="58" t="s">
        <v>1839</v>
      </c>
      <c r="I129" s="58" t="s">
        <v>1211</v>
      </c>
      <c r="J129" s="58" t="s">
        <v>1821</v>
      </c>
      <c r="K129" s="104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77" t="s">
        <v>1836</v>
      </c>
      <c r="X129" s="58" t="s">
        <v>1262</v>
      </c>
      <c r="Y129" s="52"/>
      <c r="Z129" s="52"/>
      <c r="AA129" s="52"/>
      <c r="AB129" s="52"/>
      <c r="AC129" s="52"/>
    </row>
    <row r="130" ht="48.600000000000001" customHeight="1">
      <c r="A130" s="73">
        <v>113</v>
      </c>
      <c r="B130" s="94"/>
      <c r="C130" s="94"/>
      <c r="D130" s="94"/>
      <c r="E130" s="58" t="s">
        <v>1840</v>
      </c>
      <c r="F130" s="58" t="s">
        <v>203</v>
      </c>
      <c r="G130" s="58" t="s">
        <v>1841</v>
      </c>
      <c r="H130" s="58" t="s">
        <v>1842</v>
      </c>
      <c r="I130" s="58" t="s">
        <v>504</v>
      </c>
      <c r="J130" s="58" t="s">
        <v>1827</v>
      </c>
      <c r="K130" s="104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77" t="s">
        <v>1828</v>
      </c>
      <c r="X130" s="58" t="s">
        <v>1262</v>
      </c>
      <c r="Y130" s="52"/>
      <c r="Z130" s="52"/>
      <c r="AA130" s="52"/>
      <c r="AB130" s="52"/>
      <c r="AC130" s="52"/>
    </row>
    <row r="131" ht="73.5" customHeight="1">
      <c r="A131" s="73">
        <v>114</v>
      </c>
      <c r="B131" s="93" t="s">
        <v>89</v>
      </c>
      <c r="C131" s="93" t="s">
        <v>143</v>
      </c>
      <c r="D131" s="93" t="s">
        <v>1843</v>
      </c>
      <c r="E131" s="58" t="s">
        <v>1844</v>
      </c>
      <c r="F131" s="58" t="s">
        <v>210</v>
      </c>
      <c r="G131" s="58" t="s">
        <v>1845</v>
      </c>
      <c r="H131" s="58" t="s">
        <v>1846</v>
      </c>
      <c r="I131" s="58" t="s">
        <v>1259</v>
      </c>
      <c r="J131" s="58" t="s">
        <v>1847</v>
      </c>
      <c r="K131" s="104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77" t="s">
        <v>1848</v>
      </c>
      <c r="X131" s="58" t="s">
        <v>1301</v>
      </c>
      <c r="Y131" s="52"/>
      <c r="Z131" s="52"/>
      <c r="AA131" s="52"/>
      <c r="AB131" s="52"/>
      <c r="AC131" s="52"/>
    </row>
    <row r="132" ht="73.5" customHeight="1">
      <c r="A132" s="73">
        <v>115</v>
      </c>
      <c r="B132" s="93"/>
      <c r="C132" s="94"/>
      <c r="D132" s="94"/>
      <c r="E132" s="58" t="s">
        <v>1849</v>
      </c>
      <c r="F132" s="58" t="s">
        <v>210</v>
      </c>
      <c r="G132" s="58" t="s">
        <v>1850</v>
      </c>
      <c r="H132" s="58" t="s">
        <v>1851</v>
      </c>
      <c r="I132" s="58" t="s">
        <v>1259</v>
      </c>
      <c r="J132" s="58" t="s">
        <v>1852</v>
      </c>
      <c r="K132" s="104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77" t="s">
        <v>1853</v>
      </c>
      <c r="X132" s="58" t="s">
        <v>1301</v>
      </c>
      <c r="Y132" s="52"/>
      <c r="Z132" s="52"/>
      <c r="AA132" s="52"/>
      <c r="AB132" s="52"/>
      <c r="AC132" s="52"/>
    </row>
    <row r="133" ht="60" customHeight="1">
      <c r="A133" s="73">
        <v>116</v>
      </c>
      <c r="B133" s="93"/>
      <c r="C133" s="93" t="s">
        <v>116</v>
      </c>
      <c r="D133" s="93" t="s">
        <v>1854</v>
      </c>
      <c r="E133" s="58" t="s">
        <v>1855</v>
      </c>
      <c r="F133" s="58" t="s">
        <v>210</v>
      </c>
      <c r="G133" s="58" t="s">
        <v>1856</v>
      </c>
      <c r="H133" s="58" t="s">
        <v>1857</v>
      </c>
      <c r="I133" s="58" t="s">
        <v>1273</v>
      </c>
      <c r="J133" s="58" t="s">
        <v>1858</v>
      </c>
      <c r="K133" s="104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77" t="s">
        <v>1859</v>
      </c>
      <c r="X133" s="58" t="s">
        <v>1301</v>
      </c>
      <c r="Y133" s="52"/>
      <c r="Z133" s="52"/>
      <c r="AA133" s="52"/>
      <c r="AB133" s="52"/>
      <c r="AC133" s="52"/>
    </row>
    <row r="134" ht="60" customHeight="1">
      <c r="A134" s="73">
        <v>117</v>
      </c>
      <c r="B134" s="93"/>
      <c r="C134" s="93"/>
      <c r="D134" s="93"/>
      <c r="E134" s="58" t="s">
        <v>1860</v>
      </c>
      <c r="F134" s="58" t="s">
        <v>210</v>
      </c>
      <c r="G134" s="58" t="s">
        <v>1861</v>
      </c>
      <c r="H134" s="58" t="s">
        <v>1862</v>
      </c>
      <c r="I134" s="58" t="s">
        <v>1273</v>
      </c>
      <c r="J134" s="58" t="s">
        <v>1863</v>
      </c>
      <c r="K134" s="104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77" t="s">
        <v>1859</v>
      </c>
      <c r="X134" s="58" t="s">
        <v>1301</v>
      </c>
      <c r="Y134" s="52"/>
      <c r="Z134" s="52"/>
      <c r="AA134" s="52"/>
      <c r="AB134" s="52"/>
      <c r="AC134" s="52"/>
    </row>
    <row r="135" ht="60" customHeight="1">
      <c r="A135" s="73">
        <v>118</v>
      </c>
      <c r="B135" s="94"/>
      <c r="C135" s="94"/>
      <c r="D135" s="94"/>
      <c r="E135" s="58" t="s">
        <v>1864</v>
      </c>
      <c r="F135" s="58" t="s">
        <v>210</v>
      </c>
      <c r="G135" s="58" t="s">
        <v>1865</v>
      </c>
      <c r="H135" s="58" t="s">
        <v>1866</v>
      </c>
      <c r="I135" s="58" t="s">
        <v>1273</v>
      </c>
      <c r="J135" s="58" t="s">
        <v>1867</v>
      </c>
      <c r="K135" s="104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77" t="s">
        <v>1859</v>
      </c>
      <c r="X135" s="58" t="s">
        <v>1301</v>
      </c>
      <c r="Y135" s="52"/>
      <c r="Z135" s="52"/>
      <c r="AA135" s="52"/>
      <c r="AB135" s="52"/>
      <c r="AC135" s="52"/>
    </row>
  </sheetData>
  <mergeCells count="99">
    <mergeCell ref="K2:S2"/>
    <mergeCell ref="K4:K5"/>
    <mergeCell ref="L4:L5"/>
    <mergeCell ref="K6:K7"/>
    <mergeCell ref="L6:L7"/>
    <mergeCell ref="M10:Q10"/>
    <mergeCell ref="R10:V10"/>
    <mergeCell ref="B11:D11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B13:B17"/>
    <mergeCell ref="C14:C15"/>
    <mergeCell ref="D14:D15"/>
    <mergeCell ref="C16:C17"/>
    <mergeCell ref="D16:D17"/>
    <mergeCell ref="B18:B42"/>
    <mergeCell ref="C18:C20"/>
    <mergeCell ref="D18:D20"/>
    <mergeCell ref="C21:C30"/>
    <mergeCell ref="D21:D22"/>
    <mergeCell ref="D23:D30"/>
    <mergeCell ref="C31:C40"/>
    <mergeCell ref="D32:D35"/>
    <mergeCell ref="D36:D38"/>
    <mergeCell ref="D39:D40"/>
    <mergeCell ref="C41:C42"/>
    <mergeCell ref="D41:D42"/>
    <mergeCell ref="B43:B69"/>
    <mergeCell ref="C43:C44"/>
    <mergeCell ref="D43:D44"/>
    <mergeCell ref="C45:C46"/>
    <mergeCell ref="C47:C48"/>
    <mergeCell ref="D47:D48"/>
    <mergeCell ref="C49:C56"/>
    <mergeCell ref="D50:D51"/>
    <mergeCell ref="D52:D54"/>
    <mergeCell ref="D55:D56"/>
    <mergeCell ref="C57:C69"/>
    <mergeCell ref="D57:D59"/>
    <mergeCell ref="D61:D63"/>
    <mergeCell ref="D64:D67"/>
    <mergeCell ref="D68:D69"/>
    <mergeCell ref="B70:B97"/>
    <mergeCell ref="C70:C76"/>
    <mergeCell ref="D70:D71"/>
    <mergeCell ref="D72:D74"/>
    <mergeCell ref="D75:D76"/>
    <mergeCell ref="C77:C80"/>
    <mergeCell ref="D77:D78"/>
    <mergeCell ref="D79:D80"/>
    <mergeCell ref="C81:C97"/>
    <mergeCell ref="D81:D95"/>
    <mergeCell ref="D96:D97"/>
    <mergeCell ref="B98:B109"/>
    <mergeCell ref="C98:C99"/>
    <mergeCell ref="D98:D99"/>
    <mergeCell ref="C100:C102"/>
    <mergeCell ref="D100:D102"/>
    <mergeCell ref="C103:C104"/>
    <mergeCell ref="D103:D104"/>
    <mergeCell ref="C105:C109"/>
    <mergeCell ref="D106:D108"/>
    <mergeCell ref="B110:B118"/>
    <mergeCell ref="C110:C116"/>
    <mergeCell ref="D111:D114"/>
    <mergeCell ref="D115:D116"/>
    <mergeCell ref="C117:C118"/>
    <mergeCell ref="D117:D118"/>
    <mergeCell ref="B119:B130"/>
    <mergeCell ref="C119:C121"/>
    <mergeCell ref="D119:D121"/>
    <mergeCell ref="C122:C123"/>
    <mergeCell ref="D122:D123"/>
    <mergeCell ref="C125:C126"/>
    <mergeCell ref="D125:D126"/>
    <mergeCell ref="C127:C130"/>
    <mergeCell ref="D127:D130"/>
    <mergeCell ref="B131:B135"/>
    <mergeCell ref="C131:C132"/>
    <mergeCell ref="D131:D132"/>
    <mergeCell ref="C133:C135"/>
    <mergeCell ref="D133:D135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8" disablePrompts="0">
        <x14:dataValidation xr:uid="{FA4D8087-9432-4FCA-B604-D3D4A42BAB26}" type="list" allowBlank="1" errorStyle="stop" imeMode="noControl" operator="between" showDropDown="0" showErrorMessage="0" showInputMessage="0">
          <x14:formula1>
            <xm:f>"High,Medium,Low,Critical"</xm:f>
          </x14:formula1>
          <xm:sqref>F13:F24 F29:F35 F40:F44 F46:F135 F123:F153</xm:sqref>
        </x14:dataValidation>
        <x14:dataValidation xr:uid="{C3348662-6A4E-4870-BF9B-F600C608C3D2}" type="list" allowBlank="1" errorStyle="stop" imeMode="noControl" operator="between" showDropDown="0" showErrorMessage="0" showInputMessage="0">
          <x14:formula1>
            <xm:f>"Passed,Failed,Pending,Blocked,NA,Not execute"</xm:f>
          </x14:formula1>
          <xm:sqref>M13:M44 M46:M153 R13:R44 R46:R153</xm:sqref>
        </x14:dataValidation>
        <x14:dataValidation xr:uid="{AAE531C7-60E9-48BE-9D3E-065B870E2F8D}" type="list" allowBlank="1" errorStyle="stop" imeMode="noControl" operator="between" showDropDown="0" showErrorMessage="0" showInputMessage="0">
          <x14:formula1>
            <xm:f>"High,Medium,Low,Critical"</xm:f>
          </x14:formula1>
          <xm:sqref>F122</xm:sqref>
        </x14:dataValidation>
        <x14:dataValidation xr:uid="{88DA1324-FBA3-41C9-A56D-93E184E6939A}" type="list" allowBlank="1" errorStyle="stop" imeMode="noControl" operator="between" showDropDown="0" showErrorMessage="0" showInputMessage="0">
          <x14:formula1>
            <xm:f>"High,Medium,Low,Critical"</xm:f>
          </x14:formula1>
          <xm:sqref>F36:F38</xm:sqref>
        </x14:dataValidation>
        <x14:dataValidation xr:uid="{3C4C9EBF-CF55-423E-A696-06FF35683F24}" type="list" allowBlank="1" errorStyle="stop" imeMode="noControl" operator="between" showDropDown="0" showErrorMessage="0" showInputMessage="0">
          <x14:formula1>
            <xm:f>"High,Medium,Low,Critical"</xm:f>
          </x14:formula1>
          <xm:sqref>F39</xm:sqref>
        </x14:dataValidation>
        <x14:dataValidation xr:uid="{EAB969D7-58C0-47DC-91A8-FC5DBC663A87}" type="list" allowBlank="1" errorStyle="stop" imeMode="noControl" operator="between" showDropDown="0" showErrorMessage="0" showInputMessage="0">
          <x14:formula1>
            <xm:f>"High,Medium,Low,Critical"</xm:f>
          </x14:formula1>
          <xm:sqref>F25</xm:sqref>
        </x14:dataValidation>
        <x14:dataValidation xr:uid="{7D952DB6-B18A-41FC-947B-FCFCDE9AA343}" type="list" allowBlank="1" errorStyle="stop" imeMode="noControl" operator="between" showDropDown="0" showErrorMessage="0" showInputMessage="0">
          <x14:formula1>
            <xm:f>"High,Medium,Low,Critical"</xm:f>
          </x14:formula1>
          <xm:sqref>F45</xm:sqref>
        </x14:dataValidation>
        <x14:dataValidation xr:uid="{568DE2CB-6DE9-4C8D-842D-328B33BDDFF5}" type="list" allowBlank="1" errorStyle="stop" imeMode="noControl" operator="between" showDropDown="0" showErrorMessage="0" showInputMessage="0">
          <x14:formula1>
            <xm:f>"Passed,Failed,Pending,Blocked,NA,Not execute"</xm:f>
          </x14:formula1>
          <xm:sqref>M45 R45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5703125" defaultRowHeight="15" customHeight="1"/>
  <cols>
    <col customWidth="1" min="1" max="1" style="50" width="4.140625"/>
    <col customWidth="1" min="2" max="3" style="49" width="22.85546875"/>
    <col customWidth="1" min="4" max="4" style="49" width="14.42578125"/>
    <col customWidth="1" min="5" max="5" style="49" width="21.7109375"/>
    <col customWidth="1" min="6" max="6" style="49" width="9.5703125"/>
    <col customWidth="1" min="7" max="7" style="49" width="9.42578125"/>
    <col customWidth="1" min="8" max="8" style="49" width="31.85546875"/>
    <col customWidth="1" min="9" max="9" style="49" width="21.5703125"/>
    <col customWidth="1" min="10" max="10" style="49" width="46.42578125"/>
    <col customWidth="1" min="11" max="11" style="49" width="34.42578125"/>
    <col customWidth="1" min="12" max="12" style="49" width="10.28515625"/>
    <col customWidth="1" min="13" max="16" style="49" width="9.5703125"/>
    <col customWidth="1" min="17" max="17" style="49" width="13.42578125"/>
    <col customWidth="1" min="18" max="18" style="49" width="10.5703125"/>
    <col customWidth="1" min="19" max="19" style="49" width="9.5703125"/>
    <col customWidth="1" min="20" max="20" style="49" width="11.7109375"/>
    <col customWidth="1" min="21" max="21" style="49" width="9.5703125"/>
    <col customWidth="1" min="22" max="22" style="49" width="17.7109375"/>
    <col customWidth="1" min="23" max="23" style="49" width="34"/>
    <col customWidth="1" min="24" max="24" style="49" width="22.7109375"/>
    <col customWidth="1" min="25" max="29" style="49" width="34"/>
    <col customWidth="1" min="30" max="30" style="49" width="12.5703125"/>
    <col min="31" max="16384" style="49" width="12.5703125"/>
  </cols>
  <sheetData>
    <row r="1" ht="15.75" customHeight="1">
      <c r="A1" s="51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3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</row>
    <row r="2" ht="15.75" customHeight="1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49"/>
      <c r="M2" s="49"/>
      <c r="N2" s="49"/>
      <c r="O2" s="49"/>
      <c r="P2" s="49"/>
      <c r="Q2" s="49"/>
      <c r="R2" s="49"/>
      <c r="S2" s="49"/>
      <c r="T2" s="52"/>
      <c r="U2" s="52"/>
      <c r="V2" s="52"/>
      <c r="W2" s="52"/>
      <c r="X2" s="52"/>
      <c r="Y2" s="52"/>
      <c r="Z2" s="52"/>
      <c r="AA2" s="52"/>
      <c r="AB2" s="52"/>
      <c r="AC2" s="52"/>
    </row>
    <row r="3" ht="29.25" customHeight="1">
      <c r="A3" s="51"/>
      <c r="B3" s="54" t="s">
        <v>171</v>
      </c>
      <c r="C3" s="55" t="s">
        <v>1868</v>
      </c>
      <c r="D3" s="56"/>
      <c r="E3" s="52"/>
      <c r="F3" s="52"/>
      <c r="G3" s="52"/>
      <c r="H3" s="52"/>
      <c r="I3" s="52"/>
      <c r="J3" s="52"/>
      <c r="K3" s="54" t="s">
        <v>173</v>
      </c>
      <c r="L3" s="40" t="s">
        <v>71</v>
      </c>
      <c r="M3" s="40" t="s">
        <v>72</v>
      </c>
      <c r="N3" s="40" t="s">
        <v>73</v>
      </c>
      <c r="O3" s="40" t="s">
        <v>74</v>
      </c>
      <c r="P3" s="57" t="s">
        <v>75</v>
      </c>
      <c r="Q3" s="40" t="s">
        <v>76</v>
      </c>
      <c r="R3" s="40" t="s">
        <v>77</v>
      </c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</row>
    <row r="4" ht="24" customHeight="1">
      <c r="A4" s="51"/>
      <c r="B4" s="54" t="s">
        <v>174</v>
      </c>
      <c r="C4" s="58" t="s">
        <v>1869</v>
      </c>
      <c r="D4" s="59"/>
      <c r="E4" s="52"/>
      <c r="F4" s="52"/>
      <c r="G4" s="52"/>
      <c r="H4" s="52"/>
      <c r="I4" s="52"/>
      <c r="J4" s="52"/>
      <c r="K4" s="54" t="s">
        <v>176</v>
      </c>
      <c r="L4" s="60">
        <f>COUNTA($G$13:$G$74)</f>
        <v>62</v>
      </c>
      <c r="M4" s="61">
        <f>COUNTIF($M$13:$M$74,M3)</f>
        <v>0</v>
      </c>
      <c r="N4" s="61">
        <f>COUNTIF($M$13:$M$74,N3)</f>
        <v>0</v>
      </c>
      <c r="O4" s="61">
        <f>COUNTIF($M$13:$M$74,O3)</f>
        <v>0</v>
      </c>
      <c r="P4" s="62">
        <f>COUNTIF($M$13:$M$74,P3)</f>
        <v>0</v>
      </c>
      <c r="Q4" s="61">
        <f>COUNTIF($M$13:$M$74,Q3)</f>
        <v>0</v>
      </c>
      <c r="R4" s="61">
        <f>L4-SUM(M4:Q4)</f>
        <v>62</v>
      </c>
      <c r="S4" s="63"/>
      <c r="T4" s="52"/>
      <c r="U4" s="52"/>
      <c r="V4" s="52"/>
      <c r="W4" s="52"/>
      <c r="X4" s="52"/>
      <c r="Y4" s="52"/>
      <c r="Z4" s="52"/>
      <c r="AA4" s="52"/>
      <c r="AB4" s="52"/>
      <c r="AC4" s="52"/>
    </row>
    <row r="5" ht="15.75" customHeight="1">
      <c r="A5" s="51"/>
      <c r="B5" s="54" t="s">
        <v>3</v>
      </c>
      <c r="C5" s="58" t="s">
        <v>1870</v>
      </c>
      <c r="D5" s="59"/>
      <c r="E5" s="52"/>
      <c r="F5" s="52"/>
      <c r="G5" s="52"/>
      <c r="H5" s="52"/>
      <c r="I5" s="52"/>
      <c r="J5" s="52"/>
      <c r="K5" s="12"/>
      <c r="L5" s="12"/>
      <c r="M5" s="64">
        <f t="shared" ref="M5:R5" si="24">M4/$L$4</f>
        <v>0</v>
      </c>
      <c r="N5" s="64">
        <f t="shared" si="24"/>
        <v>0</v>
      </c>
      <c r="O5" s="64">
        <f t="shared" si="24"/>
        <v>0</v>
      </c>
      <c r="P5" s="65">
        <f t="shared" si="24"/>
        <v>0</v>
      </c>
      <c r="Q5" s="64">
        <f t="shared" si="24"/>
        <v>0</v>
      </c>
      <c r="R5" s="64">
        <f t="shared" si="24"/>
        <v>1</v>
      </c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</row>
    <row r="6" ht="15.75" customHeight="1">
      <c r="A6" s="51"/>
      <c r="B6" s="54" t="s">
        <v>178</v>
      </c>
      <c r="C6" s="66" t="s">
        <v>33</v>
      </c>
      <c r="D6" s="59"/>
      <c r="E6" s="52"/>
      <c r="F6" s="52"/>
      <c r="G6" s="52"/>
      <c r="H6" s="52"/>
      <c r="I6" s="52"/>
      <c r="J6" s="52"/>
      <c r="K6" s="54" t="s">
        <v>179</v>
      </c>
      <c r="L6" s="60">
        <f>COUNTA($G$13:$G$74)</f>
        <v>62</v>
      </c>
      <c r="M6" s="61">
        <f>COUNTIF($R$13:$R$74,M3)</f>
        <v>0</v>
      </c>
      <c r="N6" s="61">
        <f>COUNTIF($R$13:$R$74,N3)</f>
        <v>0</v>
      </c>
      <c r="O6" s="61">
        <f>COUNTIF($R$13:$R$74,O3)</f>
        <v>0</v>
      </c>
      <c r="P6" s="62">
        <f>COUNTIF($R$13:$R$74,P3)</f>
        <v>0</v>
      </c>
      <c r="Q6" s="61">
        <f>COUNTIF($R$13:$R$74,Q3)</f>
        <v>0</v>
      </c>
      <c r="R6" s="61">
        <f>L6-SUM(M6:Q6)</f>
        <v>62</v>
      </c>
      <c r="S6" s="63"/>
      <c r="T6" s="52"/>
      <c r="U6" s="52"/>
      <c r="V6" s="52"/>
      <c r="W6" s="52"/>
      <c r="X6" s="52"/>
      <c r="Y6" s="52"/>
      <c r="Z6" s="52"/>
      <c r="AA6" s="52"/>
      <c r="AB6" s="52"/>
      <c r="AC6" s="52"/>
    </row>
    <row r="7" ht="15.75" customHeight="1">
      <c r="A7" s="51"/>
      <c r="B7" s="54" t="s">
        <v>17</v>
      </c>
      <c r="C7" s="67" t="s">
        <v>1871</v>
      </c>
      <c r="D7" s="68"/>
      <c r="E7" s="52"/>
      <c r="F7" s="52"/>
      <c r="G7" s="52"/>
      <c r="H7" s="52"/>
      <c r="I7" s="52"/>
      <c r="J7" s="52"/>
      <c r="K7" s="12"/>
      <c r="L7" s="12"/>
      <c r="M7" s="64">
        <f t="shared" ref="M7:R7" si="25">M6/$L$6</f>
        <v>0</v>
      </c>
      <c r="N7" s="64">
        <f t="shared" si="25"/>
        <v>0</v>
      </c>
      <c r="O7" s="64">
        <f t="shared" si="25"/>
        <v>0</v>
      </c>
      <c r="P7" s="65">
        <f t="shared" si="25"/>
        <v>0</v>
      </c>
      <c r="Q7" s="64">
        <f t="shared" si="25"/>
        <v>0</v>
      </c>
      <c r="R7" s="64">
        <f t="shared" si="25"/>
        <v>1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</row>
    <row r="8" ht="15.75" customHeight="1">
      <c r="A8" s="51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3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</row>
    <row r="9" ht="15.75" customHeight="1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3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</row>
    <row r="10" ht="15.75" customHeight="1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4" t="s">
        <v>176</v>
      </c>
      <c r="N10" s="4"/>
      <c r="O10" s="4"/>
      <c r="P10" s="4"/>
      <c r="Q10" s="5"/>
      <c r="R10" s="54" t="s">
        <v>179</v>
      </c>
      <c r="S10" s="4"/>
      <c r="T10" s="4"/>
      <c r="U10" s="4"/>
      <c r="V10" s="5"/>
      <c r="W10" s="52"/>
      <c r="X10" s="52"/>
      <c r="Y10" s="52"/>
      <c r="Z10" s="52"/>
      <c r="AA10" s="52"/>
      <c r="AB10" s="52"/>
      <c r="AC10" s="52"/>
    </row>
    <row r="11" ht="15.75" customHeight="1">
      <c r="A11" s="69"/>
      <c r="B11" s="40" t="s">
        <v>181</v>
      </c>
      <c r="C11" s="4"/>
      <c r="D11" s="5"/>
      <c r="E11" s="40"/>
      <c r="F11" s="70" t="s">
        <v>182</v>
      </c>
      <c r="G11" s="70" t="s">
        <v>183</v>
      </c>
      <c r="H11" s="70" t="s">
        <v>184</v>
      </c>
      <c r="I11" s="70" t="s">
        <v>185</v>
      </c>
      <c r="J11" s="70" t="s">
        <v>186</v>
      </c>
      <c r="K11" s="70" t="s">
        <v>187</v>
      </c>
      <c r="L11" s="70" t="s">
        <v>188</v>
      </c>
      <c r="M11" s="70" t="s">
        <v>189</v>
      </c>
      <c r="N11" s="70" t="s">
        <v>190</v>
      </c>
      <c r="O11" s="70" t="s">
        <v>191</v>
      </c>
      <c r="P11" s="71" t="s">
        <v>192</v>
      </c>
      <c r="Q11" s="70" t="s">
        <v>193</v>
      </c>
      <c r="R11" s="72" t="s">
        <v>189</v>
      </c>
      <c r="S11" s="72" t="s">
        <v>190</v>
      </c>
      <c r="T11" s="72" t="s">
        <v>191</v>
      </c>
      <c r="U11" s="72" t="s">
        <v>192</v>
      </c>
      <c r="V11" s="72" t="s">
        <v>193</v>
      </c>
      <c r="W11" s="70" t="s">
        <v>194</v>
      </c>
      <c r="X11" s="70" t="s">
        <v>195</v>
      </c>
      <c r="Y11" s="52"/>
      <c r="Z11" s="52"/>
      <c r="AA11" s="52"/>
      <c r="AB11" s="52"/>
      <c r="AC11" s="52"/>
    </row>
    <row r="12" ht="15.75" customHeight="1">
      <c r="A12" s="69" t="s">
        <v>196</v>
      </c>
      <c r="B12" s="70" t="s">
        <v>197</v>
      </c>
      <c r="C12" s="70" t="s">
        <v>198</v>
      </c>
      <c r="D12" s="70" t="s">
        <v>199</v>
      </c>
      <c r="E12" s="70" t="s">
        <v>200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52"/>
      <c r="Z12" s="52"/>
      <c r="AA12" s="52"/>
      <c r="AB12" s="52"/>
      <c r="AC12" s="52"/>
    </row>
    <row r="13" ht="48.600000000000001" customHeight="1">
      <c r="A13" s="73">
        <v>1</v>
      </c>
      <c r="B13" s="58" t="s">
        <v>80</v>
      </c>
      <c r="C13" s="58" t="s">
        <v>145</v>
      </c>
      <c r="D13" s="58" t="s">
        <v>500</v>
      </c>
      <c r="E13" s="58" t="s">
        <v>1872</v>
      </c>
      <c r="F13" s="58" t="s">
        <v>203</v>
      </c>
      <c r="G13" s="58" t="s">
        <v>204</v>
      </c>
      <c r="H13" s="58" t="s">
        <v>1873</v>
      </c>
      <c r="I13" s="58" t="s">
        <v>1874</v>
      </c>
      <c r="J13" s="58" t="s">
        <v>1875</v>
      </c>
      <c r="K13" s="74" t="s">
        <v>1876</v>
      </c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77" t="s">
        <v>1877</v>
      </c>
      <c r="X13" s="58" t="s">
        <v>1878</v>
      </c>
      <c r="Y13" s="52"/>
      <c r="Z13" s="52"/>
      <c r="AA13" s="52"/>
      <c r="AB13" s="52"/>
      <c r="AC13" s="52"/>
    </row>
    <row r="14" ht="47.450000000000003" customHeight="1">
      <c r="A14" s="73">
        <v>2</v>
      </c>
      <c r="B14" s="75"/>
      <c r="C14" s="78"/>
      <c r="D14" s="78"/>
      <c r="E14" s="58" t="s">
        <v>1879</v>
      </c>
      <c r="F14" s="58" t="s">
        <v>203</v>
      </c>
      <c r="G14" s="58" t="s">
        <v>211</v>
      </c>
      <c r="H14" s="58" t="s">
        <v>1880</v>
      </c>
      <c r="I14" s="58" t="s">
        <v>1881</v>
      </c>
      <c r="J14" s="58" t="s">
        <v>1882</v>
      </c>
      <c r="K14" s="74" t="s">
        <v>1883</v>
      </c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77" t="s">
        <v>1884</v>
      </c>
      <c r="X14" s="58" t="s">
        <v>1878</v>
      </c>
      <c r="Y14" s="52"/>
      <c r="Z14" s="52"/>
      <c r="AA14" s="52"/>
      <c r="AB14" s="52"/>
      <c r="AC14" s="52"/>
    </row>
    <row r="15" ht="60.950000000000003" customHeight="1">
      <c r="A15" s="73">
        <v>3</v>
      </c>
      <c r="B15" s="78"/>
      <c r="C15" s="58" t="s">
        <v>146</v>
      </c>
      <c r="D15" s="58" t="s">
        <v>513</v>
      </c>
      <c r="E15" s="58" t="s">
        <v>1885</v>
      </c>
      <c r="F15" s="58" t="s">
        <v>203</v>
      </c>
      <c r="G15" s="58" t="s">
        <v>217</v>
      </c>
      <c r="H15" s="58" t="s">
        <v>1886</v>
      </c>
      <c r="I15" s="58" t="s">
        <v>1887</v>
      </c>
      <c r="J15" s="58" t="s">
        <v>1888</v>
      </c>
      <c r="K15" s="74" t="s">
        <v>1889</v>
      </c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 t="s">
        <v>1890</v>
      </c>
      <c r="Y15" s="52"/>
      <c r="Z15" s="52"/>
      <c r="AA15" s="52"/>
      <c r="AB15" s="52"/>
      <c r="AC15" s="52"/>
    </row>
    <row r="16" ht="87.950000000000003" customHeight="1">
      <c r="A16" s="73">
        <v>4</v>
      </c>
      <c r="B16" s="58" t="s">
        <v>147</v>
      </c>
      <c r="C16" s="58" t="s">
        <v>148</v>
      </c>
      <c r="D16" s="58" t="s">
        <v>538</v>
      </c>
      <c r="E16" s="58" t="s">
        <v>1891</v>
      </c>
      <c r="F16" s="58" t="s">
        <v>203</v>
      </c>
      <c r="G16" s="58" t="s">
        <v>226</v>
      </c>
      <c r="H16" s="58" t="s">
        <v>1892</v>
      </c>
      <c r="I16" s="58" t="s">
        <v>1893</v>
      </c>
      <c r="J16" s="58" t="s">
        <v>1894</v>
      </c>
      <c r="K16" s="74" t="s">
        <v>1895</v>
      </c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 t="s">
        <v>1878</v>
      </c>
      <c r="Y16" s="52"/>
      <c r="Z16" s="52"/>
      <c r="AA16" s="52"/>
      <c r="AB16" s="52"/>
      <c r="AC16" s="52"/>
    </row>
    <row r="17" ht="128.44999999999999" customHeight="1">
      <c r="A17" s="73">
        <v>5</v>
      </c>
      <c r="B17" s="75"/>
      <c r="C17" s="78"/>
      <c r="D17" s="58" t="s">
        <v>138</v>
      </c>
      <c r="E17" s="58" t="s">
        <v>1896</v>
      </c>
      <c r="F17" s="58" t="s">
        <v>203</v>
      </c>
      <c r="G17" s="58" t="s">
        <v>232</v>
      </c>
      <c r="H17" s="58" t="s">
        <v>1897</v>
      </c>
      <c r="I17" s="58" t="s">
        <v>1898</v>
      </c>
      <c r="J17" s="58" t="s">
        <v>1899</v>
      </c>
      <c r="K17" s="74" t="s">
        <v>1900</v>
      </c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77" t="s">
        <v>1901</v>
      </c>
      <c r="X17" s="58" t="s">
        <v>1878</v>
      </c>
      <c r="Y17" s="52"/>
      <c r="Z17" s="52"/>
      <c r="AA17" s="52"/>
      <c r="AB17" s="52"/>
      <c r="AC17" s="52"/>
    </row>
    <row r="18" ht="75.599999999999994" customHeight="1">
      <c r="A18" s="73">
        <v>6</v>
      </c>
      <c r="B18" s="78"/>
      <c r="C18" s="58" t="s">
        <v>149</v>
      </c>
      <c r="D18" s="58" t="s">
        <v>268</v>
      </c>
      <c r="E18" s="58" t="s">
        <v>1902</v>
      </c>
      <c r="F18" s="58" t="s">
        <v>210</v>
      </c>
      <c r="G18" s="58" t="s">
        <v>237</v>
      </c>
      <c r="H18" s="58" t="s">
        <v>1903</v>
      </c>
      <c r="I18" s="58" t="s">
        <v>1904</v>
      </c>
      <c r="J18" s="58" t="s">
        <v>1905</v>
      </c>
      <c r="K18" s="74" t="s">
        <v>1906</v>
      </c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77" t="s">
        <v>1907</v>
      </c>
      <c r="X18" s="58" t="s">
        <v>1878</v>
      </c>
      <c r="Y18" s="52"/>
      <c r="Z18" s="52"/>
      <c r="AA18" s="52"/>
      <c r="AB18" s="52"/>
      <c r="AC18" s="52"/>
    </row>
    <row r="19" ht="101.45" customHeight="1">
      <c r="A19" s="73">
        <v>7</v>
      </c>
      <c r="B19" s="58" t="s">
        <v>150</v>
      </c>
      <c r="C19" s="58" t="s">
        <v>151</v>
      </c>
      <c r="D19" s="58" t="s">
        <v>111</v>
      </c>
      <c r="E19" s="58" t="s">
        <v>1908</v>
      </c>
      <c r="F19" s="58" t="s">
        <v>203</v>
      </c>
      <c r="G19" s="58" t="s">
        <v>242</v>
      </c>
      <c r="H19" s="58" t="s">
        <v>1909</v>
      </c>
      <c r="I19" s="58" t="s">
        <v>1910</v>
      </c>
      <c r="J19" s="58" t="s">
        <v>1911</v>
      </c>
      <c r="K19" s="74" t="s">
        <v>1912</v>
      </c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77" t="s">
        <v>1913</v>
      </c>
      <c r="X19" s="58" t="s">
        <v>1890</v>
      </c>
      <c r="Y19" s="52"/>
      <c r="Z19" s="52"/>
      <c r="AA19" s="52"/>
      <c r="AB19" s="52"/>
      <c r="AC19" s="52"/>
    </row>
    <row r="20" ht="62.100000000000001" customHeight="1">
      <c r="A20" s="73">
        <v>8</v>
      </c>
      <c r="B20" s="78"/>
      <c r="C20" s="78"/>
      <c r="D20" s="58" t="s">
        <v>1914</v>
      </c>
      <c r="E20" s="58" t="s">
        <v>1902</v>
      </c>
      <c r="F20" s="58" t="s">
        <v>210</v>
      </c>
      <c r="G20" s="58" t="s">
        <v>248</v>
      </c>
      <c r="H20" s="58" t="s">
        <v>1915</v>
      </c>
      <c r="I20" s="58" t="s">
        <v>1916</v>
      </c>
      <c r="J20" s="58" t="s">
        <v>1917</v>
      </c>
      <c r="K20" s="76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77" t="s">
        <v>1918</v>
      </c>
      <c r="X20" s="58" t="s">
        <v>1890</v>
      </c>
      <c r="Y20" s="52"/>
      <c r="Z20" s="52"/>
      <c r="AA20" s="52"/>
      <c r="AB20" s="52"/>
      <c r="AC20" s="52"/>
    </row>
    <row r="21" ht="62.100000000000001" customHeight="1">
      <c r="A21" s="73">
        <v>9</v>
      </c>
      <c r="B21" s="58" t="s">
        <v>152</v>
      </c>
      <c r="C21" s="58" t="s">
        <v>153</v>
      </c>
      <c r="D21" s="58" t="s">
        <v>538</v>
      </c>
      <c r="E21" s="58" t="s">
        <v>1919</v>
      </c>
      <c r="F21" s="58" t="s">
        <v>203</v>
      </c>
      <c r="G21" s="58" t="s">
        <v>254</v>
      </c>
      <c r="H21" s="58" t="s">
        <v>1920</v>
      </c>
      <c r="I21" s="58" t="s">
        <v>1887</v>
      </c>
      <c r="J21" s="58" t="s">
        <v>1921</v>
      </c>
      <c r="K21" s="74" t="s">
        <v>1922</v>
      </c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 t="s">
        <v>1923</v>
      </c>
      <c r="Y21" s="52"/>
      <c r="Z21" s="52"/>
      <c r="AA21" s="52"/>
      <c r="AB21" s="52"/>
      <c r="AC21" s="52"/>
    </row>
    <row r="22" ht="60.950000000000003" customHeight="1">
      <c r="A22" s="73">
        <v>10</v>
      </c>
      <c r="B22" s="75"/>
      <c r="C22" s="78"/>
      <c r="D22" s="58" t="s">
        <v>138</v>
      </c>
      <c r="E22" s="58" t="s">
        <v>1924</v>
      </c>
      <c r="F22" s="58" t="s">
        <v>203</v>
      </c>
      <c r="G22" s="58" t="s">
        <v>259</v>
      </c>
      <c r="H22" s="58" t="s">
        <v>1925</v>
      </c>
      <c r="I22" s="58" t="s">
        <v>1881</v>
      </c>
      <c r="J22" s="58" t="s">
        <v>1921</v>
      </c>
      <c r="K22" s="74" t="s">
        <v>1926</v>
      </c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 t="s">
        <v>1923</v>
      </c>
      <c r="Y22" s="52"/>
      <c r="Z22" s="52"/>
      <c r="AA22" s="52"/>
      <c r="AB22" s="52"/>
      <c r="AC22" s="52"/>
    </row>
    <row r="23" ht="75.599999999999994" customHeight="1">
      <c r="A23" s="73">
        <v>11</v>
      </c>
      <c r="B23" s="75"/>
      <c r="C23" s="58" t="s">
        <v>154</v>
      </c>
      <c r="D23" s="58" t="s">
        <v>369</v>
      </c>
      <c r="E23" s="58" t="s">
        <v>1927</v>
      </c>
      <c r="F23" s="58" t="s">
        <v>203</v>
      </c>
      <c r="G23" s="58" t="s">
        <v>264</v>
      </c>
      <c r="H23" s="58" t="s">
        <v>1928</v>
      </c>
      <c r="I23" s="58" t="s">
        <v>1887</v>
      </c>
      <c r="J23" s="58" t="s">
        <v>1929</v>
      </c>
      <c r="K23" s="74" t="s">
        <v>1930</v>
      </c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 t="s">
        <v>1923</v>
      </c>
      <c r="Y23" s="52"/>
      <c r="Z23" s="52"/>
      <c r="AA23" s="52"/>
      <c r="AB23" s="52"/>
      <c r="AC23" s="52"/>
    </row>
    <row r="24" ht="74.450000000000003" customHeight="1">
      <c r="A24" s="73">
        <v>12</v>
      </c>
      <c r="B24" s="75"/>
      <c r="C24" s="75"/>
      <c r="D24" s="75"/>
      <c r="E24" s="58" t="s">
        <v>1931</v>
      </c>
      <c r="F24" s="58" t="s">
        <v>203</v>
      </c>
      <c r="G24" s="58" t="s">
        <v>270</v>
      </c>
      <c r="H24" s="58" t="s">
        <v>1932</v>
      </c>
      <c r="I24" s="58" t="s">
        <v>1933</v>
      </c>
      <c r="J24" s="58" t="s">
        <v>1934</v>
      </c>
      <c r="K24" s="74" t="s">
        <v>1935</v>
      </c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77" t="s">
        <v>1936</v>
      </c>
      <c r="X24" s="58" t="s">
        <v>1937</v>
      </c>
      <c r="Y24" s="52"/>
      <c r="Z24" s="52"/>
      <c r="AA24" s="52"/>
      <c r="AB24" s="52"/>
      <c r="AC24" s="52"/>
    </row>
    <row r="25" ht="74.450000000000003" customHeight="1">
      <c r="A25" s="73">
        <v>13</v>
      </c>
      <c r="B25" s="75"/>
      <c r="C25" s="75"/>
      <c r="D25" s="75"/>
      <c r="E25" s="58" t="s">
        <v>1938</v>
      </c>
      <c r="F25" s="58" t="s">
        <v>203</v>
      </c>
      <c r="G25" s="58" t="s">
        <v>275</v>
      </c>
      <c r="H25" s="58" t="s">
        <v>1939</v>
      </c>
      <c r="I25" s="58" t="s">
        <v>1933</v>
      </c>
      <c r="J25" s="58" t="s">
        <v>1940</v>
      </c>
      <c r="K25" s="74" t="s">
        <v>1941</v>
      </c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 t="s">
        <v>1942</v>
      </c>
      <c r="Y25" s="52"/>
      <c r="Z25" s="52"/>
      <c r="AA25" s="52"/>
      <c r="AB25" s="52"/>
      <c r="AC25" s="52"/>
    </row>
    <row r="26" ht="62.100000000000001" customHeight="1">
      <c r="A26" s="73">
        <v>14</v>
      </c>
      <c r="B26" s="75"/>
      <c r="C26" s="75"/>
      <c r="D26" s="75"/>
      <c r="E26" s="58" t="s">
        <v>1943</v>
      </c>
      <c r="F26" s="58" t="s">
        <v>210</v>
      </c>
      <c r="G26" s="58" t="s">
        <v>281</v>
      </c>
      <c r="H26" s="58" t="s">
        <v>1944</v>
      </c>
      <c r="I26" s="58" t="s">
        <v>1945</v>
      </c>
      <c r="J26" s="58" t="s">
        <v>1946</v>
      </c>
      <c r="K26" s="76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77" t="s">
        <v>1947</v>
      </c>
      <c r="X26" s="58" t="s">
        <v>1890</v>
      </c>
      <c r="Y26" s="52"/>
      <c r="Z26" s="52"/>
      <c r="AA26" s="52"/>
      <c r="AB26" s="52"/>
      <c r="AC26" s="52"/>
    </row>
    <row r="27" ht="60.950000000000003" customHeight="1">
      <c r="A27" s="73">
        <v>15</v>
      </c>
      <c r="B27" s="75"/>
      <c r="C27" s="75"/>
      <c r="D27" s="75"/>
      <c r="E27" s="58" t="s">
        <v>112</v>
      </c>
      <c r="F27" s="58" t="s">
        <v>210</v>
      </c>
      <c r="G27" s="58" t="s">
        <v>286</v>
      </c>
      <c r="H27" s="58" t="s">
        <v>1948</v>
      </c>
      <c r="I27" s="58" t="s">
        <v>1887</v>
      </c>
      <c r="J27" s="58" t="s">
        <v>1949</v>
      </c>
      <c r="K27" s="74" t="s">
        <v>1950</v>
      </c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 t="s">
        <v>1923</v>
      </c>
      <c r="Y27" s="52"/>
      <c r="Z27" s="52"/>
      <c r="AA27" s="52"/>
      <c r="AB27" s="52"/>
      <c r="AC27" s="52"/>
    </row>
    <row r="28" ht="60.950000000000003" customHeight="1">
      <c r="A28" s="73">
        <v>16</v>
      </c>
      <c r="B28" s="75"/>
      <c r="C28" s="75"/>
      <c r="D28" s="75"/>
      <c r="E28" s="58" t="s">
        <v>538</v>
      </c>
      <c r="F28" s="58" t="s">
        <v>210</v>
      </c>
      <c r="G28" s="58" t="s">
        <v>291</v>
      </c>
      <c r="H28" s="58" t="s">
        <v>1951</v>
      </c>
      <c r="I28" s="58" t="s">
        <v>1887</v>
      </c>
      <c r="J28" s="58" t="s">
        <v>1952</v>
      </c>
      <c r="K28" s="74" t="s">
        <v>1953</v>
      </c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 t="s">
        <v>1923</v>
      </c>
      <c r="Y28" s="52"/>
      <c r="Z28" s="52"/>
      <c r="AA28" s="52"/>
      <c r="AB28" s="52"/>
      <c r="AC28" s="52"/>
    </row>
    <row r="29" ht="75.599999999999994" customHeight="1">
      <c r="A29" s="73">
        <v>17</v>
      </c>
      <c r="B29" s="75"/>
      <c r="C29" s="75"/>
      <c r="D29" s="78"/>
      <c r="E29" s="58" t="s">
        <v>140</v>
      </c>
      <c r="F29" s="58" t="s">
        <v>203</v>
      </c>
      <c r="G29" s="58" t="s">
        <v>297</v>
      </c>
      <c r="H29" s="58" t="s">
        <v>1954</v>
      </c>
      <c r="I29" s="58" t="s">
        <v>1881</v>
      </c>
      <c r="J29" s="58" t="s">
        <v>1955</v>
      </c>
      <c r="K29" s="74" t="s">
        <v>1956</v>
      </c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 t="s">
        <v>1923</v>
      </c>
      <c r="Y29" s="52"/>
      <c r="Z29" s="52"/>
      <c r="AA29" s="52"/>
      <c r="AB29" s="52"/>
      <c r="AC29" s="52"/>
    </row>
    <row r="30" ht="60.950000000000003" customHeight="1">
      <c r="A30" s="73">
        <v>18</v>
      </c>
      <c r="B30" s="75"/>
      <c r="C30" s="75"/>
      <c r="D30" s="58" t="s">
        <v>393</v>
      </c>
      <c r="E30" s="58" t="s">
        <v>1957</v>
      </c>
      <c r="F30" s="58" t="s">
        <v>210</v>
      </c>
      <c r="G30" s="58" t="s">
        <v>302</v>
      </c>
      <c r="H30" s="58" t="s">
        <v>1958</v>
      </c>
      <c r="I30" s="58" t="s">
        <v>1887</v>
      </c>
      <c r="J30" s="58" t="s">
        <v>1959</v>
      </c>
      <c r="K30" s="74" t="s">
        <v>1960</v>
      </c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77" t="s">
        <v>1961</v>
      </c>
      <c r="X30" s="58" t="s">
        <v>1923</v>
      </c>
      <c r="Y30" s="52"/>
      <c r="Z30" s="52"/>
      <c r="AA30" s="52"/>
      <c r="AB30" s="52"/>
      <c r="AC30" s="52"/>
    </row>
    <row r="31" ht="62.100000000000001" customHeight="1">
      <c r="A31" s="73">
        <v>19</v>
      </c>
      <c r="B31" s="75"/>
      <c r="C31" s="75"/>
      <c r="D31" s="75"/>
      <c r="E31" s="58" t="s">
        <v>1962</v>
      </c>
      <c r="F31" s="58" t="s">
        <v>210</v>
      </c>
      <c r="G31" s="58" t="s">
        <v>308</v>
      </c>
      <c r="H31" s="58" t="s">
        <v>1963</v>
      </c>
      <c r="I31" s="58" t="s">
        <v>1887</v>
      </c>
      <c r="J31" s="58" t="s">
        <v>1964</v>
      </c>
      <c r="K31" s="74" t="s">
        <v>1960</v>
      </c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77" t="s">
        <v>1961</v>
      </c>
      <c r="X31" s="58" t="s">
        <v>1923</v>
      </c>
      <c r="Y31" s="52"/>
      <c r="Z31" s="52"/>
      <c r="AA31" s="52"/>
      <c r="AB31" s="52"/>
      <c r="AC31" s="52"/>
    </row>
    <row r="32" ht="62.100000000000001" customHeight="1">
      <c r="A32" s="73">
        <v>20</v>
      </c>
      <c r="B32" s="75"/>
      <c r="C32" s="75"/>
      <c r="D32" s="75"/>
      <c r="E32" s="58" t="s">
        <v>1965</v>
      </c>
      <c r="F32" s="58" t="s">
        <v>210</v>
      </c>
      <c r="G32" s="58" t="s">
        <v>314</v>
      </c>
      <c r="H32" s="58" t="s">
        <v>1966</v>
      </c>
      <c r="I32" s="58" t="s">
        <v>1887</v>
      </c>
      <c r="J32" s="58" t="s">
        <v>1967</v>
      </c>
      <c r="K32" s="74" t="s">
        <v>1960</v>
      </c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77" t="s">
        <v>1961</v>
      </c>
      <c r="X32" s="58" t="s">
        <v>1923</v>
      </c>
      <c r="Y32" s="52"/>
      <c r="Z32" s="52"/>
      <c r="AA32" s="52"/>
      <c r="AB32" s="52"/>
      <c r="AC32" s="52"/>
    </row>
    <row r="33" ht="62.100000000000001" customHeight="1">
      <c r="A33" s="73">
        <v>21</v>
      </c>
      <c r="B33" s="75"/>
      <c r="C33" s="75"/>
      <c r="D33" s="75"/>
      <c r="E33" s="58" t="s">
        <v>1968</v>
      </c>
      <c r="F33" s="58" t="s">
        <v>203</v>
      </c>
      <c r="G33" s="58" t="s">
        <v>318</v>
      </c>
      <c r="H33" s="58" t="s">
        <v>1969</v>
      </c>
      <c r="I33" s="58" t="s">
        <v>1887</v>
      </c>
      <c r="J33" s="58" t="s">
        <v>1970</v>
      </c>
      <c r="K33" s="76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77" t="s">
        <v>1971</v>
      </c>
      <c r="X33" s="58" t="s">
        <v>1923</v>
      </c>
      <c r="Y33" s="52"/>
      <c r="Z33" s="52"/>
      <c r="AA33" s="52"/>
      <c r="AB33" s="52"/>
      <c r="AC33" s="52"/>
    </row>
    <row r="34" ht="62.100000000000001" customHeight="1">
      <c r="A34" s="73">
        <v>22</v>
      </c>
      <c r="B34" s="75"/>
      <c r="C34" s="75"/>
      <c r="D34" s="75"/>
      <c r="E34" s="58" t="s">
        <v>1972</v>
      </c>
      <c r="F34" s="58" t="s">
        <v>210</v>
      </c>
      <c r="G34" s="58" t="s">
        <v>323</v>
      </c>
      <c r="H34" s="58" t="s">
        <v>1973</v>
      </c>
      <c r="I34" s="58" t="s">
        <v>1916</v>
      </c>
      <c r="J34" s="58" t="s">
        <v>1974</v>
      </c>
      <c r="K34" s="76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77" t="s">
        <v>1971</v>
      </c>
      <c r="X34" s="58" t="s">
        <v>1923</v>
      </c>
      <c r="Y34" s="52"/>
      <c r="Z34" s="52"/>
      <c r="AA34" s="52"/>
      <c r="AB34" s="52"/>
      <c r="AC34" s="52"/>
    </row>
    <row r="35" ht="62.100000000000001" customHeight="1">
      <c r="A35" s="73">
        <v>23</v>
      </c>
      <c r="B35" s="75"/>
      <c r="C35" s="75"/>
      <c r="D35" s="75"/>
      <c r="E35" s="58" t="s">
        <v>1975</v>
      </c>
      <c r="F35" s="58" t="s">
        <v>210</v>
      </c>
      <c r="G35" s="58" t="s">
        <v>328</v>
      </c>
      <c r="H35" s="58" t="s">
        <v>1976</v>
      </c>
      <c r="I35" s="58" t="s">
        <v>1887</v>
      </c>
      <c r="J35" s="58" t="s">
        <v>1977</v>
      </c>
      <c r="K35" s="76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77" t="s">
        <v>1971</v>
      </c>
      <c r="X35" s="58" t="s">
        <v>1923</v>
      </c>
      <c r="Y35" s="52"/>
      <c r="Z35" s="52"/>
      <c r="AA35" s="52"/>
      <c r="AB35" s="52"/>
      <c r="AC35" s="52"/>
    </row>
    <row r="36" ht="62.100000000000001" customHeight="1">
      <c r="A36" s="73">
        <v>24</v>
      </c>
      <c r="B36" s="75"/>
      <c r="C36" s="78"/>
      <c r="D36" s="78"/>
      <c r="E36" s="58" t="s">
        <v>1978</v>
      </c>
      <c r="F36" s="58" t="s">
        <v>225</v>
      </c>
      <c r="G36" s="58" t="s">
        <v>332</v>
      </c>
      <c r="H36" s="58" t="s">
        <v>1979</v>
      </c>
      <c r="I36" s="58" t="s">
        <v>1887</v>
      </c>
      <c r="J36" s="58" t="s">
        <v>1980</v>
      </c>
      <c r="K36" s="74" t="s">
        <v>1960</v>
      </c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 t="s">
        <v>1923</v>
      </c>
      <c r="Y36" s="52"/>
      <c r="Z36" s="52"/>
      <c r="AA36" s="52"/>
      <c r="AB36" s="52"/>
      <c r="AC36" s="52"/>
    </row>
    <row r="37" ht="62.100000000000001" customHeight="1">
      <c r="A37" s="73">
        <v>25</v>
      </c>
      <c r="B37" s="75"/>
      <c r="C37" s="58" t="s">
        <v>155</v>
      </c>
      <c r="D37" s="58" t="s">
        <v>1981</v>
      </c>
      <c r="E37" s="58" t="s">
        <v>1982</v>
      </c>
      <c r="F37" s="58" t="s">
        <v>203</v>
      </c>
      <c r="G37" s="58" t="s">
        <v>335</v>
      </c>
      <c r="H37" s="58" t="s">
        <v>1983</v>
      </c>
      <c r="I37" s="58" t="s">
        <v>1916</v>
      </c>
      <c r="J37" s="58" t="s">
        <v>1984</v>
      </c>
      <c r="K37" s="74" t="s">
        <v>1985</v>
      </c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 t="s">
        <v>1923</v>
      </c>
      <c r="Y37" s="52"/>
      <c r="Z37" s="52"/>
      <c r="AA37" s="52"/>
      <c r="AB37" s="52"/>
      <c r="AC37" s="52"/>
    </row>
    <row r="38" ht="62.100000000000001" customHeight="1">
      <c r="A38" s="73">
        <v>26</v>
      </c>
      <c r="B38" s="75"/>
      <c r="C38" s="75"/>
      <c r="D38" s="78"/>
      <c r="E38" s="58" t="s">
        <v>1986</v>
      </c>
      <c r="F38" s="58" t="s">
        <v>210</v>
      </c>
      <c r="G38" s="58" t="s">
        <v>339</v>
      </c>
      <c r="H38" s="58" t="s">
        <v>1987</v>
      </c>
      <c r="I38" s="58" t="s">
        <v>1988</v>
      </c>
      <c r="J38" s="58" t="s">
        <v>1989</v>
      </c>
      <c r="K38" s="76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77" t="s">
        <v>1990</v>
      </c>
      <c r="X38" s="58" t="s">
        <v>1923</v>
      </c>
      <c r="Y38" s="52"/>
      <c r="Z38" s="52"/>
      <c r="AA38" s="52"/>
      <c r="AB38" s="52"/>
      <c r="AC38" s="52"/>
    </row>
    <row r="39" ht="62.100000000000001" customHeight="1">
      <c r="A39" s="73">
        <v>27</v>
      </c>
      <c r="B39" s="75"/>
      <c r="C39" s="75"/>
      <c r="D39" s="58" t="s">
        <v>1991</v>
      </c>
      <c r="E39" s="58" t="s">
        <v>1992</v>
      </c>
      <c r="F39" s="58" t="s">
        <v>203</v>
      </c>
      <c r="G39" s="58" t="s">
        <v>344</v>
      </c>
      <c r="H39" s="58" t="s">
        <v>1993</v>
      </c>
      <c r="I39" s="58" t="s">
        <v>1916</v>
      </c>
      <c r="J39" s="58" t="s">
        <v>1994</v>
      </c>
      <c r="K39" s="76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77" t="s">
        <v>1995</v>
      </c>
      <c r="X39" s="58" t="s">
        <v>1923</v>
      </c>
      <c r="Y39" s="52"/>
      <c r="Z39" s="52"/>
      <c r="AA39" s="52"/>
      <c r="AB39" s="52"/>
      <c r="AC39" s="52"/>
    </row>
    <row r="40" ht="62.100000000000001" customHeight="1">
      <c r="A40" s="73">
        <v>28</v>
      </c>
      <c r="B40" s="78"/>
      <c r="C40" s="78"/>
      <c r="D40" s="78"/>
      <c r="E40" s="58" t="s">
        <v>1996</v>
      </c>
      <c r="F40" s="58" t="s">
        <v>203</v>
      </c>
      <c r="G40" s="58" t="s">
        <v>349</v>
      </c>
      <c r="H40" s="58" t="s">
        <v>1997</v>
      </c>
      <c r="I40" s="58" t="s">
        <v>1998</v>
      </c>
      <c r="J40" s="58" t="s">
        <v>1999</v>
      </c>
      <c r="K40" s="74" t="s">
        <v>2000</v>
      </c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77" t="s">
        <v>2001</v>
      </c>
      <c r="X40" s="58" t="s">
        <v>1923</v>
      </c>
      <c r="Y40" s="52"/>
      <c r="Z40" s="52"/>
      <c r="AA40" s="52"/>
      <c r="AB40" s="52"/>
      <c r="AC40" s="52"/>
    </row>
    <row r="41" ht="60.950000000000003" customHeight="1">
      <c r="A41" s="73">
        <v>29</v>
      </c>
      <c r="B41" s="58" t="s">
        <v>156</v>
      </c>
      <c r="C41" s="58" t="s">
        <v>156</v>
      </c>
      <c r="D41" s="58" t="s">
        <v>369</v>
      </c>
      <c r="E41" s="58" t="s">
        <v>2002</v>
      </c>
      <c r="F41" s="58" t="s">
        <v>203</v>
      </c>
      <c r="G41" s="58" t="s">
        <v>354</v>
      </c>
      <c r="H41" s="58" t="s">
        <v>2003</v>
      </c>
      <c r="I41" s="58" t="s">
        <v>1887</v>
      </c>
      <c r="J41" s="58" t="s">
        <v>2004</v>
      </c>
      <c r="K41" s="74" t="s">
        <v>2005</v>
      </c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 t="s">
        <v>2006</v>
      </c>
      <c r="Y41" s="52"/>
      <c r="Z41" s="52"/>
      <c r="AA41" s="52"/>
      <c r="AB41" s="52"/>
      <c r="AC41" s="52"/>
    </row>
    <row r="42" ht="74.450000000000003" customHeight="1">
      <c r="A42" s="73">
        <v>30</v>
      </c>
      <c r="B42" s="75"/>
      <c r="C42" s="75"/>
      <c r="D42" s="75"/>
      <c r="E42" s="58" t="s">
        <v>2007</v>
      </c>
      <c r="F42" s="58" t="s">
        <v>203</v>
      </c>
      <c r="G42" s="58" t="s">
        <v>360</v>
      </c>
      <c r="H42" s="58" t="s">
        <v>2008</v>
      </c>
      <c r="I42" s="58" t="s">
        <v>2009</v>
      </c>
      <c r="J42" s="58" t="s">
        <v>2010</v>
      </c>
      <c r="K42" s="74" t="s">
        <v>2011</v>
      </c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 t="s">
        <v>2006</v>
      </c>
      <c r="Y42" s="52"/>
      <c r="Z42" s="52"/>
      <c r="AA42" s="52"/>
      <c r="AB42" s="52"/>
      <c r="AC42" s="52"/>
    </row>
    <row r="43" ht="114.95" customHeight="1">
      <c r="A43" s="73">
        <v>31</v>
      </c>
      <c r="B43" s="75"/>
      <c r="C43" s="75"/>
      <c r="D43" s="75"/>
      <c r="E43" s="58" t="s">
        <v>2012</v>
      </c>
      <c r="F43" s="58" t="s">
        <v>210</v>
      </c>
      <c r="G43" s="58" t="s">
        <v>365</v>
      </c>
      <c r="H43" s="58" t="s">
        <v>2013</v>
      </c>
      <c r="I43" s="58" t="s">
        <v>2014</v>
      </c>
      <c r="J43" s="58" t="s">
        <v>2015</v>
      </c>
      <c r="K43" s="76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77" t="s">
        <v>2016</v>
      </c>
      <c r="X43" s="58" t="s">
        <v>2006</v>
      </c>
      <c r="Y43" s="52"/>
      <c r="Z43" s="52"/>
      <c r="AA43" s="52"/>
      <c r="AB43" s="52"/>
      <c r="AC43" s="52"/>
    </row>
    <row r="44" ht="74.450000000000003" customHeight="1">
      <c r="A44" s="73">
        <v>32</v>
      </c>
      <c r="B44" s="75"/>
      <c r="C44" s="75"/>
      <c r="D44" s="75"/>
      <c r="E44" s="58" t="s">
        <v>2017</v>
      </c>
      <c r="F44" s="58" t="s">
        <v>203</v>
      </c>
      <c r="G44" s="58" t="s">
        <v>371</v>
      </c>
      <c r="H44" s="58" t="s">
        <v>2018</v>
      </c>
      <c r="I44" s="58" t="s">
        <v>2019</v>
      </c>
      <c r="J44" s="58" t="s">
        <v>2020</v>
      </c>
      <c r="K44" s="74" t="s">
        <v>2021</v>
      </c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 t="s">
        <v>2006</v>
      </c>
      <c r="Y44" s="52"/>
      <c r="Z44" s="52"/>
      <c r="AA44" s="52"/>
      <c r="AB44" s="52"/>
      <c r="AC44" s="52"/>
    </row>
    <row r="45" ht="47.450000000000003" customHeight="1">
      <c r="A45" s="73">
        <v>33</v>
      </c>
      <c r="B45" s="75"/>
      <c r="C45" s="75"/>
      <c r="D45" s="78"/>
      <c r="E45" s="58" t="s">
        <v>2022</v>
      </c>
      <c r="F45" s="58" t="s">
        <v>210</v>
      </c>
      <c r="G45" s="58" t="s">
        <v>377</v>
      </c>
      <c r="H45" s="58" t="s">
        <v>2023</v>
      </c>
      <c r="I45" s="58" t="s">
        <v>1881</v>
      </c>
      <c r="J45" s="58" t="s">
        <v>2024</v>
      </c>
      <c r="K45" s="74" t="s">
        <v>2025</v>
      </c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 t="s">
        <v>2006</v>
      </c>
      <c r="Y45" s="52"/>
      <c r="Z45" s="52"/>
      <c r="AA45" s="52"/>
      <c r="AB45" s="52"/>
      <c r="AC45" s="52"/>
    </row>
    <row r="46" ht="74.450000000000003" customHeight="1">
      <c r="A46" s="73">
        <v>34</v>
      </c>
      <c r="B46" s="75"/>
      <c r="C46" s="75"/>
      <c r="D46" s="58" t="s">
        <v>393</v>
      </c>
      <c r="E46" s="58" t="s">
        <v>2026</v>
      </c>
      <c r="F46" s="58" t="s">
        <v>203</v>
      </c>
      <c r="G46" s="58" t="s">
        <v>383</v>
      </c>
      <c r="H46" s="58" t="s">
        <v>2027</v>
      </c>
      <c r="I46" s="58" t="s">
        <v>2028</v>
      </c>
      <c r="J46" s="58" t="s">
        <v>2029</v>
      </c>
      <c r="K46" s="74" t="s">
        <v>2030</v>
      </c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77" t="s">
        <v>2031</v>
      </c>
      <c r="X46" s="58" t="s">
        <v>2006</v>
      </c>
      <c r="Y46" s="52"/>
      <c r="Z46" s="52"/>
      <c r="AA46" s="52"/>
      <c r="AB46" s="52"/>
      <c r="AC46" s="52"/>
    </row>
    <row r="47" ht="60.950000000000003" customHeight="1">
      <c r="A47" s="73">
        <v>35</v>
      </c>
      <c r="B47" s="75"/>
      <c r="C47" s="75"/>
      <c r="D47" s="78"/>
      <c r="E47" s="58" t="s">
        <v>2032</v>
      </c>
      <c r="F47" s="58" t="s">
        <v>225</v>
      </c>
      <c r="G47" s="58" t="s">
        <v>388</v>
      </c>
      <c r="H47" s="58" t="s">
        <v>2033</v>
      </c>
      <c r="I47" s="58" t="s">
        <v>1887</v>
      </c>
      <c r="J47" s="58" t="s">
        <v>2034</v>
      </c>
      <c r="K47" s="74" t="s">
        <v>2035</v>
      </c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 t="s">
        <v>2006</v>
      </c>
      <c r="Y47" s="52"/>
      <c r="Z47" s="52"/>
      <c r="AA47" s="52"/>
      <c r="AB47" s="52"/>
      <c r="AC47" s="52"/>
    </row>
    <row r="48" ht="62.100000000000001" customHeight="1">
      <c r="A48" s="73">
        <v>36</v>
      </c>
      <c r="B48" s="75"/>
      <c r="C48" s="75"/>
      <c r="D48" s="58" t="s">
        <v>2036</v>
      </c>
      <c r="E48" s="58" t="s">
        <v>2037</v>
      </c>
      <c r="F48" s="58" t="s">
        <v>210</v>
      </c>
      <c r="G48" s="58" t="s">
        <v>395</v>
      </c>
      <c r="H48" s="58" t="s">
        <v>2038</v>
      </c>
      <c r="I48" s="58" t="s">
        <v>2019</v>
      </c>
      <c r="J48" s="58" t="s">
        <v>2029</v>
      </c>
      <c r="K48" s="76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77" t="s">
        <v>2039</v>
      </c>
      <c r="X48" s="58" t="s">
        <v>2006</v>
      </c>
      <c r="Y48" s="52"/>
      <c r="Z48" s="52"/>
      <c r="AA48" s="52"/>
      <c r="AB48" s="52"/>
      <c r="AC48" s="52"/>
    </row>
    <row r="49" ht="62.100000000000001" customHeight="1">
      <c r="A49" s="73">
        <v>37</v>
      </c>
      <c r="B49" s="78"/>
      <c r="C49" s="78"/>
      <c r="D49" s="58" t="s">
        <v>2040</v>
      </c>
      <c r="E49" s="58" t="s">
        <v>2041</v>
      </c>
      <c r="F49" s="58" t="s">
        <v>203</v>
      </c>
      <c r="G49" s="58" t="s">
        <v>401</v>
      </c>
      <c r="H49" s="58" t="s">
        <v>2042</v>
      </c>
      <c r="I49" s="58" t="s">
        <v>2043</v>
      </c>
      <c r="J49" s="58" t="s">
        <v>2044</v>
      </c>
      <c r="K49" s="76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77" t="s">
        <v>2045</v>
      </c>
      <c r="X49" s="58" t="s">
        <v>2006</v>
      </c>
      <c r="Y49" s="52"/>
      <c r="Z49" s="52"/>
      <c r="AA49" s="52"/>
      <c r="AB49" s="52"/>
      <c r="AC49" s="52"/>
    </row>
    <row r="50" ht="62.100000000000001" customHeight="1">
      <c r="A50" s="73">
        <v>38</v>
      </c>
      <c r="B50" s="58" t="s">
        <v>157</v>
      </c>
      <c r="C50" s="58" t="s">
        <v>158</v>
      </c>
      <c r="D50" s="58" t="s">
        <v>369</v>
      </c>
      <c r="E50" s="58" t="s">
        <v>2046</v>
      </c>
      <c r="F50" s="58" t="s">
        <v>203</v>
      </c>
      <c r="G50" s="58" t="s">
        <v>407</v>
      </c>
      <c r="H50" s="58" t="s">
        <v>2047</v>
      </c>
      <c r="I50" s="58" t="s">
        <v>2048</v>
      </c>
      <c r="J50" s="58" t="s">
        <v>2049</v>
      </c>
      <c r="K50" s="74" t="s">
        <v>2050</v>
      </c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 t="s">
        <v>2051</v>
      </c>
      <c r="Y50" s="52"/>
      <c r="Z50" s="52"/>
      <c r="AA50" s="52"/>
      <c r="AB50" s="52"/>
      <c r="AC50" s="52"/>
    </row>
    <row r="51" ht="74.450000000000003" customHeight="1">
      <c r="A51" s="73">
        <v>39</v>
      </c>
      <c r="B51" s="75"/>
      <c r="C51" s="75"/>
      <c r="D51" s="75"/>
      <c r="E51" s="58" t="s">
        <v>2052</v>
      </c>
      <c r="F51" s="58" t="s">
        <v>203</v>
      </c>
      <c r="G51" s="58" t="s">
        <v>415</v>
      </c>
      <c r="H51" s="58" t="s">
        <v>2053</v>
      </c>
      <c r="I51" s="58" t="s">
        <v>2054</v>
      </c>
      <c r="J51" s="58" t="s">
        <v>2055</v>
      </c>
      <c r="K51" s="74" t="s">
        <v>2056</v>
      </c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 t="s">
        <v>2051</v>
      </c>
      <c r="Y51" s="52"/>
      <c r="Z51" s="52"/>
      <c r="AA51" s="52"/>
      <c r="AB51" s="52"/>
      <c r="AC51" s="52"/>
    </row>
    <row r="52" ht="101.45" customHeight="1">
      <c r="A52" s="73">
        <v>40</v>
      </c>
      <c r="B52" s="75"/>
      <c r="C52" s="75"/>
      <c r="D52" s="75"/>
      <c r="E52" s="58" t="s">
        <v>2057</v>
      </c>
      <c r="F52" s="58" t="s">
        <v>210</v>
      </c>
      <c r="G52" s="58" t="s">
        <v>421</v>
      </c>
      <c r="H52" s="58" t="s">
        <v>2058</v>
      </c>
      <c r="I52" s="58" t="s">
        <v>2059</v>
      </c>
      <c r="J52" s="58" t="s">
        <v>2060</v>
      </c>
      <c r="K52" s="74" t="s">
        <v>2061</v>
      </c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 t="s">
        <v>2051</v>
      </c>
      <c r="Y52" s="52"/>
      <c r="Z52" s="52"/>
      <c r="AA52" s="52"/>
      <c r="AB52" s="52"/>
      <c r="AC52" s="52"/>
    </row>
    <row r="53" ht="74.450000000000003" customHeight="1">
      <c r="A53" s="73">
        <v>41</v>
      </c>
      <c r="B53" s="75"/>
      <c r="C53" s="75"/>
      <c r="D53" s="75"/>
      <c r="E53" s="58" t="s">
        <v>2062</v>
      </c>
      <c r="F53" s="58" t="s">
        <v>210</v>
      </c>
      <c r="G53" s="58" t="s">
        <v>426</v>
      </c>
      <c r="H53" s="58" t="s">
        <v>2063</v>
      </c>
      <c r="I53" s="58" t="s">
        <v>2064</v>
      </c>
      <c r="J53" s="58" t="s">
        <v>2065</v>
      </c>
      <c r="K53" s="74" t="s">
        <v>2066</v>
      </c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 t="s">
        <v>2051</v>
      </c>
      <c r="Y53" s="52"/>
      <c r="Z53" s="52"/>
      <c r="AA53" s="52"/>
      <c r="AB53" s="52"/>
      <c r="AC53" s="52"/>
    </row>
    <row r="54" ht="75.599999999999994" customHeight="1">
      <c r="A54" s="73">
        <v>42</v>
      </c>
      <c r="B54" s="75"/>
      <c r="C54" s="75"/>
      <c r="D54" s="78"/>
      <c r="E54" s="58" t="s">
        <v>2067</v>
      </c>
      <c r="F54" s="58" t="s">
        <v>210</v>
      </c>
      <c r="G54" s="58" t="s">
        <v>434</v>
      </c>
      <c r="H54" s="58" t="s">
        <v>2068</v>
      </c>
      <c r="I54" s="58" t="s">
        <v>1904</v>
      </c>
      <c r="J54" s="58" t="s">
        <v>2069</v>
      </c>
      <c r="K54" s="74" t="s">
        <v>2070</v>
      </c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 t="s">
        <v>2051</v>
      </c>
      <c r="Y54" s="52"/>
      <c r="Z54" s="52"/>
      <c r="AA54" s="52"/>
      <c r="AB54" s="52"/>
      <c r="AC54" s="52"/>
    </row>
    <row r="55" ht="60.950000000000003" customHeight="1">
      <c r="A55" s="73">
        <v>43</v>
      </c>
      <c r="B55" s="75"/>
      <c r="C55" s="78"/>
      <c r="D55" s="58" t="s">
        <v>393</v>
      </c>
      <c r="E55" s="58" t="s">
        <v>2032</v>
      </c>
      <c r="F55" s="58" t="s">
        <v>225</v>
      </c>
      <c r="G55" s="58" t="s">
        <v>439</v>
      </c>
      <c r="H55" s="58" t="s">
        <v>2071</v>
      </c>
      <c r="I55" s="58" t="s">
        <v>1887</v>
      </c>
      <c r="J55" s="58" t="s">
        <v>2072</v>
      </c>
      <c r="K55" s="74" t="s">
        <v>2073</v>
      </c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 t="s">
        <v>2051</v>
      </c>
      <c r="Y55" s="52"/>
      <c r="Z55" s="52"/>
      <c r="AA55" s="52"/>
      <c r="AB55" s="52"/>
      <c r="AC55" s="52"/>
    </row>
    <row r="56" ht="62.100000000000001" customHeight="1">
      <c r="A56" s="73">
        <v>44</v>
      </c>
      <c r="B56" s="75"/>
      <c r="C56" s="58" t="s">
        <v>159</v>
      </c>
      <c r="D56" s="58" t="s">
        <v>369</v>
      </c>
      <c r="E56" s="58" t="s">
        <v>2046</v>
      </c>
      <c r="F56" s="58" t="s">
        <v>203</v>
      </c>
      <c r="G56" s="58" t="s">
        <v>444</v>
      </c>
      <c r="H56" s="58" t="s">
        <v>2074</v>
      </c>
      <c r="I56" s="58" t="s">
        <v>2048</v>
      </c>
      <c r="J56" s="58" t="s">
        <v>2075</v>
      </c>
      <c r="K56" s="74" t="s">
        <v>2076</v>
      </c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77" t="s">
        <v>2077</v>
      </c>
      <c r="X56" s="58" t="s">
        <v>2051</v>
      </c>
      <c r="Y56" s="52"/>
      <c r="Z56" s="52"/>
      <c r="AA56" s="52"/>
      <c r="AB56" s="52"/>
      <c r="AC56" s="52"/>
    </row>
    <row r="57" ht="74.450000000000003" customHeight="1">
      <c r="A57" s="73">
        <v>45</v>
      </c>
      <c r="B57" s="75"/>
      <c r="C57" s="75"/>
      <c r="D57" s="75"/>
      <c r="E57" s="58" t="s">
        <v>2078</v>
      </c>
      <c r="F57" s="58" t="s">
        <v>203</v>
      </c>
      <c r="G57" s="58" t="s">
        <v>450</v>
      </c>
      <c r="H57" s="58" t="s">
        <v>2079</v>
      </c>
      <c r="I57" s="58" t="s">
        <v>2080</v>
      </c>
      <c r="J57" s="58" t="s">
        <v>2081</v>
      </c>
      <c r="K57" s="74" t="s">
        <v>2082</v>
      </c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77" t="s">
        <v>2083</v>
      </c>
      <c r="X57" s="58" t="s">
        <v>2051</v>
      </c>
      <c r="Y57" s="52"/>
      <c r="Z57" s="52"/>
      <c r="AA57" s="52"/>
      <c r="AB57" s="52"/>
      <c r="AC57" s="52"/>
    </row>
    <row r="58" ht="101.45" customHeight="1">
      <c r="A58" s="73">
        <v>46</v>
      </c>
      <c r="B58" s="75"/>
      <c r="C58" s="75"/>
      <c r="D58" s="78"/>
      <c r="E58" s="58" t="s">
        <v>2084</v>
      </c>
      <c r="F58" s="58" t="s">
        <v>210</v>
      </c>
      <c r="G58" s="58" t="s">
        <v>455</v>
      </c>
      <c r="H58" s="58" t="s">
        <v>2085</v>
      </c>
      <c r="I58" s="58" t="s">
        <v>2086</v>
      </c>
      <c r="J58" s="58" t="s">
        <v>2060</v>
      </c>
      <c r="K58" s="74" t="s">
        <v>2087</v>
      </c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 t="s">
        <v>2051</v>
      </c>
      <c r="Y58" s="52"/>
      <c r="Z58" s="52"/>
      <c r="AA58" s="52"/>
      <c r="AB58" s="52"/>
      <c r="AC58" s="52"/>
    </row>
    <row r="59" ht="62.100000000000001" customHeight="1">
      <c r="A59" s="73">
        <v>47</v>
      </c>
      <c r="B59" s="75"/>
      <c r="C59" s="78"/>
      <c r="D59" s="58" t="s">
        <v>393</v>
      </c>
      <c r="E59" s="58" t="s">
        <v>2032</v>
      </c>
      <c r="F59" s="58" t="s">
        <v>225</v>
      </c>
      <c r="G59" s="58" t="s">
        <v>461</v>
      </c>
      <c r="H59" s="58" t="s">
        <v>2088</v>
      </c>
      <c r="I59" s="58" t="s">
        <v>2048</v>
      </c>
      <c r="J59" s="58" t="s">
        <v>2089</v>
      </c>
      <c r="K59" s="74" t="s">
        <v>2090</v>
      </c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 t="s">
        <v>2051</v>
      </c>
      <c r="Y59" s="52"/>
      <c r="Z59" s="52"/>
      <c r="AA59" s="52"/>
      <c r="AB59" s="52"/>
      <c r="AC59" s="52"/>
    </row>
    <row r="60" ht="62.100000000000001" customHeight="1">
      <c r="A60" s="73">
        <v>48</v>
      </c>
      <c r="B60" s="75"/>
      <c r="C60" s="58" t="s">
        <v>160</v>
      </c>
      <c r="D60" s="58" t="s">
        <v>538</v>
      </c>
      <c r="E60" s="58" t="s">
        <v>2091</v>
      </c>
      <c r="F60" s="58" t="s">
        <v>210</v>
      </c>
      <c r="G60" s="58" t="s">
        <v>468</v>
      </c>
      <c r="H60" s="58" t="s">
        <v>2092</v>
      </c>
      <c r="I60" s="58" t="s">
        <v>2019</v>
      </c>
      <c r="J60" s="58" t="s">
        <v>2093</v>
      </c>
      <c r="K60" s="74" t="s">
        <v>2094</v>
      </c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 t="s">
        <v>2051</v>
      </c>
      <c r="Y60" s="52"/>
      <c r="Z60" s="52"/>
      <c r="AA60" s="52"/>
      <c r="AB60" s="52"/>
      <c r="AC60" s="52"/>
    </row>
    <row r="61" ht="35.100000000000001" customHeight="1">
      <c r="A61" s="73">
        <v>49</v>
      </c>
      <c r="B61" s="78"/>
      <c r="C61" s="78"/>
      <c r="D61" s="58" t="s">
        <v>112</v>
      </c>
      <c r="E61" s="58" t="s">
        <v>2095</v>
      </c>
      <c r="F61" s="58" t="s">
        <v>210</v>
      </c>
      <c r="G61" s="58" t="s">
        <v>473</v>
      </c>
      <c r="H61" s="58" t="s">
        <v>2096</v>
      </c>
      <c r="I61" s="58" t="s">
        <v>1887</v>
      </c>
      <c r="J61" s="58" t="s">
        <v>2097</v>
      </c>
      <c r="K61" s="76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77" t="s">
        <v>2098</v>
      </c>
      <c r="X61" s="58" t="s">
        <v>2051</v>
      </c>
      <c r="Y61" s="52"/>
      <c r="Z61" s="52"/>
      <c r="AA61" s="52"/>
      <c r="AB61" s="52"/>
      <c r="AC61" s="52"/>
    </row>
    <row r="62" ht="62.100000000000001" customHeight="1">
      <c r="A62" s="73">
        <v>50</v>
      </c>
      <c r="B62" s="58" t="s">
        <v>161</v>
      </c>
      <c r="C62" s="58" t="s">
        <v>162</v>
      </c>
      <c r="D62" s="58" t="s">
        <v>538</v>
      </c>
      <c r="E62" s="58" t="s">
        <v>2099</v>
      </c>
      <c r="F62" s="58" t="s">
        <v>210</v>
      </c>
      <c r="G62" s="58" t="s">
        <v>479</v>
      </c>
      <c r="H62" s="58" t="s">
        <v>2100</v>
      </c>
      <c r="I62" s="58" t="s">
        <v>1887</v>
      </c>
      <c r="J62" s="58" t="s">
        <v>2101</v>
      </c>
      <c r="K62" s="74" t="s">
        <v>2102</v>
      </c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77" t="s">
        <v>2103</v>
      </c>
      <c r="X62" s="58" t="s">
        <v>2104</v>
      </c>
      <c r="Y62" s="52"/>
      <c r="Z62" s="52"/>
      <c r="AA62" s="52"/>
      <c r="AB62" s="52"/>
      <c r="AC62" s="52"/>
    </row>
    <row r="63" ht="62.100000000000001" customHeight="1">
      <c r="A63" s="73">
        <v>51</v>
      </c>
      <c r="B63" s="78"/>
      <c r="C63" s="78"/>
      <c r="D63" s="58" t="s">
        <v>138</v>
      </c>
      <c r="E63" s="58" t="s">
        <v>2099</v>
      </c>
      <c r="F63" s="58" t="s">
        <v>210</v>
      </c>
      <c r="G63" s="58" t="s">
        <v>485</v>
      </c>
      <c r="H63" s="58" t="s">
        <v>2105</v>
      </c>
      <c r="I63" s="58" t="s">
        <v>1881</v>
      </c>
      <c r="J63" s="58" t="s">
        <v>2101</v>
      </c>
      <c r="K63" s="74" t="s">
        <v>2102</v>
      </c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77" t="s">
        <v>2103</v>
      </c>
      <c r="X63" s="58" t="s">
        <v>2104</v>
      </c>
      <c r="Y63" s="52"/>
      <c r="Z63" s="52"/>
      <c r="AA63" s="52"/>
      <c r="AB63" s="52"/>
      <c r="AC63" s="52"/>
    </row>
    <row r="64" ht="35.100000000000001" customHeight="1">
      <c r="A64" s="73">
        <v>52</v>
      </c>
      <c r="B64" s="58" t="s">
        <v>110</v>
      </c>
      <c r="C64" s="58" t="s">
        <v>111</v>
      </c>
      <c r="D64" s="58" t="s">
        <v>2106</v>
      </c>
      <c r="E64" s="58" t="s">
        <v>2107</v>
      </c>
      <c r="F64" s="58" t="s">
        <v>203</v>
      </c>
      <c r="G64" s="58" t="s">
        <v>491</v>
      </c>
      <c r="H64" s="58" t="s">
        <v>2108</v>
      </c>
      <c r="I64" s="58" t="s">
        <v>2109</v>
      </c>
      <c r="J64" s="58" t="s">
        <v>2110</v>
      </c>
      <c r="K64" s="74" t="s">
        <v>2111</v>
      </c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 t="s">
        <v>1878</v>
      </c>
      <c r="Y64" s="52"/>
      <c r="Z64" s="52"/>
      <c r="AA64" s="52"/>
      <c r="AB64" s="52"/>
      <c r="AC64" s="52"/>
    </row>
    <row r="65" ht="35.100000000000001" customHeight="1">
      <c r="A65" s="73">
        <v>53</v>
      </c>
      <c r="B65" s="75"/>
      <c r="C65" s="75"/>
      <c r="D65" s="58" t="s">
        <v>1235</v>
      </c>
      <c r="E65" s="58" t="s">
        <v>2112</v>
      </c>
      <c r="F65" s="58" t="s">
        <v>203</v>
      </c>
      <c r="G65" s="58" t="s">
        <v>2113</v>
      </c>
      <c r="H65" s="58" t="s">
        <v>2114</v>
      </c>
      <c r="I65" s="58" t="s">
        <v>2109</v>
      </c>
      <c r="J65" s="58" t="s">
        <v>2115</v>
      </c>
      <c r="K65" s="74" t="s">
        <v>2116</v>
      </c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77" t="s">
        <v>2117</v>
      </c>
      <c r="X65" s="58" t="s">
        <v>2118</v>
      </c>
      <c r="Y65" s="52"/>
      <c r="Z65" s="52"/>
      <c r="AA65" s="52"/>
      <c r="AB65" s="52"/>
      <c r="AC65" s="52"/>
    </row>
    <row r="66" ht="62.100000000000001" customHeight="1">
      <c r="A66" s="73">
        <v>54</v>
      </c>
      <c r="B66" s="75"/>
      <c r="C66" s="78"/>
      <c r="D66" s="58" t="s">
        <v>2119</v>
      </c>
      <c r="E66" s="58" t="s">
        <v>2120</v>
      </c>
      <c r="F66" s="58" t="s">
        <v>203</v>
      </c>
      <c r="G66" s="58" t="s">
        <v>2121</v>
      </c>
      <c r="H66" s="58" t="s">
        <v>2122</v>
      </c>
      <c r="I66" s="58" t="s">
        <v>2109</v>
      </c>
      <c r="J66" s="58" t="s">
        <v>2123</v>
      </c>
      <c r="K66" s="74" t="s">
        <v>2124</v>
      </c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 t="s">
        <v>2118</v>
      </c>
      <c r="Y66" s="52"/>
      <c r="Z66" s="52"/>
      <c r="AA66" s="52"/>
      <c r="AB66" s="52"/>
      <c r="AC66" s="52"/>
    </row>
    <row r="67" ht="48.600000000000001" customHeight="1">
      <c r="A67" s="73">
        <v>55</v>
      </c>
      <c r="B67" s="75"/>
      <c r="C67" s="58" t="s">
        <v>112</v>
      </c>
      <c r="D67" s="58" t="s">
        <v>2125</v>
      </c>
      <c r="E67" s="58" t="s">
        <v>2126</v>
      </c>
      <c r="F67" s="58" t="s">
        <v>203</v>
      </c>
      <c r="G67" s="58" t="s">
        <v>2127</v>
      </c>
      <c r="H67" s="58" t="s">
        <v>2128</v>
      </c>
      <c r="I67" s="58" t="s">
        <v>2129</v>
      </c>
      <c r="J67" s="58" t="s">
        <v>2130</v>
      </c>
      <c r="K67" s="74" t="s">
        <v>2131</v>
      </c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 t="s">
        <v>2118</v>
      </c>
      <c r="Y67" s="52"/>
      <c r="Z67" s="52"/>
      <c r="AA67" s="52"/>
      <c r="AB67" s="52"/>
      <c r="AC67" s="52"/>
    </row>
    <row r="68" ht="48.600000000000001" customHeight="1">
      <c r="A68" s="73">
        <v>56</v>
      </c>
      <c r="B68" s="78"/>
      <c r="C68" s="58" t="s">
        <v>113</v>
      </c>
      <c r="D68" s="58" t="s">
        <v>140</v>
      </c>
      <c r="E68" s="58" t="s">
        <v>2132</v>
      </c>
      <c r="F68" s="58" t="s">
        <v>203</v>
      </c>
      <c r="G68" s="58" t="s">
        <v>2133</v>
      </c>
      <c r="H68" s="58" t="s">
        <v>2134</v>
      </c>
      <c r="I68" s="58" t="s">
        <v>2135</v>
      </c>
      <c r="J68" s="58" t="s">
        <v>2136</v>
      </c>
      <c r="K68" s="74" t="s">
        <v>2137</v>
      </c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 t="s">
        <v>2118</v>
      </c>
      <c r="Y68" s="52"/>
      <c r="Z68" s="52"/>
      <c r="AA68" s="52"/>
      <c r="AB68" s="52"/>
      <c r="AC68" s="52"/>
    </row>
    <row r="69" ht="48.600000000000001" customHeight="1">
      <c r="A69" s="73">
        <v>57</v>
      </c>
      <c r="B69" s="58" t="s">
        <v>89</v>
      </c>
      <c r="C69" s="58" t="s">
        <v>114</v>
      </c>
      <c r="D69" s="58" t="s">
        <v>1235</v>
      </c>
      <c r="E69" s="58" t="s">
        <v>2138</v>
      </c>
      <c r="F69" s="58" t="s">
        <v>203</v>
      </c>
      <c r="G69" s="58" t="s">
        <v>2139</v>
      </c>
      <c r="H69" s="58" t="s">
        <v>2140</v>
      </c>
      <c r="I69" s="58" t="s">
        <v>2141</v>
      </c>
      <c r="J69" s="58" t="s">
        <v>2142</v>
      </c>
      <c r="K69" s="74" t="s">
        <v>2143</v>
      </c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77" t="s">
        <v>1206</v>
      </c>
      <c r="X69" s="58" t="s">
        <v>2118</v>
      </c>
      <c r="Y69" s="52"/>
      <c r="Z69" s="52"/>
      <c r="AA69" s="52"/>
      <c r="AB69" s="52"/>
      <c r="AC69" s="52"/>
    </row>
    <row r="70" ht="62.100000000000001" customHeight="1">
      <c r="A70" s="73">
        <v>58</v>
      </c>
      <c r="B70" s="75"/>
      <c r="C70" s="75"/>
      <c r="D70" s="58" t="s">
        <v>2119</v>
      </c>
      <c r="E70" s="58" t="s">
        <v>2144</v>
      </c>
      <c r="F70" s="58" t="s">
        <v>203</v>
      </c>
      <c r="G70" s="58" t="s">
        <v>2145</v>
      </c>
      <c r="H70" s="58" t="s">
        <v>2146</v>
      </c>
      <c r="I70" s="58" t="s">
        <v>2141</v>
      </c>
      <c r="J70" s="58" t="s">
        <v>2147</v>
      </c>
      <c r="K70" s="74" t="s">
        <v>2148</v>
      </c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 t="s">
        <v>2118</v>
      </c>
      <c r="Y70" s="52"/>
      <c r="Z70" s="52"/>
      <c r="AA70" s="52"/>
      <c r="AB70" s="52"/>
      <c r="AC70" s="52"/>
    </row>
    <row r="71" ht="48.600000000000001" customHeight="1">
      <c r="A71" s="73">
        <v>59</v>
      </c>
      <c r="B71" s="75"/>
      <c r="C71" s="78"/>
      <c r="D71" s="78"/>
      <c r="E71" s="58" t="s">
        <v>2149</v>
      </c>
      <c r="F71" s="58" t="s">
        <v>203</v>
      </c>
      <c r="G71" s="58" t="s">
        <v>2150</v>
      </c>
      <c r="H71" s="58" t="s">
        <v>2151</v>
      </c>
      <c r="I71" s="58" t="s">
        <v>1887</v>
      </c>
      <c r="J71" s="58" t="s">
        <v>2152</v>
      </c>
      <c r="K71" s="74" t="s">
        <v>2153</v>
      </c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 t="s">
        <v>2118</v>
      </c>
      <c r="Y71" s="52"/>
      <c r="Z71" s="52"/>
      <c r="AA71" s="52"/>
      <c r="AB71" s="52"/>
      <c r="AC71" s="52"/>
    </row>
    <row r="72" ht="62.100000000000001" customHeight="1">
      <c r="A72" s="73">
        <v>60</v>
      </c>
      <c r="B72" s="75"/>
      <c r="C72" s="58" t="s">
        <v>163</v>
      </c>
      <c r="D72" s="58" t="s">
        <v>2119</v>
      </c>
      <c r="E72" s="58" t="s">
        <v>2154</v>
      </c>
      <c r="F72" s="58" t="s">
        <v>203</v>
      </c>
      <c r="G72" s="58" t="s">
        <v>2155</v>
      </c>
      <c r="H72" s="58" t="s">
        <v>2156</v>
      </c>
      <c r="I72" s="58" t="s">
        <v>2157</v>
      </c>
      <c r="J72" s="58" t="s">
        <v>2158</v>
      </c>
      <c r="K72" s="74" t="s">
        <v>2159</v>
      </c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 t="s">
        <v>2118</v>
      </c>
      <c r="Y72" s="52"/>
      <c r="Z72" s="52"/>
      <c r="AA72" s="52"/>
      <c r="AB72" s="52"/>
      <c r="AC72" s="52"/>
    </row>
    <row r="73" ht="62.100000000000001" customHeight="1">
      <c r="A73" s="73">
        <v>61</v>
      </c>
      <c r="B73" s="75"/>
      <c r="C73" s="58" t="s">
        <v>115</v>
      </c>
      <c r="D73" s="58" t="s">
        <v>1241</v>
      </c>
      <c r="E73" s="58" t="s">
        <v>2160</v>
      </c>
      <c r="F73" s="58" t="s">
        <v>210</v>
      </c>
      <c r="G73" s="58" t="s">
        <v>2161</v>
      </c>
      <c r="H73" s="58" t="s">
        <v>2162</v>
      </c>
      <c r="I73" s="58" t="s">
        <v>1887</v>
      </c>
      <c r="J73" s="58" t="s">
        <v>2163</v>
      </c>
      <c r="K73" s="74" t="s">
        <v>2164</v>
      </c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 t="s">
        <v>1923</v>
      </c>
      <c r="Y73" s="52"/>
      <c r="Z73" s="52"/>
      <c r="AA73" s="52"/>
      <c r="AB73" s="52"/>
      <c r="AC73" s="52"/>
    </row>
    <row r="74" ht="48.600000000000001" customHeight="1">
      <c r="A74" s="73">
        <v>62</v>
      </c>
      <c r="B74" s="78"/>
      <c r="C74" s="58" t="s">
        <v>116</v>
      </c>
      <c r="D74" s="58" t="s">
        <v>1247</v>
      </c>
      <c r="E74" s="58" t="s">
        <v>2165</v>
      </c>
      <c r="F74" s="58" t="s">
        <v>210</v>
      </c>
      <c r="G74" s="58" t="s">
        <v>2166</v>
      </c>
      <c r="H74" s="58" t="s">
        <v>2167</v>
      </c>
      <c r="I74" s="58" t="s">
        <v>1887</v>
      </c>
      <c r="J74" s="58" t="s">
        <v>2168</v>
      </c>
      <c r="K74" s="76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77" t="s">
        <v>2169</v>
      </c>
      <c r="X74" s="58" t="s">
        <v>2170</v>
      </c>
      <c r="Y74" s="52"/>
      <c r="Z74" s="52"/>
      <c r="AA74" s="52"/>
      <c r="AB74" s="52"/>
      <c r="AC74" s="52"/>
    </row>
  </sheetData>
  <mergeCells count="59">
    <mergeCell ref="K2:S2"/>
    <mergeCell ref="K4:K5"/>
    <mergeCell ref="L4:L5"/>
    <mergeCell ref="K6:K7"/>
    <mergeCell ref="L6:L7"/>
    <mergeCell ref="M10:Q10"/>
    <mergeCell ref="R10:V10"/>
    <mergeCell ref="B11:D11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B13:B15"/>
    <mergeCell ref="C13:C14"/>
    <mergeCell ref="D13:D14"/>
    <mergeCell ref="B16:B18"/>
    <mergeCell ref="C16:C17"/>
    <mergeCell ref="B19:B20"/>
    <mergeCell ref="C19:C20"/>
    <mergeCell ref="B21:B40"/>
    <mergeCell ref="C21:C22"/>
    <mergeCell ref="C23:C36"/>
    <mergeCell ref="D23:D29"/>
    <mergeCell ref="D30:D36"/>
    <mergeCell ref="C37:C40"/>
    <mergeCell ref="D37:D38"/>
    <mergeCell ref="D39:D40"/>
    <mergeCell ref="B41:B49"/>
    <mergeCell ref="C41:C49"/>
    <mergeCell ref="D41:D45"/>
    <mergeCell ref="D46:D47"/>
    <mergeCell ref="B50:B61"/>
    <mergeCell ref="C50:C55"/>
    <mergeCell ref="D50:D54"/>
    <mergeCell ref="C56:C59"/>
    <mergeCell ref="D56:D58"/>
    <mergeCell ref="C60:C61"/>
    <mergeCell ref="B62:B63"/>
    <mergeCell ref="C62:C63"/>
    <mergeCell ref="B64:B68"/>
    <mergeCell ref="C64:C66"/>
    <mergeCell ref="B69:B74"/>
    <mergeCell ref="C69:C71"/>
    <mergeCell ref="D70:D71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E91CB9B4-47A5-4103-B6F8-F46B9C348FA7}" type="list" allowBlank="1" errorStyle="stop" imeMode="noControl" operator="between" showDropDown="0" showErrorMessage="0" showInputMessage="0">
          <x14:formula1>
            <xm:f>"High,Medium,Low,Critical"</xm:f>
          </x14:formula1>
          <xm:sqref>F13:F74</xm:sqref>
        </x14:dataValidation>
        <x14:dataValidation xr:uid="{28D9D4C7-AE8B-40F4-976C-F2717B87B75B}" type="list" allowBlank="1" errorStyle="stop" imeMode="noControl" operator="between" showDropDown="0" showErrorMessage="0" showInputMessage="0">
          <x14:formula1>
            <xm:f>"Passed,Failed,Pending,Blocked,NA,Not execute"</xm:f>
          </x14:formula1>
          <xm:sqref>M13:M74 R13:R74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5703125" defaultRowHeight="15" customHeight="1"/>
  <cols>
    <col customWidth="1" min="1" max="1" style="50" width="4.140625"/>
    <col customWidth="1" min="2" max="3" style="49" width="22.85546875"/>
    <col customWidth="1" min="4" max="4" style="49" width="14.42578125"/>
    <col customWidth="1" min="5" max="5" style="49" width="21.7109375"/>
    <col customWidth="1" min="6" max="6" style="49" width="9.5703125"/>
    <col customWidth="1" min="7" max="7" style="49" width="9.42578125"/>
    <col customWidth="1" min="8" max="8" style="49" width="31.85546875"/>
    <col customWidth="1" min="9" max="9" style="49" width="21.5703125"/>
    <col customWidth="1" min="10" max="10" style="49" width="46.42578125"/>
    <col customWidth="1" min="11" max="11" style="49" width="34.42578125"/>
    <col customWidth="1" min="12" max="12" style="49" width="10.28515625"/>
    <col customWidth="1" min="13" max="16" style="49" width="9.5703125"/>
    <col customWidth="1" min="17" max="17" style="49" width="13.42578125"/>
    <col customWidth="1" min="18" max="18" style="49" width="10.5703125"/>
    <col customWidth="1" min="19" max="19" style="49" width="9.5703125"/>
    <col customWidth="1" min="20" max="20" style="49" width="11.7109375"/>
    <col customWidth="1" min="21" max="21" style="49" width="9.5703125"/>
    <col customWidth="1" min="22" max="22" style="49" width="17.7109375"/>
    <col customWidth="1" min="23" max="23" style="49" width="34"/>
    <col customWidth="1" min="24" max="24" style="49" width="22.7109375"/>
    <col customWidth="1" min="25" max="29" style="49" width="34"/>
    <col customWidth="1" min="30" max="30" style="49" width="12.5703125"/>
    <col min="31" max="16384" style="49" width="12.5703125"/>
  </cols>
  <sheetData>
    <row r="1" ht="15.75" customHeight="1">
      <c r="A1" s="51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3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</row>
    <row r="2" ht="15.75" customHeight="1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49"/>
      <c r="M2" s="49"/>
      <c r="N2" s="49"/>
      <c r="O2" s="49"/>
      <c r="P2" s="49"/>
      <c r="Q2" s="49"/>
      <c r="R2" s="49"/>
      <c r="S2" s="49"/>
      <c r="T2" s="52"/>
      <c r="U2" s="52"/>
      <c r="V2" s="52"/>
      <c r="W2" s="52"/>
      <c r="X2" s="52"/>
      <c r="Y2" s="52"/>
      <c r="Z2" s="52"/>
      <c r="AA2" s="52"/>
      <c r="AB2" s="52"/>
      <c r="AC2" s="52"/>
    </row>
    <row r="3" ht="15.75" customHeight="1">
      <c r="A3" s="51"/>
      <c r="B3" s="54" t="s">
        <v>171</v>
      </c>
      <c r="C3" s="55" t="s">
        <v>2171</v>
      </c>
      <c r="D3" s="56"/>
      <c r="E3" s="52"/>
      <c r="F3" s="52"/>
      <c r="G3" s="52"/>
      <c r="H3" s="52"/>
      <c r="I3" s="52"/>
      <c r="J3" s="52"/>
      <c r="K3" s="54" t="s">
        <v>173</v>
      </c>
      <c r="L3" s="40" t="s">
        <v>71</v>
      </c>
      <c r="M3" s="40" t="s">
        <v>72</v>
      </c>
      <c r="N3" s="40" t="s">
        <v>73</v>
      </c>
      <c r="O3" s="40" t="s">
        <v>74</v>
      </c>
      <c r="P3" s="57" t="s">
        <v>75</v>
      </c>
      <c r="Q3" s="40" t="s">
        <v>76</v>
      </c>
      <c r="R3" s="40" t="s">
        <v>77</v>
      </c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</row>
    <row r="4" ht="15.75" customHeight="1">
      <c r="A4" s="51"/>
      <c r="B4" s="54" t="s">
        <v>174</v>
      </c>
      <c r="C4" s="58" t="s">
        <v>2172</v>
      </c>
      <c r="D4" s="59"/>
      <c r="E4" s="52"/>
      <c r="F4" s="52"/>
      <c r="G4" s="52"/>
      <c r="H4" s="52"/>
      <c r="I4" s="52"/>
      <c r="J4" s="52"/>
      <c r="K4" s="54" t="s">
        <v>176</v>
      </c>
      <c r="L4" s="60">
        <f>COUNTA($G$13:$G$25)</f>
        <v>13</v>
      </c>
      <c r="M4" s="61">
        <f>COUNTIF($M$13:$M$25,M3)</f>
        <v>0</v>
      </c>
      <c r="N4" s="61">
        <f>COUNTIF($M$13:$M$25,N3)</f>
        <v>0</v>
      </c>
      <c r="O4" s="61">
        <f>COUNTIF($M$13:$M$25,O3)</f>
        <v>0</v>
      </c>
      <c r="P4" s="62">
        <f>COUNTIF($M$13:$M$25,P3)</f>
        <v>0</v>
      </c>
      <c r="Q4" s="61">
        <f>COUNTIF($M$13:$M$25,Q3)</f>
        <v>0</v>
      </c>
      <c r="R4" s="61">
        <f>L4-SUM(M4:Q4)</f>
        <v>13</v>
      </c>
      <c r="S4" s="63"/>
      <c r="T4" s="52"/>
      <c r="U4" s="52"/>
      <c r="V4" s="52"/>
      <c r="W4" s="52"/>
      <c r="X4" s="52"/>
      <c r="Y4" s="52"/>
      <c r="Z4" s="52"/>
      <c r="AA4" s="52"/>
      <c r="AB4" s="52"/>
      <c r="AC4" s="52"/>
    </row>
    <row r="5" ht="15.75" customHeight="1">
      <c r="A5" s="51"/>
      <c r="B5" s="54" t="s">
        <v>3</v>
      </c>
      <c r="C5" s="58" t="s">
        <v>1870</v>
      </c>
      <c r="D5" s="59"/>
      <c r="E5" s="52"/>
      <c r="F5" s="52"/>
      <c r="G5" s="52"/>
      <c r="H5" s="52"/>
      <c r="I5" s="52"/>
      <c r="J5" s="52"/>
      <c r="K5" s="12"/>
      <c r="L5" s="12"/>
      <c r="M5" s="64">
        <f t="shared" ref="M5:R5" si="26">M4/$L$4</f>
        <v>0</v>
      </c>
      <c r="N5" s="64">
        <f t="shared" si="26"/>
        <v>0</v>
      </c>
      <c r="O5" s="64">
        <f t="shared" si="26"/>
        <v>0</v>
      </c>
      <c r="P5" s="65">
        <f t="shared" si="26"/>
        <v>0</v>
      </c>
      <c r="Q5" s="64">
        <f t="shared" si="26"/>
        <v>0</v>
      </c>
      <c r="R5" s="64">
        <f t="shared" si="26"/>
        <v>1</v>
      </c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</row>
    <row r="6" ht="15.75" customHeight="1">
      <c r="A6" s="51"/>
      <c r="B6" s="54" t="s">
        <v>178</v>
      </c>
      <c r="C6" s="66" t="s">
        <v>33</v>
      </c>
      <c r="D6" s="59"/>
      <c r="E6" s="52"/>
      <c r="F6" s="52"/>
      <c r="G6" s="52"/>
      <c r="H6" s="52"/>
      <c r="I6" s="52"/>
      <c r="J6" s="52"/>
      <c r="K6" s="54" t="s">
        <v>179</v>
      </c>
      <c r="L6" s="60">
        <f>COUNTA($G$13:$G$25)</f>
        <v>13</v>
      </c>
      <c r="M6" s="61">
        <f>COUNTIF($R$13:$R$25,M3)</f>
        <v>0</v>
      </c>
      <c r="N6" s="61">
        <f>COUNTIF($R$13:$R$25,N3)</f>
        <v>0</v>
      </c>
      <c r="O6" s="61">
        <f>COUNTIF($R$13:$R$25,O3)</f>
        <v>0</v>
      </c>
      <c r="P6" s="62">
        <f>COUNTIF($R$13:$R$25,P3)</f>
        <v>0</v>
      </c>
      <c r="Q6" s="61">
        <f>COUNTIF($R$13:$R$25,Q3)</f>
        <v>0</v>
      </c>
      <c r="R6" s="61">
        <f>L6-SUM(M6:Q6)</f>
        <v>13</v>
      </c>
      <c r="S6" s="63"/>
      <c r="T6" s="52"/>
      <c r="U6" s="52"/>
      <c r="V6" s="52"/>
      <c r="W6" s="52"/>
      <c r="X6" s="52"/>
      <c r="Y6" s="52"/>
      <c r="Z6" s="52"/>
      <c r="AA6" s="52"/>
      <c r="AB6" s="52"/>
      <c r="AC6" s="52"/>
    </row>
    <row r="7" ht="15.75" customHeight="1">
      <c r="A7" s="51"/>
      <c r="B7" s="54" t="s">
        <v>17</v>
      </c>
      <c r="C7" s="67" t="s">
        <v>2173</v>
      </c>
      <c r="D7" s="68"/>
      <c r="E7" s="52"/>
      <c r="F7" s="52"/>
      <c r="G7" s="52"/>
      <c r="H7" s="52"/>
      <c r="I7" s="52"/>
      <c r="J7" s="52"/>
      <c r="K7" s="12"/>
      <c r="L7" s="12"/>
      <c r="M7" s="64">
        <f t="shared" ref="M7:R7" si="27">M6/$L$6</f>
        <v>0</v>
      </c>
      <c r="N7" s="64">
        <f t="shared" si="27"/>
        <v>0</v>
      </c>
      <c r="O7" s="64">
        <f t="shared" si="27"/>
        <v>0</v>
      </c>
      <c r="P7" s="65">
        <f t="shared" si="27"/>
        <v>0</v>
      </c>
      <c r="Q7" s="64">
        <f t="shared" si="27"/>
        <v>0</v>
      </c>
      <c r="R7" s="64">
        <f t="shared" si="27"/>
        <v>1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</row>
    <row r="8" ht="15.75" customHeight="1">
      <c r="A8" s="51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3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</row>
    <row r="9" ht="15.75" customHeight="1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3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</row>
    <row r="10" ht="15.75" customHeight="1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4" t="s">
        <v>176</v>
      </c>
      <c r="N10" s="4"/>
      <c r="O10" s="4"/>
      <c r="P10" s="4"/>
      <c r="Q10" s="5"/>
      <c r="R10" s="54" t="s">
        <v>179</v>
      </c>
      <c r="S10" s="4"/>
      <c r="T10" s="4"/>
      <c r="U10" s="4"/>
      <c r="V10" s="5"/>
      <c r="W10" s="52"/>
      <c r="X10" s="52"/>
      <c r="Y10" s="52"/>
      <c r="Z10" s="52"/>
      <c r="AA10" s="52"/>
      <c r="AB10" s="52"/>
      <c r="AC10" s="52"/>
    </row>
    <row r="11" ht="15.75" customHeight="1">
      <c r="A11" s="69"/>
      <c r="B11" s="40" t="s">
        <v>181</v>
      </c>
      <c r="C11" s="4"/>
      <c r="D11" s="5"/>
      <c r="E11" s="40"/>
      <c r="F11" s="70" t="s">
        <v>182</v>
      </c>
      <c r="G11" s="70" t="s">
        <v>183</v>
      </c>
      <c r="H11" s="70" t="s">
        <v>184</v>
      </c>
      <c r="I11" s="70" t="s">
        <v>185</v>
      </c>
      <c r="J11" s="70" t="s">
        <v>186</v>
      </c>
      <c r="K11" s="70" t="s">
        <v>187</v>
      </c>
      <c r="L11" s="70" t="s">
        <v>188</v>
      </c>
      <c r="M11" s="70" t="s">
        <v>189</v>
      </c>
      <c r="N11" s="70" t="s">
        <v>190</v>
      </c>
      <c r="O11" s="70" t="s">
        <v>191</v>
      </c>
      <c r="P11" s="71" t="s">
        <v>192</v>
      </c>
      <c r="Q11" s="70" t="s">
        <v>193</v>
      </c>
      <c r="R11" s="72" t="s">
        <v>189</v>
      </c>
      <c r="S11" s="72" t="s">
        <v>190</v>
      </c>
      <c r="T11" s="72" t="s">
        <v>191</v>
      </c>
      <c r="U11" s="72" t="s">
        <v>192</v>
      </c>
      <c r="V11" s="72" t="s">
        <v>193</v>
      </c>
      <c r="W11" s="70" t="s">
        <v>194</v>
      </c>
      <c r="X11" s="70" t="s">
        <v>195</v>
      </c>
      <c r="Y11" s="52"/>
      <c r="Z11" s="52"/>
      <c r="AA11" s="52"/>
      <c r="AB11" s="52"/>
      <c r="AC11" s="52"/>
    </row>
    <row r="12" ht="15.75" customHeight="1">
      <c r="A12" s="69" t="s">
        <v>196</v>
      </c>
      <c r="B12" s="70" t="s">
        <v>197</v>
      </c>
      <c r="C12" s="70" t="s">
        <v>198</v>
      </c>
      <c r="D12" s="70" t="s">
        <v>199</v>
      </c>
      <c r="E12" s="70" t="s">
        <v>200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52"/>
      <c r="Z12" s="52"/>
      <c r="AA12" s="52"/>
      <c r="AB12" s="52"/>
      <c r="AC12" s="52"/>
    </row>
    <row r="13" ht="33.950000000000003" customHeight="1">
      <c r="A13" s="73">
        <v>1</v>
      </c>
      <c r="B13" s="58" t="s">
        <v>80</v>
      </c>
      <c r="C13" s="58" t="s">
        <v>165</v>
      </c>
      <c r="D13" s="58" t="s">
        <v>2174</v>
      </c>
      <c r="E13" s="58" t="s">
        <v>1872</v>
      </c>
      <c r="F13" s="58" t="s">
        <v>210</v>
      </c>
      <c r="G13" s="58" t="s">
        <v>204</v>
      </c>
      <c r="H13" s="58" t="s">
        <v>2175</v>
      </c>
      <c r="I13" s="58" t="s">
        <v>2109</v>
      </c>
      <c r="J13" s="58" t="s">
        <v>2176</v>
      </c>
      <c r="K13" s="74" t="s">
        <v>2177</v>
      </c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77" t="s">
        <v>2178</v>
      </c>
      <c r="X13" s="58" t="s">
        <v>2179</v>
      </c>
      <c r="Y13" s="52"/>
      <c r="Z13" s="52"/>
      <c r="AA13" s="52"/>
      <c r="AB13" s="52"/>
      <c r="AC13" s="52"/>
    </row>
    <row r="14" ht="60.950000000000003" customHeight="1">
      <c r="A14" s="73">
        <v>2</v>
      </c>
      <c r="B14" s="58" t="s">
        <v>166</v>
      </c>
      <c r="C14" s="58" t="s">
        <v>167</v>
      </c>
      <c r="D14" s="58" t="s">
        <v>2180</v>
      </c>
      <c r="E14" s="58" t="s">
        <v>2181</v>
      </c>
      <c r="F14" s="58" t="s">
        <v>203</v>
      </c>
      <c r="G14" s="58" t="s">
        <v>211</v>
      </c>
      <c r="H14" s="58" t="s">
        <v>2182</v>
      </c>
      <c r="I14" s="58" t="s">
        <v>2183</v>
      </c>
      <c r="J14" s="58" t="s">
        <v>2184</v>
      </c>
      <c r="K14" s="74" t="s">
        <v>2185</v>
      </c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 t="s">
        <v>2179</v>
      </c>
      <c r="Y14" s="52"/>
      <c r="Z14" s="52"/>
      <c r="AA14" s="52"/>
      <c r="AB14" s="52"/>
      <c r="AC14" s="52"/>
    </row>
    <row r="15" ht="47.450000000000003" customHeight="1">
      <c r="A15" s="73">
        <v>3</v>
      </c>
      <c r="B15" s="75"/>
      <c r="C15" s="78"/>
      <c r="D15" s="58" t="s">
        <v>2186</v>
      </c>
      <c r="E15" s="58" t="s">
        <v>2187</v>
      </c>
      <c r="F15" s="58" t="s">
        <v>210</v>
      </c>
      <c r="G15" s="58" t="s">
        <v>217</v>
      </c>
      <c r="H15" s="58" t="s">
        <v>2188</v>
      </c>
      <c r="I15" s="58" t="s">
        <v>2189</v>
      </c>
      <c r="J15" s="58" t="s">
        <v>2190</v>
      </c>
      <c r="K15" s="74" t="s">
        <v>2191</v>
      </c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 t="s">
        <v>2179</v>
      </c>
      <c r="Y15" s="52"/>
      <c r="Z15" s="52"/>
      <c r="AA15" s="52"/>
      <c r="AB15" s="52"/>
      <c r="AC15" s="52"/>
    </row>
    <row r="16" ht="87.950000000000003" customHeight="1">
      <c r="A16" s="73">
        <v>4</v>
      </c>
      <c r="B16" s="75"/>
      <c r="C16" s="58" t="s">
        <v>168</v>
      </c>
      <c r="D16" s="58" t="s">
        <v>2192</v>
      </c>
      <c r="E16" s="58" t="s">
        <v>2193</v>
      </c>
      <c r="F16" s="58" t="s">
        <v>203</v>
      </c>
      <c r="G16" s="58" t="s">
        <v>226</v>
      </c>
      <c r="H16" s="58" t="s">
        <v>2194</v>
      </c>
      <c r="I16" s="58" t="s">
        <v>2195</v>
      </c>
      <c r="J16" s="58" t="s">
        <v>2196</v>
      </c>
      <c r="K16" s="74" t="s">
        <v>2197</v>
      </c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 t="s">
        <v>2179</v>
      </c>
      <c r="Y16" s="52"/>
      <c r="Z16" s="52"/>
      <c r="AA16" s="52"/>
      <c r="AB16" s="52"/>
      <c r="AC16" s="52"/>
    </row>
    <row r="17" ht="87.950000000000003" customHeight="1">
      <c r="A17" s="73">
        <v>5</v>
      </c>
      <c r="B17" s="75"/>
      <c r="C17" s="75"/>
      <c r="D17" s="58" t="s">
        <v>2198</v>
      </c>
      <c r="E17" s="58" t="s">
        <v>2199</v>
      </c>
      <c r="F17" s="58" t="s">
        <v>210</v>
      </c>
      <c r="G17" s="58" t="s">
        <v>232</v>
      </c>
      <c r="H17" s="58" t="s">
        <v>2200</v>
      </c>
      <c r="I17" s="58" t="s">
        <v>2201</v>
      </c>
      <c r="J17" s="58" t="s">
        <v>2202</v>
      </c>
      <c r="K17" s="74" t="s">
        <v>2203</v>
      </c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 t="s">
        <v>2179</v>
      </c>
      <c r="Y17" s="52"/>
      <c r="Z17" s="52"/>
      <c r="AA17" s="52"/>
      <c r="AB17" s="52"/>
      <c r="AC17" s="52"/>
    </row>
    <row r="18" ht="60.950000000000003" customHeight="1">
      <c r="A18" s="73">
        <v>6</v>
      </c>
      <c r="B18" s="78"/>
      <c r="C18" s="78"/>
      <c r="D18" s="58" t="s">
        <v>2204</v>
      </c>
      <c r="E18" s="58" t="s">
        <v>2205</v>
      </c>
      <c r="F18" s="58" t="s">
        <v>210</v>
      </c>
      <c r="G18" s="58" t="s">
        <v>237</v>
      </c>
      <c r="H18" s="58" t="s">
        <v>2206</v>
      </c>
      <c r="I18" s="58" t="s">
        <v>2207</v>
      </c>
      <c r="J18" s="58" t="s">
        <v>2208</v>
      </c>
      <c r="K18" s="74" t="s">
        <v>2209</v>
      </c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 t="s">
        <v>2179</v>
      </c>
      <c r="Y18" s="52"/>
      <c r="Z18" s="52"/>
      <c r="AA18" s="52"/>
      <c r="AB18" s="52"/>
      <c r="AC18" s="52"/>
    </row>
    <row r="19" ht="47.450000000000003" customHeight="1">
      <c r="A19" s="73">
        <v>7</v>
      </c>
      <c r="B19" s="58" t="s">
        <v>169</v>
      </c>
      <c r="C19" s="58" t="s">
        <v>170</v>
      </c>
      <c r="D19" s="58" t="s">
        <v>2210</v>
      </c>
      <c r="E19" s="58" t="s">
        <v>2211</v>
      </c>
      <c r="F19" s="58" t="s">
        <v>203</v>
      </c>
      <c r="G19" s="58" t="s">
        <v>242</v>
      </c>
      <c r="H19" s="58" t="s">
        <v>2212</v>
      </c>
      <c r="I19" s="58" t="s">
        <v>2213</v>
      </c>
      <c r="J19" s="58" t="s">
        <v>2214</v>
      </c>
      <c r="K19" s="74" t="s">
        <v>2215</v>
      </c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 t="s">
        <v>2179</v>
      </c>
      <c r="Y19" s="52"/>
      <c r="Z19" s="52"/>
      <c r="AA19" s="52"/>
      <c r="AB19" s="52"/>
      <c r="AC19" s="52"/>
    </row>
    <row r="20" ht="60.950000000000003" customHeight="1">
      <c r="A20" s="73">
        <v>8</v>
      </c>
      <c r="B20" s="75"/>
      <c r="C20" s="75"/>
      <c r="D20" s="58" t="s">
        <v>2216</v>
      </c>
      <c r="E20" s="58" t="s">
        <v>2211</v>
      </c>
      <c r="F20" s="58" t="s">
        <v>210</v>
      </c>
      <c r="G20" s="58" t="s">
        <v>248</v>
      </c>
      <c r="H20" s="58" t="s">
        <v>2217</v>
      </c>
      <c r="I20" s="58" t="s">
        <v>2218</v>
      </c>
      <c r="J20" s="58" t="s">
        <v>2219</v>
      </c>
      <c r="K20" s="74" t="s">
        <v>2220</v>
      </c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 t="s">
        <v>2179</v>
      </c>
      <c r="Y20" s="52"/>
      <c r="Z20" s="52"/>
      <c r="AA20" s="52"/>
      <c r="AB20" s="52"/>
      <c r="AC20" s="52"/>
    </row>
    <row r="21" ht="74.450000000000003" customHeight="1">
      <c r="A21" s="73">
        <v>9</v>
      </c>
      <c r="B21" s="75"/>
      <c r="C21" s="75"/>
      <c r="D21" s="58" t="s">
        <v>2221</v>
      </c>
      <c r="E21" s="58" t="s">
        <v>2222</v>
      </c>
      <c r="F21" s="58" t="s">
        <v>210</v>
      </c>
      <c r="G21" s="58" t="s">
        <v>254</v>
      </c>
      <c r="H21" s="58" t="s">
        <v>2223</v>
      </c>
      <c r="I21" s="58" t="s">
        <v>2224</v>
      </c>
      <c r="J21" s="58" t="s">
        <v>2225</v>
      </c>
      <c r="K21" s="74" t="s">
        <v>2226</v>
      </c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 t="s">
        <v>2179</v>
      </c>
      <c r="Y21" s="52"/>
      <c r="Z21" s="52"/>
      <c r="AA21" s="52"/>
      <c r="AB21" s="52"/>
      <c r="AC21" s="52"/>
    </row>
    <row r="22" ht="60.950000000000003" customHeight="1">
      <c r="A22" s="73">
        <v>10</v>
      </c>
      <c r="B22" s="75"/>
      <c r="C22" s="75"/>
      <c r="D22" s="58" t="s">
        <v>2227</v>
      </c>
      <c r="E22" s="58" t="s">
        <v>2228</v>
      </c>
      <c r="F22" s="58" t="s">
        <v>225</v>
      </c>
      <c r="G22" s="58" t="s">
        <v>259</v>
      </c>
      <c r="H22" s="58" t="s">
        <v>2229</v>
      </c>
      <c r="I22" s="58" t="s">
        <v>2230</v>
      </c>
      <c r="J22" s="58" t="s">
        <v>2231</v>
      </c>
      <c r="K22" s="76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77" t="s">
        <v>2232</v>
      </c>
      <c r="X22" s="58" t="s">
        <v>2179</v>
      </c>
      <c r="Y22" s="52"/>
      <c r="Z22" s="52"/>
      <c r="AA22" s="52"/>
      <c r="AB22" s="52"/>
      <c r="AC22" s="52"/>
    </row>
    <row r="23" ht="47.450000000000003" customHeight="1">
      <c r="A23" s="73">
        <v>11</v>
      </c>
      <c r="B23" s="78"/>
      <c r="C23" s="78"/>
      <c r="D23" s="58" t="s">
        <v>2233</v>
      </c>
      <c r="E23" s="58" t="s">
        <v>2234</v>
      </c>
      <c r="F23" s="58" t="s">
        <v>210</v>
      </c>
      <c r="G23" s="58" t="s">
        <v>264</v>
      </c>
      <c r="H23" s="58" t="s">
        <v>2235</v>
      </c>
      <c r="I23" s="58" t="s">
        <v>2236</v>
      </c>
      <c r="J23" s="58" t="s">
        <v>2237</v>
      </c>
      <c r="K23" s="76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77" t="s">
        <v>2238</v>
      </c>
      <c r="X23" s="58" t="s">
        <v>2179</v>
      </c>
      <c r="Y23" s="52"/>
      <c r="Z23" s="52"/>
      <c r="AA23" s="52"/>
      <c r="AB23" s="52"/>
      <c r="AC23" s="52"/>
    </row>
    <row r="24" ht="47.450000000000003" customHeight="1">
      <c r="A24" s="73">
        <v>12</v>
      </c>
      <c r="B24" s="58" t="s">
        <v>110</v>
      </c>
      <c r="C24" s="58" t="s">
        <v>113</v>
      </c>
      <c r="D24" s="58" t="s">
        <v>138</v>
      </c>
      <c r="E24" s="58" t="s">
        <v>2239</v>
      </c>
      <c r="F24" s="58" t="s">
        <v>210</v>
      </c>
      <c r="G24" s="58" t="s">
        <v>270</v>
      </c>
      <c r="H24" s="58" t="s">
        <v>2240</v>
      </c>
      <c r="I24" s="58" t="s">
        <v>1881</v>
      </c>
      <c r="J24" s="58" t="s">
        <v>2241</v>
      </c>
      <c r="K24" s="74" t="s">
        <v>2242</v>
      </c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 t="s">
        <v>2179</v>
      </c>
      <c r="Y24" s="52"/>
      <c r="Z24" s="52"/>
      <c r="AA24" s="52"/>
      <c r="AB24" s="52"/>
      <c r="AC24" s="52"/>
    </row>
    <row r="25" ht="33.950000000000003" customHeight="1">
      <c r="A25" s="73">
        <v>13</v>
      </c>
      <c r="B25" s="78"/>
      <c r="C25" s="58" t="s">
        <v>112</v>
      </c>
      <c r="D25" s="58" t="s">
        <v>112</v>
      </c>
      <c r="E25" s="58" t="s">
        <v>2243</v>
      </c>
      <c r="F25" s="58" t="s">
        <v>225</v>
      </c>
      <c r="G25" s="58" t="s">
        <v>275</v>
      </c>
      <c r="H25" s="58" t="s">
        <v>2244</v>
      </c>
      <c r="I25" s="58" t="s">
        <v>2129</v>
      </c>
      <c r="J25" s="58" t="s">
        <v>2245</v>
      </c>
      <c r="K25" s="74" t="s">
        <v>2220</v>
      </c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 t="s">
        <v>2179</v>
      </c>
      <c r="Y25" s="52"/>
      <c r="Z25" s="52"/>
      <c r="AA25" s="52"/>
      <c r="AB25" s="52"/>
      <c r="AC25" s="52"/>
    </row>
  </sheetData>
  <mergeCells count="33">
    <mergeCell ref="X11:X12"/>
    <mergeCell ref="I11:I12"/>
    <mergeCell ref="G11:G12"/>
    <mergeCell ref="C14:C15"/>
    <mergeCell ref="B24:B25"/>
    <mergeCell ref="W11:W12"/>
    <mergeCell ref="T11:T12"/>
    <mergeCell ref="O11:O12"/>
    <mergeCell ref="K4:K5"/>
    <mergeCell ref="L6:L7"/>
    <mergeCell ref="Q11:Q12"/>
    <mergeCell ref="F11:F12"/>
    <mergeCell ref="L11:L12"/>
    <mergeCell ref="N11:N12"/>
    <mergeCell ref="B14:B18"/>
    <mergeCell ref="C16:C18"/>
    <mergeCell ref="K6:K7"/>
    <mergeCell ref="R11:R12"/>
    <mergeCell ref="R10:V10"/>
    <mergeCell ref="H11:H12"/>
    <mergeCell ref="J11:J12"/>
    <mergeCell ref="P11:P12"/>
    <mergeCell ref="K2:S2"/>
    <mergeCell ref="K11:K12"/>
    <mergeCell ref="L4:L5"/>
    <mergeCell ref="M10:Q10"/>
    <mergeCell ref="V11:V12"/>
    <mergeCell ref="S11:S12"/>
    <mergeCell ref="B11:D11"/>
    <mergeCell ref="U11:U12"/>
    <mergeCell ref="M11:M12"/>
    <mergeCell ref="B19:B23"/>
    <mergeCell ref="C19:C23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80873EEE-2A50-4573-B060-CEFDAED9FBA0}" type="list" allowBlank="1" errorStyle="stop" imeMode="noControl" operator="between" showDropDown="0" showErrorMessage="0" showInputMessage="0">
          <x14:formula1>
            <xm:f>"High,Medium,Low,Critical"</xm:f>
          </x14:formula1>
          <xm:sqref>F13:F25</xm:sqref>
        </x14:dataValidation>
        <x14:dataValidation xr:uid="{0434DF3B-9EA7-4F5A-B3A3-40236E12BA89}" type="list" allowBlank="1" errorStyle="stop" imeMode="noControl" operator="between" showDropDown="0" showErrorMessage="0" showInputMessage="0">
          <x14:formula1>
            <xm:f>"Passed,Failed,Pending,Blocked,NA,Not execute"</xm:f>
          </x14:formula1>
          <xm:sqref>M13:M25 R13:R25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pane ySplit="1" topLeftCell="A2" activePane="bottomLeft" state="frozen"/>
      <selection activeCell="A1" activeCellId="0" sqref="A1"/>
    </sheetView>
  </sheetViews>
  <sheetFormatPr defaultRowHeight="12.75"/>
  <cols>
    <col customWidth="1" min="1" max="1" style="1" width="9"/>
    <col customWidth="1" min="2" max="2" style="1" width="12"/>
    <col customWidth="1" min="3" max="4" style="1" width="52"/>
    <col customWidth="1" min="5" max="5" style="1" width="24"/>
    <col customWidth="1" min="6" max="6" style="1" width="38"/>
    <col customWidth="1" min="7" max="7" style="1" width="14"/>
    <col customWidth="1" min="8" max="8" style="1" width="11"/>
  </cols>
  <sheetData>
    <row r="1" ht="21.949999999999999" customHeight="1">
      <c r="A1" s="70" t="s">
        <v>2204</v>
      </c>
      <c r="B1" s="70" t="s">
        <v>2246</v>
      </c>
      <c r="C1" s="70" t="s">
        <v>2247</v>
      </c>
      <c r="D1" s="70" t="s">
        <v>2248</v>
      </c>
      <c r="E1" s="70" t="s">
        <v>2249</v>
      </c>
      <c r="F1" s="70" t="s">
        <v>2250</v>
      </c>
      <c r="G1" s="70" t="s">
        <v>2251</v>
      </c>
      <c r="H1" s="70" t="s">
        <v>2252</v>
      </c>
    </row>
    <row r="2" ht="47.450000000000003" customHeight="1">
      <c r="A2" s="58" t="s">
        <v>2253</v>
      </c>
      <c r="B2" s="58" t="s">
        <v>144</v>
      </c>
      <c r="C2" s="58" t="s">
        <v>2254</v>
      </c>
      <c r="D2" s="58" t="s">
        <v>2255</v>
      </c>
      <c r="E2" s="58" t="s">
        <v>2256</v>
      </c>
      <c r="F2" s="58" t="s">
        <v>2257</v>
      </c>
      <c r="G2" s="58" t="s">
        <v>2258</v>
      </c>
      <c r="H2" s="58" t="s">
        <v>2259</v>
      </c>
    </row>
    <row r="3" ht="47.450000000000003" customHeight="1">
      <c r="A3" s="58" t="s">
        <v>2260</v>
      </c>
      <c r="B3" s="58" t="s">
        <v>144</v>
      </c>
      <c r="C3" s="58" t="s">
        <v>2261</v>
      </c>
      <c r="D3" s="58" t="s">
        <v>2262</v>
      </c>
      <c r="E3" s="58" t="s">
        <v>2263</v>
      </c>
      <c r="F3" s="58" t="s">
        <v>2264</v>
      </c>
      <c r="G3" s="58" t="s">
        <v>2265</v>
      </c>
      <c r="H3" s="58" t="s">
        <v>2259</v>
      </c>
    </row>
    <row r="4" ht="47.450000000000003" customHeight="1">
      <c r="A4" s="58" t="s">
        <v>2266</v>
      </c>
      <c r="B4" s="58" t="s">
        <v>144</v>
      </c>
      <c r="C4" s="58" t="s">
        <v>2267</v>
      </c>
      <c r="D4" s="58" t="s">
        <v>2268</v>
      </c>
      <c r="E4" s="58" t="s">
        <v>2269</v>
      </c>
      <c r="F4" s="58" t="s">
        <v>2270</v>
      </c>
      <c r="G4" s="58" t="s">
        <v>2265</v>
      </c>
      <c r="H4" s="58" t="s">
        <v>2259</v>
      </c>
    </row>
    <row r="5" ht="60.950000000000003" customHeight="1">
      <c r="A5" s="58" t="s">
        <v>2271</v>
      </c>
      <c r="B5" s="58" t="s">
        <v>144</v>
      </c>
      <c r="C5" s="58" t="s">
        <v>2272</v>
      </c>
      <c r="D5" s="58" t="s">
        <v>2273</v>
      </c>
      <c r="E5" s="58" t="s">
        <v>2274</v>
      </c>
      <c r="F5" s="58" t="s">
        <v>2275</v>
      </c>
      <c r="G5" s="58" t="s">
        <v>2258</v>
      </c>
      <c r="H5" s="58" t="s">
        <v>2259</v>
      </c>
    </row>
    <row r="6" ht="47.450000000000003" customHeight="1">
      <c r="A6" s="58" t="s">
        <v>2276</v>
      </c>
      <c r="B6" s="58" t="s">
        <v>144</v>
      </c>
      <c r="C6" s="58" t="s">
        <v>2277</v>
      </c>
      <c r="D6" s="58" t="s">
        <v>2278</v>
      </c>
      <c r="E6" s="58" t="s">
        <v>2279</v>
      </c>
      <c r="F6" s="58" t="s">
        <v>2280</v>
      </c>
      <c r="G6" s="58" t="s">
        <v>2265</v>
      </c>
      <c r="H6" s="58" t="s">
        <v>2259</v>
      </c>
    </row>
    <row r="7" ht="33.950000000000003" customHeight="1">
      <c r="A7" s="58" t="s">
        <v>2281</v>
      </c>
      <c r="B7" s="58" t="s">
        <v>144</v>
      </c>
      <c r="C7" s="58" t="s">
        <v>2282</v>
      </c>
      <c r="D7" s="58" t="s">
        <v>2283</v>
      </c>
      <c r="E7" s="58" t="s">
        <v>2284</v>
      </c>
      <c r="F7" s="58" t="s">
        <v>2285</v>
      </c>
      <c r="G7" s="58" t="s">
        <v>2265</v>
      </c>
      <c r="H7" s="58" t="s">
        <v>2259</v>
      </c>
    </row>
    <row r="8" ht="33.950000000000003" customHeight="1">
      <c r="A8" s="58" t="s">
        <v>2286</v>
      </c>
      <c r="B8" s="58" t="s">
        <v>144</v>
      </c>
      <c r="C8" s="58" t="s">
        <v>2287</v>
      </c>
      <c r="D8" s="58" t="s">
        <v>2288</v>
      </c>
      <c r="E8" s="58" t="s">
        <v>2289</v>
      </c>
      <c r="F8" s="58" t="s">
        <v>2290</v>
      </c>
      <c r="G8" s="58" t="s">
        <v>2265</v>
      </c>
      <c r="H8" s="58" t="s">
        <v>2259</v>
      </c>
    </row>
    <row r="9" ht="33.950000000000003" customHeight="1">
      <c r="A9" s="58" t="s">
        <v>2291</v>
      </c>
      <c r="B9" s="58" t="s">
        <v>144</v>
      </c>
      <c r="C9" s="58" t="s">
        <v>2292</v>
      </c>
      <c r="D9" s="58" t="s">
        <v>2293</v>
      </c>
      <c r="E9" s="58" t="s">
        <v>2294</v>
      </c>
      <c r="F9" s="58" t="s">
        <v>2295</v>
      </c>
      <c r="G9" s="58" t="s">
        <v>2265</v>
      </c>
      <c r="H9" s="58" t="s">
        <v>2259</v>
      </c>
    </row>
    <row r="10" ht="33.950000000000003" customHeight="1">
      <c r="A10" s="58" t="s">
        <v>2296</v>
      </c>
      <c r="B10" s="58" t="s">
        <v>144</v>
      </c>
      <c r="C10" s="58" t="s">
        <v>2297</v>
      </c>
      <c r="D10" s="58" t="s">
        <v>2298</v>
      </c>
      <c r="E10" s="58" t="s">
        <v>2299</v>
      </c>
      <c r="F10" s="58" t="s">
        <v>2300</v>
      </c>
      <c r="G10" s="58" t="s">
        <v>2258</v>
      </c>
      <c r="H10" s="58" t="s">
        <v>2259</v>
      </c>
    </row>
    <row r="11" ht="47.450000000000003" customHeight="1">
      <c r="A11" s="58" t="s">
        <v>2301</v>
      </c>
      <c r="B11" s="58" t="s">
        <v>144</v>
      </c>
      <c r="C11" s="58" t="s">
        <v>2302</v>
      </c>
      <c r="D11" s="58" t="s">
        <v>2303</v>
      </c>
      <c r="E11" s="58" t="s">
        <v>2304</v>
      </c>
      <c r="F11" s="58" t="s">
        <v>2305</v>
      </c>
      <c r="G11" s="58" t="s">
        <v>2265</v>
      </c>
      <c r="H11" s="58" t="s">
        <v>2259</v>
      </c>
    </row>
    <row r="12" ht="47.450000000000003" customHeight="1">
      <c r="A12" s="58" t="s">
        <v>2306</v>
      </c>
      <c r="B12" s="58" t="s">
        <v>144</v>
      </c>
      <c r="C12" s="58" t="s">
        <v>2307</v>
      </c>
      <c r="D12" s="58" t="s">
        <v>2308</v>
      </c>
      <c r="E12" s="58" t="s">
        <v>2309</v>
      </c>
      <c r="F12" s="58" t="s">
        <v>2310</v>
      </c>
      <c r="G12" s="58" t="s">
        <v>2258</v>
      </c>
      <c r="H12" s="58" t="s">
        <v>2259</v>
      </c>
    </row>
    <row r="13" ht="33.950000000000003" customHeight="1">
      <c r="A13" s="58" t="s">
        <v>2311</v>
      </c>
      <c r="B13" s="58" t="s">
        <v>144</v>
      </c>
      <c r="C13" s="58" t="s">
        <v>2312</v>
      </c>
      <c r="D13" s="58" t="s">
        <v>2313</v>
      </c>
      <c r="E13" s="58" t="s">
        <v>2314</v>
      </c>
      <c r="F13" s="58" t="s">
        <v>2315</v>
      </c>
      <c r="G13" s="58" t="s">
        <v>2258</v>
      </c>
      <c r="H13" s="58" t="s">
        <v>2259</v>
      </c>
    </row>
    <row r="14" ht="33.950000000000003" customHeight="1">
      <c r="A14" s="58" t="s">
        <v>2316</v>
      </c>
      <c r="B14" s="58" t="s">
        <v>164</v>
      </c>
      <c r="C14" s="58" t="s">
        <v>2317</v>
      </c>
      <c r="D14" s="58" t="s">
        <v>2318</v>
      </c>
      <c r="E14" s="58" t="s">
        <v>2319</v>
      </c>
      <c r="F14" s="58" t="s">
        <v>2320</v>
      </c>
      <c r="G14" s="58" t="s">
        <v>2258</v>
      </c>
      <c r="H14" s="58" t="s">
        <v>2259</v>
      </c>
    </row>
    <row r="15" ht="47.450000000000003" customHeight="1">
      <c r="A15" s="58" t="s">
        <v>2321</v>
      </c>
      <c r="B15" s="58" t="s">
        <v>164</v>
      </c>
      <c r="C15" s="58" t="s">
        <v>2322</v>
      </c>
      <c r="D15" s="58" t="s">
        <v>2323</v>
      </c>
      <c r="E15" s="58" t="s">
        <v>2324</v>
      </c>
      <c r="F15" s="58" t="s">
        <v>2325</v>
      </c>
      <c r="G15" s="58" t="s">
        <v>2265</v>
      </c>
      <c r="H15" s="58" t="s">
        <v>2259</v>
      </c>
    </row>
    <row r="16" ht="33.950000000000003" customHeight="1">
      <c r="A16" s="58" t="s">
        <v>2326</v>
      </c>
      <c r="B16" s="58" t="s">
        <v>164</v>
      </c>
      <c r="C16" s="58" t="s">
        <v>2327</v>
      </c>
      <c r="D16" s="58" t="s">
        <v>2328</v>
      </c>
      <c r="E16" s="58" t="s">
        <v>2329</v>
      </c>
      <c r="F16" s="58" t="s">
        <v>2330</v>
      </c>
      <c r="G16" s="58" t="s">
        <v>2258</v>
      </c>
      <c r="H16" s="58" t="s">
        <v>2259</v>
      </c>
    </row>
    <row r="17" ht="47.450000000000003" customHeight="1">
      <c r="A17" s="58" t="s">
        <v>2331</v>
      </c>
      <c r="B17" s="58" t="s">
        <v>2332</v>
      </c>
      <c r="C17" s="58" t="s">
        <v>2333</v>
      </c>
      <c r="D17" s="58" t="s">
        <v>2334</v>
      </c>
      <c r="E17" s="58" t="s">
        <v>2335</v>
      </c>
      <c r="F17" s="58" t="s">
        <v>2336</v>
      </c>
      <c r="G17" s="58" t="s">
        <v>2336</v>
      </c>
      <c r="H17" s="58" t="s">
        <v>2259</v>
      </c>
    </row>
    <row r="18" ht="33.950000000000003" customHeight="1">
      <c r="A18" s="58" t="s">
        <v>2337</v>
      </c>
      <c r="B18" s="58" t="s">
        <v>2332</v>
      </c>
      <c r="C18" s="58" t="s">
        <v>2338</v>
      </c>
      <c r="D18" s="58" t="s">
        <v>2339</v>
      </c>
      <c r="E18" s="58" t="s">
        <v>2340</v>
      </c>
      <c r="F18" s="58" t="s">
        <v>2336</v>
      </c>
      <c r="G18" s="58" t="s">
        <v>2336</v>
      </c>
      <c r="H18" s="58" t="s">
        <v>2259</v>
      </c>
    </row>
    <row r="19" ht="47.450000000000003" customHeight="1">
      <c r="A19" s="58" t="s">
        <v>2341</v>
      </c>
      <c r="B19" s="58" t="s">
        <v>2332</v>
      </c>
      <c r="C19" s="58" t="s">
        <v>2342</v>
      </c>
      <c r="D19" s="58" t="s">
        <v>2343</v>
      </c>
      <c r="E19" s="58" t="s">
        <v>2344</v>
      </c>
      <c r="F19" s="58" t="s">
        <v>2336</v>
      </c>
      <c r="G19" s="58" t="s">
        <v>2336</v>
      </c>
      <c r="H19" s="58" t="s">
        <v>2259</v>
      </c>
    </row>
    <row r="20" ht="47.450000000000003" customHeight="1">
      <c r="A20" s="58" t="s">
        <v>2345</v>
      </c>
      <c r="B20" s="58" t="s">
        <v>43</v>
      </c>
      <c r="C20" s="58" t="s">
        <v>2346</v>
      </c>
      <c r="D20" s="58" t="s">
        <v>2347</v>
      </c>
      <c r="E20" s="58" t="s">
        <v>2348</v>
      </c>
      <c r="F20" s="58" t="s">
        <v>2349</v>
      </c>
      <c r="G20" s="58" t="s">
        <v>2265</v>
      </c>
      <c r="H20" s="58" t="s">
        <v>2259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13</cp:revision>
  <dcterms:created xsi:type="dcterms:W3CDTF">2026-10-01T04:51:11Z</dcterms:created>
  <dcterms:modified xsi:type="dcterms:W3CDTF">2026-10-08T08:15:18Z</dcterms:modified>
</cp:coreProperties>
</file>