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 showHorizontalScroll="1" showVerticalScroll="1" firstSheet="0"/>
  </bookViews>
  <sheets>
    <sheet name="Cover" sheetId="1" state="visible" r:id="rId1"/>
    <sheet name="Test_Report" sheetId="2" state="visible" r:id="rId2"/>
    <sheet name="Login" sheetId="3" state="visible" r:id="rId3"/>
    <sheet name="Scopes" sheetId="4" state="visible" r:id="rId7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<sst xmlns="http://schemas.openxmlformats.org/spreadsheetml/2006/main" count="1682" uniqueCount="1127">
  <si>
    <t xml:space="preserve">TEST CASE</t>
  </si>
  <si>
    <t xml:space="preserve">Project Name</t>
  </si>
  <si>
    <t>DTP</t>
  </si>
  <si>
    <t>Creator</t>
  </si>
  <si>
    <t xml:space="preserve">Project Code</t>
  </si>
  <si>
    <t>Reviewer/Approver</t>
  </si>
  <si>
    <t xml:space="preserve">Document Code</t>
  </si>
  <si>
    <t xml:space="preserve">Issue Date</t>
  </si>
  <si>
    <t>Version</t>
  </si>
  <si>
    <t xml:space="preserve">Version 1.0</t>
  </si>
  <si>
    <t xml:space="preserve">Purpose of document</t>
  </si>
  <si>
    <t xml:space="preserve">Test environment</t>
  </si>
  <si>
    <t xml:space="preserve">Record of change</t>
  </si>
  <si>
    <t xml:space="preserve">Effective Date</t>
  </si>
  <si>
    <t xml:space="preserve">Change Item</t>
  </si>
  <si>
    <t>*A,D,M</t>
  </si>
  <si>
    <t xml:space="preserve">Change description</t>
  </si>
  <si>
    <t>Reference</t>
  </si>
  <si>
    <t>Annotation:</t>
  </si>
  <si>
    <t xml:space="preserve">A: Add</t>
  </si>
  <si>
    <t xml:space="preserve">D: Delete</t>
  </si>
  <si>
    <t xml:space="preserve">M: Modify</t>
  </si>
  <si>
    <t xml:space="preserve">Test Round 1</t>
  </si>
  <si>
    <t xml:space="preserve">Test Round 2 (After fixed bug)</t>
  </si>
  <si>
    <t xml:space="preserve">Sheet name</t>
  </si>
  <si>
    <t xml:space="preserve">Classification I</t>
  </si>
  <si>
    <t xml:space="preserve">Classification II</t>
  </si>
  <si>
    <t xml:space="preserve">Executed rate</t>
  </si>
  <si>
    <t>Executed</t>
  </si>
  <si>
    <t>Total</t>
  </si>
  <si>
    <t>Passed</t>
  </si>
  <si>
    <t>Failed</t>
  </si>
  <si>
    <t>Pending</t>
  </si>
  <si>
    <t>Blocked</t>
  </si>
  <si>
    <t>NA</t>
  </si>
  <si>
    <t xml:space="preserve">Not execute</t>
  </si>
  <si>
    <t xml:space="preserve">Executed 
rate</t>
  </si>
  <si>
    <t>Login</t>
  </si>
  <si>
    <t xml:space="preserve">リダイレクト - Redirect</t>
  </si>
  <si>
    <t xml:space="preserve">タイトル - Title</t>
  </si>
  <si>
    <t xml:space="preserve">案件一覧 - Project list</t>
  </si>
  <si>
    <t xml:space="preserve">ヘッダー - Header</t>
  </si>
  <si>
    <t xml:space="preserve">ダッシュボード - Dashboard</t>
  </si>
  <si>
    <t xml:space="preserve">あいまい検索 - Fuzzy search</t>
  </si>
  <si>
    <t xml:space="preserve">検索 - Search</t>
  </si>
  <si>
    <t xml:space="preserve">ページング - Paging</t>
  </si>
  <si>
    <t xml:space="preserve">列表示 - Column display</t>
  </si>
  <si>
    <t xml:space="preserve">テーブル - Table</t>
  </si>
  <si>
    <t xml:space="preserve">案件分析 - Project analysis</t>
  </si>
  <si>
    <t xml:space="preserve">ダウンロード = Download</t>
  </si>
  <si>
    <t xml:space="preserve">詳細検索 - Advanced Search</t>
  </si>
  <si>
    <t>工事番号</t>
  </si>
  <si>
    <t>工事名称</t>
  </si>
  <si>
    <t>工番分類</t>
  </si>
  <si>
    <t>JKランク</t>
  </si>
  <si>
    <t>JKステップ</t>
  </si>
  <si>
    <t>受注金額[営業](千円)</t>
  </si>
  <si>
    <t>受注金額[技術](千円)</t>
  </si>
  <si>
    <t>契約工期</t>
  </si>
  <si>
    <t xml:space="preserve">完工日 (未完成工事を含む)</t>
  </si>
  <si>
    <t>部門</t>
  </si>
  <si>
    <t>担当</t>
  </si>
  <si>
    <t xml:space="preserve">アイコン [ x ] - Icon [ x ]</t>
  </si>
  <si>
    <t>リセット</t>
  </si>
  <si>
    <t>検索</t>
  </si>
  <si>
    <t>Scopes</t>
  </si>
  <si>
    <t xml:space="preserve">案件詳細 - Project detail</t>
  </si>
  <si>
    <t xml:space="preserve">タブをクリック（Click Tab, Shift+Tab）</t>
  </si>
  <si>
    <t xml:space="preserve">ズームイン、ズームアウト（zoom-in, zoom-out screen）</t>
  </si>
  <si>
    <t>工事情報</t>
  </si>
  <si>
    <t>DM-L0001</t>
  </si>
  <si>
    <t xml:space="preserve">図書管理 - Library Management</t>
  </si>
  <si>
    <t>JKステップで絞り込む</t>
  </si>
  <si>
    <t>工程で絞り込む</t>
  </si>
  <si>
    <t>新規</t>
  </si>
  <si>
    <t xml:space="preserve">ファイル機能 - File function </t>
  </si>
  <si>
    <t xml:space="preserve">Function Name</t>
  </si>
  <si>
    <t xml:space="preserve">AUTH-L0001_Đăng nhập</t>
  </si>
  <si>
    <t xml:space="preserve">Round </t>
  </si>
  <si>
    <t xml:space="preserve">Screen Name</t>
  </si>
  <si>
    <t xml:space="preserve">Login · Customer Portal</t>
  </si>
  <si>
    <t xml:space="preserve">Round 1</t>
  </si>
  <si>
    <t xml:space="preserve">AI (Claude)</t>
  </si>
  <si>
    <t xml:space="preserve">Created date</t>
  </si>
  <si>
    <t>01/10/2026</t>
  </si>
  <si>
    <t xml:space="preserve">Round 2</t>
  </si>
  <si>
    <t xml:space="preserve">Figma SGS-DTP-DS · Screens 01 Authentication · Customer / Sign in</t>
  </si>
  <si>
    <t>Classification</t>
  </si>
  <si>
    <t>Priority</t>
  </si>
  <si>
    <t>TVP_ID</t>
  </si>
  <si>
    <t xml:space="preserve">Test case name/ Test view point</t>
  </si>
  <si>
    <t>Pre-condition</t>
  </si>
  <si>
    <t>Step</t>
  </si>
  <si>
    <t xml:space="preserve">Expected result</t>
  </si>
  <si>
    <t xml:space="preserve">Dev test</t>
  </si>
  <si>
    <t>Result</t>
  </si>
  <si>
    <t xml:space="preserve">Test person</t>
  </si>
  <si>
    <t xml:space="preserve">Test date</t>
  </si>
  <si>
    <t>Bug_ID</t>
  </si>
  <si>
    <t>Remark</t>
  </si>
  <si>
    <t xml:space="preserve">Chờ text</t>
  </si>
  <si>
    <t>UC</t>
  </si>
  <si>
    <t>No.</t>
  </si>
  <si>
    <t>I</t>
  </si>
  <si>
    <t>II</t>
  </si>
  <si>
    <t>III</t>
  </si>
  <si>
    <t>IV</t>
  </si>
  <si>
    <t xml:space="preserve">Đăng nhập - Login</t>
  </si>
  <si>
    <t xml:space="preserve">Điều hướng - Redirect</t>
  </si>
  <si>
    <t xml:space="preserve">Vào màn hình</t>
  </si>
  <si>
    <t xml:space="preserve">Chưa đăng nhập</t>
  </si>
  <si>
    <t>High</t>
  </si>
  <si>
    <t>TC_001</t>
  </si>
  <si>
    <t xml:space="preserve">Kiểm tra đường dẫn vào màn hình đăng nhập</t>
  </si>
  <si>
    <t xml:space="preserve">1. Mở {{url.customer}}</t>
  </si>
  <si>
    <t xml:space="preserve">- Chuyển sang màn hình Đăng nhập
- Hiển thị đủ: logo SGS, tiêu đề Digital Trust Platform, phụ đề Customer Portal</t>
  </si>
  <si>
    <t>UC-AUTH-001</t>
  </si>
  <si>
    <t xml:space="preserve">Đã đăng nhập</t>
  </si>
  <si>
    <t>Medium</t>
  </si>
  <si>
    <t>TC_002</t>
  </si>
  <si>
    <t xml:space="preserve">Kiểm tra khi đã đăng nhập mà mở lại màn đăng nhập</t>
  </si>
  <si>
    <t xml:space="preserve">Đã đăng nhập bằng {{user.cust_admin}}</t>
  </si>
  <si>
    <t xml:space="preserve">1. Mở lại {{url.customer}}/login</t>
  </si>
  <si>
    <t xml:space="preserve">Chưa rõ: vào thẳng Home hay vẫn hiện màn đăng nhập → Q-L-12</t>
  </si>
  <si>
    <t xml:space="preserve">Mở link sâu khi chưa đăng nhập</t>
  </si>
  <si>
    <t>TC_003</t>
  </si>
  <si>
    <t xml:space="preserve">Kiểm tra mở trang nội bộ bằng URL khi chưa đăng nhập</t>
  </si>
  <si>
    <t xml:space="preserve">1. Dán URL một trang nội bộ, ví dụ {{url.customer}}/scopes
2. Enter</t>
  </si>
  <si>
    <t xml:space="preserve">- Chuyển sang màn hình Đăng nhập, không hiển thị nội dung trang nội bộ</t>
  </si>
  <si>
    <t xml:space="preserve">Sau khi đăng nhập có quay lại đúng trang vừa mở không → Q-L-12</t>
  </si>
  <si>
    <t>UC-ROL-001</t>
  </si>
  <si>
    <t xml:space="preserve">Hiển thị - Display</t>
  </si>
  <si>
    <t xml:space="preserve">Khối bên trái</t>
  </si>
  <si>
    <t xml:space="preserve">Thương hiệu</t>
  </si>
  <si>
    <t>Low</t>
  </si>
  <si>
    <t>TC_004</t>
  </si>
  <si>
    <t xml:space="preserve">Kiểm tra hiển thị khối thương hiệu bên trái</t>
  </si>
  <si>
    <t xml:space="preserve">Chưa đăng nhập, mở {{url.customer}}</t>
  </si>
  <si>
    <t xml:space="preserve">1. Kiểm tra khối bên trái</t>
  </si>
  <si>
    <t xml:space="preserve">- Hiển thị hoạ tiết thương hiệu SGS
- Tiêu đề: Digital Trust Platform
- Phụ đề: Customer Portal</t>
  </si>
  <si>
    <t xml:space="preserve">Khối bên phải</t>
  </si>
  <si>
    <t xml:space="preserve">Logo và tiêu đề</t>
  </si>
  <si>
    <t>TC_005</t>
  </si>
  <si>
    <t xml:space="preserve">Kiểm tra hiển thị logo và tiêu đề khối đăng nhập</t>
  </si>
  <si>
    <t xml:space="preserve">1. Kiểm tra phần đầu khối bên phải</t>
  </si>
  <si>
    <t xml:space="preserve">- Logo SGS
- Tiêu đề: Digital Trust Platform
- Phụ đề: Customer Portal</t>
  </si>
  <si>
    <t xml:space="preserve">Tiêu đề trình duyệt</t>
  </si>
  <si>
    <t>TC_006</t>
  </si>
  <si>
    <t xml:space="preserve">Kiểm tra tiêu đề tab trình duyệt</t>
  </si>
  <si>
    <t xml:space="preserve">1. Kiểm tra tiêu đề tab</t>
  </si>
  <si>
    <t xml:space="preserve">Chưa có text tiêu đề tab trong thiết kế</t>
  </si>
  <si>
    <t xml:space="preserve">Màn hình hẹp</t>
  </si>
  <si>
    <t>TC_007</t>
  </si>
  <si>
    <t xml:space="preserve">Kiểm tra hiển thị ở màn hình hẹp</t>
  </si>
  <si>
    <t xml:space="preserve">1. Thu nhỏ cửa sổ xuống dưới 768px
2. Kiểm tra bố cục</t>
  </si>
  <si>
    <t xml:space="preserve">Thiết kế chưa có bản màn hình hẹp</t>
  </si>
  <si>
    <t xml:space="preserve">Ngôn ngữ - Language</t>
  </si>
  <si>
    <t xml:space="preserve">Bộ chọn ngôn ngữ</t>
  </si>
  <si>
    <t xml:space="preserve">Hiển thị mặc định</t>
  </si>
  <si>
    <t>TC_008</t>
  </si>
  <si>
    <t xml:space="preserve">Kiểm tra hiển thị mặc định của bộ chọn ngôn ngữ</t>
  </si>
  <si>
    <t xml:space="preserve">1. Kiểm tra góc trên bên phải</t>
  </si>
  <si>
    <t xml:space="preserve">- Hiển thị icon quả địa cầu
- Giá trị mặc định: EN
- Có mũi tên mở danh sách</t>
  </si>
  <si>
    <t xml:space="preserve">Mặc định lấy theo trình duyệt hay cố định EN → Q-L-08</t>
  </si>
  <si>
    <t xml:space="preserve">Mở danh sách</t>
  </si>
  <si>
    <t>TC_009</t>
  </si>
  <si>
    <t xml:space="preserve">Kiểm tra hiển thị khi mở danh sách ngôn ngữ</t>
  </si>
  <si>
    <t xml:space="preserve">1. Bấm vào bộ chọn ngôn ngữ</t>
  </si>
  <si>
    <t xml:space="preserve">Danh sách ngôn ngữ gồm những gì → Q-L-08</t>
  </si>
  <si>
    <t xml:space="preserve">Chọn ngôn ngữ khác</t>
  </si>
  <si>
    <t>TC_010</t>
  </si>
  <si>
    <t xml:space="preserve">Kiểm tra khi chọn một ngôn ngữ khác</t>
  </si>
  <si>
    <t xml:space="preserve">1. Mở danh sách
2. Chọn một ngôn ngữ khác EN</t>
  </si>
  <si>
    <t xml:space="preserve">Bản dịch của màn đăng nhập chưa có → Q-L-08</t>
  </si>
  <si>
    <t xml:space="preserve">Giữ lựa chọn</t>
  </si>
  <si>
    <t>TC_011</t>
  </si>
  <si>
    <t xml:space="preserve">Kiểm tra giữ ngôn ngữ đã chọn sau khi tải lại trang</t>
  </si>
  <si>
    <t xml:space="preserve">1. Chọn ngôn ngữ khác
2. Tải lại trang</t>
  </si>
  <si>
    <t xml:space="preserve">Có lưu lựa chọn không → Q-L-08</t>
  </si>
  <si>
    <t>Email</t>
  </si>
  <si>
    <t xml:space="preserve">Hiển thị</t>
  </si>
  <si>
    <t xml:space="preserve">Mặc định</t>
  </si>
  <si>
    <t>TC_012</t>
  </si>
  <si>
    <t xml:space="preserve">Kiểm tra hiển thị mặc định của trường Email</t>
  </si>
  <si>
    <t xml:space="preserve">1. Kiểm tra trường Email</t>
  </si>
  <si>
    <t xml:space="preserve">- Nhãn: Email kèm dấu * đỏ
- Placeholder: name@company.com
- Ô rỗng, không có thông báo lỗi</t>
  </si>
  <si>
    <t xml:space="preserve">Khi focus</t>
  </si>
  <si>
    <t>TC_013</t>
  </si>
  <si>
    <t xml:space="preserve">Kiểm tra hiển thị khi đặt con trỏ vào trường Email</t>
  </si>
  <si>
    <t xml:space="preserve">1. Bấm vào trường Email</t>
  </si>
  <si>
    <t xml:space="preserve">- Trường được làm nổi
- Placeholder vẫn hiển thị khi chưa gõ</t>
  </si>
  <si>
    <t xml:space="preserve">Nhập liệu</t>
  </si>
  <si>
    <t xml:space="preserve">Nhập hợp lệ</t>
  </si>
  <si>
    <t>TC_014</t>
  </si>
  <si>
    <t xml:space="preserve">Kiểm tra nhập email đúng định dạng</t>
  </si>
  <si>
    <t xml:space="preserve">1. Nhập {{user.cust_admin}}</t>
  </si>
  <si>
    <t xml:space="preserve">- Hiển thị đúng text đã nhập
- Không có thông báo lỗi</t>
  </si>
  <si>
    <t xml:space="preserve">Giới hạn ký tự</t>
  </si>
  <si>
    <t>TC_015</t>
  </si>
  <si>
    <t xml:space="preserve">Kiểm tra nhập quá giới hạn ký tự</t>
  </si>
  <si>
    <t xml:space="preserve">1. Nhập chuỗi dài hơn giới hạn cho phép</t>
  </si>
  <si>
    <t xml:space="preserve">Giới hạn ký tự của Email là bao nhiêu → Q-L-10</t>
  </si>
  <si>
    <t xml:space="preserve">Ký tự đặc biệt và câu lệnh SQL</t>
  </si>
  <si>
    <t>TC_016</t>
  </si>
  <si>
    <t xml:space="preserve">Kiểm tra nhập ký tự đặc biệt và câu lệnh SQL</t>
  </si>
  <si>
    <t xml:space="preserve">1. Nhập chuỗi chứa ' OR 1=1 -- và thẻ &lt;script&gt;
2. Bấm Sign in</t>
  </si>
  <si>
    <t xml:space="preserve">- Không đăng nhập được
- Không có lỗi hệ thống, không lộ thông tin kỹ thuật</t>
  </si>
  <si>
    <t xml:space="preserve">Text lỗi hiển thị là gì → Q-L-02</t>
  </si>
  <si>
    <t xml:space="preserve">Khoảng trắng đầu cuối</t>
  </si>
  <si>
    <t>TC_017</t>
  </si>
  <si>
    <t xml:space="preserve">Kiểm tra nhập email có khoảng trắng ở đầu và cuối</t>
  </si>
  <si>
    <t xml:space="preserve">1. Nhập ' {{user.cust_admin}} '
2. Bấm Sign in</t>
  </si>
  <si>
    <t xml:space="preserve">Có tự cắt khoảng trắng không → Q-L-02</t>
  </si>
  <si>
    <t xml:space="preserve">Chữ hoa chữ thường</t>
  </si>
  <si>
    <t>TC_018</t>
  </si>
  <si>
    <t xml:space="preserve">Kiểm tra nhập email viết hoa</t>
  </si>
  <si>
    <t xml:space="preserve">1. Nhập email đúng nhưng viết hoa toàn bộ
2. Bấm Sign in</t>
  </si>
  <si>
    <t xml:space="preserve">Email có phân biệt hoa thường không → Q-L-02</t>
  </si>
  <si>
    <t xml:space="preserve">Kiểm tra dữ liệu</t>
  </si>
  <si>
    <t xml:space="preserve">Bỏ trống</t>
  </si>
  <si>
    <t>TC_019</t>
  </si>
  <si>
    <t xml:space="preserve">Kiểm tra bỏ trống Email rồi đăng nhập</t>
  </si>
  <si>
    <t xml:space="preserve">1. Để trống Email
2. Nhập mật khẩu hợp lệ
3. Bấm Sign in</t>
  </si>
  <si>
    <t xml:space="preserve">- Không gọi đăng nhập
- Hiển thị thông báo lỗi ngay dưới trường Email</t>
  </si>
  <si>
    <t xml:space="preserve">Text lỗi nguyên văn → Q-L-01</t>
  </si>
  <si>
    <t xml:space="preserve">Sai định dạng</t>
  </si>
  <si>
    <t>TC_020</t>
  </si>
  <si>
    <t xml:space="preserve">Kiểm tra nhập email sai định dạng</t>
  </si>
  <si>
    <t xml:space="preserve">1. Nhập 'abc@' 
2. Nhập mật khẩu hợp lệ
3. Bấm Sign in</t>
  </si>
  <si>
    <t xml:space="preserve">Text lỗi nguyên văn → Q-L-02</t>
  </si>
  <si>
    <t xml:space="preserve">Mật khẩu - Password</t>
  </si>
  <si>
    <t>TC_021</t>
  </si>
  <si>
    <t xml:space="preserve">Kiểm tra hiển thị mặc định của trường Mật khẩu</t>
  </si>
  <si>
    <t xml:space="preserve">1. Kiểm tra trường Password</t>
  </si>
  <si>
    <t xml:space="preserve">- Nhãn: Password kèm dấu * đỏ
- Placeholder: Enter your password
- Ô rỗng, không có thông báo lỗi</t>
  </si>
  <si>
    <t xml:space="preserve">Che ký tự</t>
  </si>
  <si>
    <t>TC_022</t>
  </si>
  <si>
    <t xml:space="preserve">Kiểm tra ký tự mật khẩu được che</t>
  </si>
  <si>
    <t xml:space="preserve">1. Nhập mật khẩu bất kỳ</t>
  </si>
  <si>
    <t xml:space="preserve">- Mọi ký tự hiển thị dạng chấm tròn, không hiện text gốc</t>
  </si>
  <si>
    <t xml:space="preserve">Nút hiện mật khẩu</t>
  </si>
  <si>
    <t>TC_023</t>
  </si>
  <si>
    <t xml:space="preserve">Kiểm tra nút hiện/ẩn mật khẩu</t>
  </si>
  <si>
    <t xml:space="preserve">1. Kiểm tra bên trong trường Password</t>
  </si>
  <si>
    <t xml:space="preserve">Thiết kế không có nút hiện/ẩn mật khẩu — có hay không → Q-L-11</t>
  </si>
  <si>
    <t>TC_024</t>
  </si>
  <si>
    <t xml:space="preserve">Giới hạn ký tự của Password là bao nhiêu → Q-L-10</t>
  </si>
  <si>
    <t xml:space="preserve">Dán nội dung</t>
  </si>
  <si>
    <t>TC_025</t>
  </si>
  <si>
    <t xml:space="preserve">Kiểm tra dán mật khẩu từ bộ nhớ tạm</t>
  </si>
  <si>
    <t xml:space="preserve">1. Dán chuỗi vào trường Password</t>
  </si>
  <si>
    <t xml:space="preserve">- Cho phép dán
- Ký tự vẫn được che</t>
  </si>
  <si>
    <t>TC_026</t>
  </si>
  <si>
    <t xml:space="preserve">Kiểm tra bỏ trống Mật khẩu rồi đăng nhập</t>
  </si>
  <si>
    <t xml:space="preserve">1. Nhập Email hợp lệ
2. Để trống Password
3. Bấm Sign in</t>
  </si>
  <si>
    <t xml:space="preserve">- Không gọi đăng nhập
- Hiển thị thông báo lỗi ngay dưới trường Password</t>
  </si>
  <si>
    <t xml:space="preserve">Bỏ trống cả hai</t>
  </si>
  <si>
    <t>TC_027</t>
  </si>
  <si>
    <t xml:space="preserve">Kiểm tra bỏ trống cả hai trường rồi đăng nhập</t>
  </si>
  <si>
    <t xml:space="preserve">1. Để trống cả hai
2. Bấm Sign in</t>
  </si>
  <si>
    <t xml:space="preserve">- Không gọi đăng nhập
- Hiển thị lỗi ở cả hai trường</t>
  </si>
  <si>
    <t xml:space="preserve">Ghi nhớ đăng nhập</t>
  </si>
  <si>
    <t>Checkbox</t>
  </si>
  <si>
    <t>TC_028</t>
  </si>
  <si>
    <t xml:space="preserve">Kiểm tra trạng thái mặc định của checkbox</t>
  </si>
  <si>
    <t xml:space="preserve">1. Kiểm tra checkbox Keep me signed in</t>
  </si>
  <si>
    <t xml:space="preserve">- Checkbox ở trạng thái chưa tích
- Nhãn: Keep me signed in</t>
  </si>
  <si>
    <t xml:space="preserve">Tích và bỏ tích</t>
  </si>
  <si>
    <t>TC_029</t>
  </si>
  <si>
    <t xml:space="preserve">Kiểm tra tích và bỏ tích checkbox</t>
  </si>
  <si>
    <t xml:space="preserve">1. Tích checkbox
2. Bỏ tích</t>
  </si>
  <si>
    <t xml:space="preserve">- Trạng thái đổi theo thao tác</t>
  </si>
  <si>
    <t xml:space="preserve">Phiên đăng nhập</t>
  </si>
  <si>
    <t xml:space="preserve">Có tích</t>
  </si>
  <si>
    <t>TC_030</t>
  </si>
  <si>
    <t xml:space="preserve">Kiểm tra thời hạn phiên khi có tích</t>
  </si>
  <si>
    <t xml:space="preserve">1. Tích checkbox
2. Đăng nhập thành công
3. Đóng trình duyệt rồi mở lại</t>
  </si>
  <si>
    <t xml:space="preserve">Thời hạn phiên khi có tích là bao lâu → Q-L-06</t>
  </si>
  <si>
    <t xml:space="preserve">Không tích</t>
  </si>
  <si>
    <t>TC_031</t>
  </si>
  <si>
    <t xml:space="preserve">Kiểm tra thời hạn phiên khi không tích</t>
  </si>
  <si>
    <t xml:space="preserve">1. Không tích checkbox
2. Đăng nhập thành công
3. Đóng trình duyệt rồi mở lại</t>
  </si>
  <si>
    <t xml:space="preserve">Thời hạn phiên khi không tích là bao lâu → Q-L-06</t>
  </si>
  <si>
    <t xml:space="preserve">Đăng nhập - Sign in</t>
  </si>
  <si>
    <t xml:space="preserve">Thành công</t>
  </si>
  <si>
    <t xml:space="preserve">Đúng cặp email và mật khẩu</t>
  </si>
  <si>
    <t>TC_032</t>
  </si>
  <si>
    <t xml:space="preserve">Kiểm tra đăng nhập với thông tin hợp lệ</t>
  </si>
  <si>
    <t xml:space="preserve">Có tài khoản {{user.cust_admin}} đang hoạt động</t>
  </si>
  <si>
    <t xml:space="preserve">1. Nhập {{user.cust_admin}}
2. Nhập mật khẩu đúng
3. Bấm Sign in</t>
  </si>
  <si>
    <t xml:space="preserve">- Đăng nhập thành công, không có thông báo lỗi
- Rời khỏi màn hình đăng nhập</t>
  </si>
  <si>
    <t xml:space="preserve">Màn hình sau khi đăng nhập</t>
  </si>
  <si>
    <t>TC_033</t>
  </si>
  <si>
    <t xml:space="preserve">Kiểm tra màn hình hiển thị sau khi đăng nhập</t>
  </si>
  <si>
    <t xml:space="preserve">1. Đăng nhập thành công
2. Kiểm tra màn hình</t>
  </si>
  <si>
    <t xml:space="preserve">- Hiển thị màn hình Home của Customer Portal
- Menu trái hiện đúng các mục theo vai trò</t>
  </si>
  <si>
    <t xml:space="preserve">Xác nhận màn hình đích là Home → Q-L-12</t>
  </si>
  <si>
    <t xml:space="preserve">Nhấn Enter để gửi</t>
  </si>
  <si>
    <t>TC_034</t>
  </si>
  <si>
    <t xml:space="preserve">Kiểm tra đăng nhập bằng phím Enter</t>
  </si>
  <si>
    <t xml:space="preserve">1. Nhập đủ email và mật khẩu
2. Nhấn phím Enter</t>
  </si>
  <si>
    <t xml:space="preserve">- Gửi biểu mẫu, kết quả giống khi bấm Sign in</t>
  </si>
  <si>
    <t xml:space="preserve">Vai trò khác</t>
  </si>
  <si>
    <t>TC_035</t>
  </si>
  <si>
    <t xml:space="preserve">Kiểm tra đăng nhập bằng vai trò chỉ đọc</t>
  </si>
  <si>
    <t xml:space="preserve">Có tài khoản {{user.cust_viewer}} đang hoạt động</t>
  </si>
  <si>
    <t xml:space="preserve">1. Đăng nhập bằng {{user.cust_viewer}}</t>
  </si>
  <si>
    <t xml:space="preserve">- Đăng nhập thành công
- Menu và nút hành động hiển thị theo đúng quyền của vai trò</t>
  </si>
  <si>
    <t xml:space="preserve">Không thành công</t>
  </si>
  <si>
    <t xml:space="preserve">Sai mật khẩu</t>
  </si>
  <si>
    <t>TC_036</t>
  </si>
  <si>
    <t xml:space="preserve">Kiểm tra đăng nhập với mật khẩu sai</t>
  </si>
  <si>
    <t xml:space="preserve">1. Nhập email đúng
2. Nhập mật khẩu sai
3. Bấm Sign in</t>
  </si>
  <si>
    <t xml:space="preserve">- Không đăng nhập được, vẫn ở màn hình đăng nhập
- Hiển thị thông báo lỗi</t>
  </si>
  <si>
    <t xml:space="preserve">Text lỗi nguyên văn → Q-L-03</t>
  </si>
  <si>
    <t xml:space="preserve">Email không tồn tại</t>
  </si>
  <si>
    <t>TC_037</t>
  </si>
  <si>
    <t xml:space="preserve">Kiểm tra đăng nhập với email không tồn tại</t>
  </si>
  <si>
    <t xml:space="preserve">1. Nhập email chưa đăng ký
2. Nhập mật khẩu bất kỳ
3. Bấm Sign in</t>
  </si>
  <si>
    <t xml:space="preserve">- Không đăng nhập được
- Thông báo lỗi KHÔNG được tiết lộ email có tồn tại trên hệ thống hay không</t>
  </si>
  <si>
    <t xml:space="preserve">Text lỗi nguyên văn, và có dùng chung text với sai mật khẩu không → Q-L-03</t>
  </si>
  <si>
    <t xml:space="preserve">Tài khoản chưa kích hoạt</t>
  </si>
  <si>
    <t>TC_038</t>
  </si>
  <si>
    <t xml:space="preserve">Kiểm tra đăng nhập bằng tài khoản chưa kích hoạt</t>
  </si>
  <si>
    <t xml:space="preserve">Có tài khoản ở trạng thái chưa kích hoạt</t>
  </si>
  <si>
    <t xml:space="preserve">1. Nhập email của tài khoản chưa kích hoạt
2. Nhập mật khẩu
3. Bấm Sign in</t>
  </si>
  <si>
    <t xml:space="preserve">- Không đăng nhập được</t>
  </si>
  <si>
    <t xml:space="preserve">Điều kiện và text của trạng thái Inactive → Q-L-05</t>
  </si>
  <si>
    <t>UC-AUTH-005</t>
  </si>
  <si>
    <t xml:space="preserve">Tài khoản bị khoá</t>
  </si>
  <si>
    <t>TC_039</t>
  </si>
  <si>
    <t xml:space="preserve">Kiểm tra đăng nhập bằng tài khoản bị khoá</t>
  </si>
  <si>
    <t xml:space="preserve">Có tài khoản ở trạng thái bị khoá</t>
  </si>
  <si>
    <t xml:space="preserve">1. Nhập email của tài khoản bị khoá
2. Nhập mật khẩu đúng
3. Bấm Sign in</t>
  </si>
  <si>
    <t xml:space="preserve">Điều kiện khoá và text → Q-L-04</t>
  </si>
  <si>
    <t xml:space="preserve">Sai nhiều lần liên tiếp</t>
  </si>
  <si>
    <t>TC_040</t>
  </si>
  <si>
    <t xml:space="preserve">Kiểm tra nhập sai mật khẩu nhiều lần liên tiếp</t>
  </si>
  <si>
    <t xml:space="preserve">1. Nhập sai mật khẩu nhiều lần liên tiếp
2. Kiểm tra sau mỗi lần</t>
  </si>
  <si>
    <t xml:space="preserve">Sai bao nhiêu lần thì khoá, khoá bao lâu, có CAPTCHA không → Q-L-04, Q-L-13</t>
  </si>
  <si>
    <t xml:space="preserve">Tài khoản bị tạm ngừng</t>
  </si>
  <si>
    <t>TC_041</t>
  </si>
  <si>
    <t xml:space="preserve">Kiểm tra đăng nhập khi tài khoản khách hàng bị tạm ngừng</t>
  </si>
  <si>
    <t xml:space="preserve">Tài khoản khách hàng ở trạng thái tạm ngừng (UC-ACC-009)</t>
  </si>
  <si>
    <t xml:space="preserve">1. Đăng nhập bằng người dùng thuộc tenant đó</t>
  </si>
  <si>
    <t xml:space="preserve">- Không truy cập được nền tảng</t>
  </si>
  <si>
    <t xml:space="preserve">Hiển thị thông báo gì → Q-L-05</t>
  </si>
  <si>
    <t>UC-ACC-009</t>
  </si>
  <si>
    <t xml:space="preserve">Nút Sign in</t>
  </si>
  <si>
    <t xml:space="preserve">Trạng thái nút</t>
  </si>
  <si>
    <t>TC_042</t>
  </si>
  <si>
    <t xml:space="preserve">Kiểm tra trạng thái mặc định của nút Sign in</t>
  </si>
  <si>
    <t xml:space="preserve">1. Kiểm tra nút Sign in khi hai trường còn rỗng</t>
  </si>
  <si>
    <t xml:space="preserve">Nút bật hay tắt khi chưa nhập gì → Q-L-01</t>
  </si>
  <si>
    <t xml:space="preserve">Đang xử lý</t>
  </si>
  <si>
    <t>TC_043</t>
  </si>
  <si>
    <t xml:space="preserve">Kiểm tra trạng thái nút khi đang gửi</t>
  </si>
  <si>
    <t xml:space="preserve">1. Nhập đủ thông tin
2. Bấm Sign in
3. Quan sát nút trong lúc chờ</t>
  </si>
  <si>
    <t xml:space="preserve">Thiết kế chưa có trạng thái đang xử lý</t>
  </si>
  <si>
    <t xml:space="preserve">Bấm nhiều lần</t>
  </si>
  <si>
    <t>TC_044</t>
  </si>
  <si>
    <t xml:space="preserve">Kiểm tra bấm Sign in nhiều lần liên tiếp</t>
  </si>
  <si>
    <t xml:space="preserve">1. Nhập đủ thông tin
2. Bấm Sign in liên tiếp nhiều lần</t>
  </si>
  <si>
    <t xml:space="preserve">- Chỉ tạo một phiên đăng nhập, không gửi trùng yêu cầu</t>
  </si>
  <si>
    <t xml:space="preserve">Hỗ trợ - Support</t>
  </si>
  <si>
    <t xml:space="preserve">Liên kết</t>
  </si>
  <si>
    <t xml:space="preserve">Contact SGS support</t>
  </si>
  <si>
    <t>TC_045</t>
  </si>
  <si>
    <t xml:space="preserve">Kiểm tra hiển thị dòng hỗ trợ</t>
  </si>
  <si>
    <t xml:space="preserve">1. Kiểm tra dòng dưới nút Sign in</t>
  </si>
  <si>
    <t xml:space="preserve">- Text: Need help?
- Liên kết: Contact SGS support, có gạch chân</t>
  </si>
  <si>
    <t xml:space="preserve">Bấm vào liên kết</t>
  </si>
  <si>
    <t>TC_046</t>
  </si>
  <si>
    <t xml:space="preserve">Kiểm tra khi bấm Contact SGS support</t>
  </si>
  <si>
    <t xml:space="preserve">1. Bấm Contact SGS support</t>
  </si>
  <si>
    <t xml:space="preserve">Liên kết dẫn tới đâu: email, trang hỗ trợ hay cửa sổ chat → Q-L-09</t>
  </si>
  <si>
    <t xml:space="preserve">Quên mật khẩu</t>
  </si>
  <si>
    <t xml:space="preserve">Lối vào</t>
  </si>
  <si>
    <t>TC_047</t>
  </si>
  <si>
    <t xml:space="preserve">Kiểm tra lối vào chức năng quên mật khẩu</t>
  </si>
  <si>
    <t xml:space="preserve">1. Tìm liên kết quên mật khẩu trên màn hình đăng nhập</t>
  </si>
  <si>
    <t xml:space="preserve">Màn hình không có liên kết quên mật khẩu, trong khi UC-AUTH-003 có chức năng này. Vào từ đâu → Q-L-07</t>
  </si>
  <si>
    <t>UC-AUTH-003</t>
  </si>
  <si>
    <t xml:space="preserve">Bảo mật - Security</t>
  </si>
  <si>
    <t xml:space="preserve">Lộ thông tin</t>
  </si>
  <si>
    <t xml:space="preserve">Mật khẩu trong DOM</t>
  </si>
  <si>
    <t>TC_048</t>
  </si>
  <si>
    <t xml:space="preserve">Kiểm tra mật khẩu không bị lộ trong mã trang</t>
  </si>
  <si>
    <t xml:space="preserve">1. Nhập mật khẩu
2. Mở công cụ nhà phát triển, xem phần tử trường Password</t>
  </si>
  <si>
    <t xml:space="preserve">- Thuộc tính type là password
- Giá trị không hiển thị dạng text thường</t>
  </si>
  <si>
    <t xml:space="preserve">Mật khẩu trong yêu cầu mạng</t>
  </si>
  <si>
    <t>TC_049</t>
  </si>
  <si>
    <t xml:space="preserve">Kiểm tra mật khẩu không nằm trên URL</t>
  </si>
  <si>
    <t xml:space="preserve">1. Mở tab Network
2. Đăng nhập
3. Kiểm tra yêu cầu đăng nhập</t>
  </si>
  <si>
    <t xml:space="preserve">- Gửi bằng phương thức POST qua HTTPS
- Mật khẩu không nằm trong chuỗi truy vấn của URL</t>
  </si>
  <si>
    <t xml:space="preserve">Phiên làm việc</t>
  </si>
  <si>
    <t xml:space="preserve">Quay lại sau khi đăng xuất</t>
  </si>
  <si>
    <t>TC_050</t>
  </si>
  <si>
    <t xml:space="preserve">Kiểm tra dùng nút Quay lại sau khi đăng xuất</t>
  </si>
  <si>
    <t xml:space="preserve">Đã đăng nhập rồi đăng xuất</t>
  </si>
  <si>
    <t xml:space="preserve">1. Bấm nút Quay lại của trình duyệt
2. Kiểm tra hiển thị</t>
  </si>
  <si>
    <t xml:space="preserve">- Không hiển thị nội dung trang nội bộ
- Chuyển về màn hình đăng nhập</t>
  </si>
  <si>
    <t xml:space="preserve">Gọi thẳng API khi chưa đăng nhập</t>
  </si>
  <si>
    <t>TC_051</t>
  </si>
  <si>
    <t xml:space="preserve">Kiểm tra gọi API khi chưa có phiên</t>
  </si>
  <si>
    <t xml:space="preserve">1. Gọi thẳng một API nội bộ không kèm token</t>
  </si>
  <si>
    <t xml:space="preserve">- Trả về 401, không trả dữ liệu</t>
  </si>
  <si>
    <t xml:space="preserve">Ghi vết</t>
  </si>
  <si>
    <t xml:space="preserve">Ghi nhận lần đăng nhập</t>
  </si>
  <si>
    <t>TC_052</t>
  </si>
  <si>
    <t xml:space="preserve">Kiểm tra ghi vết đăng nhập thành công và thất bại</t>
  </si>
  <si>
    <t xml:space="preserve">1. Đăng nhập sai một lần
2. Đăng nhập đúng một lần
3. Mở Audit Trail bằng {{user.sgs_admin}}</t>
  </si>
  <si>
    <t xml:space="preserve">- Có bản ghi cho cả lần thất bại và lần thành công, đúng người, đúng thời điểm</t>
  </si>
  <si>
    <t xml:space="preserve">MVP có ghi vết lần đăng nhập thất bại không</t>
  </si>
  <si>
    <t>UC-AUD-001</t>
  </si>
  <si>
    <t>Vào danh sách - Scope list</t>
  </si>
  <si>
    <t>Từ menu</t>
  </si>
  <si>
    <t>Bấm Scopes ở menu trái</t>
  </si>
  <si>
    <t>Kiểm tra vào màn Scopes từ menu trái</t>
  </si>
  <si>
    <t>Đã đăng nhập {{user.cust_admin}}, đang ở màn Home</t>
  </si>
  <si>
    <t>1. Bấm mục Scopes ở menu trái</t>
  </si>
  <si>
    <t xml:space="preserve">- Chuyển sang màn Scopes, URL {{url.app}}/scopes
- Breadcrumb: Scopes
- Mục Scopes ở menu trái được tô nền</t>
  </si>
  <si>
    <t>UC-SCP-001</t>
  </si>
  <si>
    <t>Bằng URL</t>
  </si>
  <si>
    <t>Kiểm tra mở màn Scopes bằng URL</t>
  </si>
  <si>
    <t>Đã đăng nhập {{user.cust_admin}}</t>
  </si>
  <si>
    <t>1. Mở {{url.app}}/scopes</t>
  </si>
  <si>
    <t xml:space="preserve">- Hiển thị màn Scopes
- Mục Scopes ở menu trái được tô nền</t>
  </si>
  <si>
    <t>Vào chi tiết - Scope detail</t>
  </si>
  <si>
    <t>Từ danh sách</t>
  </si>
  <si>
    <t>Bấm tên scope</t>
  </si>
  <si>
    <t>Kiểm tra mở chi tiết scope từ danh sách</t>
  </si>
  <si>
    <t>Đăng nhập {{user.cust_admin}}, mở màn Scopes</t>
  </si>
  <si>
    <t>1. Bấm tên {{scope.org}} trong bảng</t>
  </si>
  <si>
    <t xml:space="preserve">- Chuyển sang màn chi tiết, URL dạng {{url.app}}/scopes/&lt;mã scope&gt;
- Tiêu đề trang là tên {{scope.org}}</t>
  </si>
  <si>
    <t>UC-SCP-002</t>
  </si>
  <si>
    <t>Mã scope hợp lệ</t>
  </si>
  <si>
    <t>Kiểm tra mở chi tiết scope bằng URL</t>
  </si>
  <si>
    <t>1. Mở {{url.app}}/scopes/&lt;mã của {{scope.org}}&gt;</t>
  </si>
  <si>
    <t>- Hiển thị màn chi tiết của {{scope.org}}</t>
  </si>
  <si>
    <t>Mã scope không tồn tại</t>
  </si>
  <si>
    <t>Kiểm tra mở chi tiết bằng mã scope không tồn tại</t>
  </si>
  <si>
    <t>1. Mở {{url.app}}/scopes/{{scope.id_missing}}</t>
  </si>
  <si>
    <t>Hiện trang lỗi, thông báo, hay quay về danh sách → Q-S-26</t>
  </si>
  <si>
    <t>Danh sách scope - Scope list</t>
  </si>
  <si>
    <t>Tiêu đề trang - Title</t>
  </si>
  <si>
    <t>Breadcrumb, tiêu đề, mô tả</t>
  </si>
  <si>
    <t>Kiểm tra phần đầu màn Scopes</t>
  </si>
  <si>
    <t>1. Kiểm tra phần đầu trang</t>
  </si>
  <si>
    <t xml:space="preserve">- Breadcrumb: Scopes
- Tiêu đề: Scopes
- Mô tả: The parts of {{tenant.short}} you prepare for a framework: the organisation, a product or a system.</t>
  </si>
  <si>
    <t>Mô tả dùng tên ngắn (ABC Trading), màn chi tiết dùng tên đầy đủ (ABC Trading Co., Ltd.) → Q-S-02</t>
  </si>
  <si>
    <t>Tạo scope - Create scope</t>
  </si>
  <si>
    <t>Nút tạo scope</t>
  </si>
  <si>
    <t>Kiểm tra hiển thị nút tạo scope</t>
  </si>
  <si>
    <t>- Có nút tạo scope ở góc trên bên phải</t>
  </si>
  <si>
    <t>Nhãn: Figma 'Create scope', prototype '+ Create scope' → Q-S-03</t>
  </si>
  <si>
    <t>UC-SCP-003</t>
  </si>
  <si>
    <t>Mở hộp thoại</t>
  </si>
  <si>
    <t>Bấm nút tạo scope</t>
  </si>
  <si>
    <t>Kiểm tra mở hộp thoại Create scope</t>
  </si>
  <si>
    <t>1. Bấm nút tạo scope</t>
  </si>
  <si>
    <t xml:space="preserve">- Mở hộp thoại tiêu đề Create scope, có nút đóng ×
- Có nút Cancel và nút Create scope</t>
  </si>
  <si>
    <t>Trạng thái mặc định</t>
  </si>
  <si>
    <t>Kiểm tra các trường mặc định của hộp thoại Create scope</t>
  </si>
  <si>
    <t xml:space="preserve">1. Mở hộp thoại Create scope
2. Kiểm tra từ trên xuống</t>
  </si>
  <si>
    <t xml:space="preserve">- Type * gồm 3 lựa chọn, chưa chọn sẵn lựa chọn nào:
  Organization — The whole company or one legal entity
  Product — A product or service you offer
  System — One information system; can belong to an organisation and a product
- Name * rỗng
- What is in scope * rỗng
- What is out of scope (optional) rỗng, placeholder: e.g. Marketing email tool run by a supplier</t>
  </si>
  <si>
    <t>Chọn loại</t>
  </si>
  <si>
    <t>Chọn System</t>
  </si>
  <si>
    <t>Kiểm tra các trường hiện thêm khi chọn System</t>
  </si>
  <si>
    <t xml:space="preserve">1. Mở hộp thoại Create scope
2. Chọn System</t>
  </si>
  <si>
    <t xml:space="preserve">- Lựa chọn System được đánh dấu
- Hiện thêm hai trường: Belongs to organisation (placeholder Choose) và Belongs to product (optional) (mặc định None)</t>
  </si>
  <si>
    <t>Belongs to organisation không có * cũng không ghi (optional) → Q-S-04</t>
  </si>
  <si>
    <t>Đổi từ System sang loại khác</t>
  </si>
  <si>
    <t>Kiểm tra đổi loại sau khi đã chọn System</t>
  </si>
  <si>
    <t xml:space="preserve">1. Mở hộp thoại, chọn System, chọn một giá trị Belongs to organisation
2. Đổi sang Organization
3. Đổi sang Product</t>
  </si>
  <si>
    <t>- Ở bước 2 và 3 không còn hai trường Belongs to organisation, Belongs to product (optional)</t>
  </si>
  <si>
    <t>Giá trị Belongs to đã chọn có bị bỏ khi đổi loại → Q-S-04</t>
  </si>
  <si>
    <t>Danh sách chọn</t>
  </si>
  <si>
    <t>Belongs to organisation</t>
  </si>
  <si>
    <t>Kiểm tra danh sách chọn của Belongs to organisation</t>
  </si>
  <si>
    <t xml:space="preserve">1. Mở hộp thoại, chọn System
2. Mở danh sách Belongs to organisation</t>
  </si>
  <si>
    <t xml:space="preserve">- Chỉ liệt kê scope loại Organization của tenant, ví dụ {{scope.org}}
- Không có scope loại Product, System</t>
  </si>
  <si>
    <t>Belongs to product</t>
  </si>
  <si>
    <t>Kiểm tra danh sách chọn của Belongs to product (optional)</t>
  </si>
  <si>
    <t xml:space="preserve">1. Mở hộp thoại, chọn System
2. Mở danh sách Belongs to product (optional)</t>
  </si>
  <si>
    <t xml:space="preserve">- Có lựa chọn None
- Liệt kê scope loại Product của tenant, ví dụ {{scope.prd}}, {{scope.prd_empty}}
- Không có scope loại Organization, System</t>
  </si>
  <si>
    <t>Không chọn Type</t>
  </si>
  <si>
    <t>Kiểm tra tạo scope khi chưa chọn Type</t>
  </si>
  <si>
    <t xml:space="preserve">1. Mở hộp thoại
2. Nhập Name, What is in scope; không chọn Type
3. Bấm Create scope</t>
  </si>
  <si>
    <t xml:space="preserve">- Không tạo scope, hộp thoại vẫn mở
- Hiện lỗi tại Type</t>
  </si>
  <si>
    <t>Text lỗi nguyên văn → Q-S-05</t>
  </si>
  <si>
    <t>Bỏ trống Name</t>
  </si>
  <si>
    <t>Kiểm tra tạo scope khi bỏ trống Name</t>
  </si>
  <si>
    <t xml:space="preserve">1. Mở hộp thoại
2. Chọn Organization, nhập What is in scope, để trống Name
3. Bấm Create scope</t>
  </si>
  <si>
    <t xml:space="preserve">- Không tạo scope, hộp thoại vẫn mở
- Hiện lỗi tại Name</t>
  </si>
  <si>
    <t>Name chỉ có khoảng trắng</t>
  </si>
  <si>
    <t>Kiểm tra tạo scope khi Name chỉ có khoảng trắng</t>
  </si>
  <si>
    <t xml:space="preserve">1. Mở hộp thoại
2. Chọn Organization, nhập Name là ba dấu cách, nhập What is in scope
3. Bấm Create scope</t>
  </si>
  <si>
    <t>Khoảng trắng có bị coi là rỗng → Q-S-05</t>
  </si>
  <si>
    <t>Bỏ trống What is in scope</t>
  </si>
  <si>
    <t>Kiểm tra tạo scope khi bỏ trống What is in scope</t>
  </si>
  <si>
    <t xml:space="preserve">1. Mở hộp thoại
2. Chọn Organization, nhập Name, để trống What is in scope
3. Bấm Create scope</t>
  </si>
  <si>
    <t xml:space="preserve">- Không tạo scope, hộp thoại vẫn mở
- Hiện lỗi tại What is in scope</t>
  </si>
  <si>
    <t>System chưa chọn Belongs to organisation</t>
  </si>
  <si>
    <t>Kiểm tra tạo scope System khi chưa chọn Belongs to organisation</t>
  </si>
  <si>
    <t xml:space="preserve">1. Mở hộp thoại, chọn System
2. Nhập Name, What is in scope; không chọn Belongs to organisation
3. Bấm Create scope</t>
  </si>
  <si>
    <t>Trường này bắt buộc hay không → Q-S-04</t>
  </si>
  <si>
    <t>Trùng tên</t>
  </si>
  <si>
    <t>Kiểm tra tạo scope trùng tên scope đang có</t>
  </si>
  <si>
    <t xml:space="preserve">1. Mở hộp thoại
2. Nhập Name trùng tên {{scope.org}}, nhập đủ trường bắt buộc
3. Bấm Create scope</t>
  </si>
  <si>
    <t>Chặn hay cho phép trùng tên; có phân biệt hoa thường → Q-S-05</t>
  </si>
  <si>
    <t>Quá giới hạn ký tự</t>
  </si>
  <si>
    <t>1. Nhập Name, What is in scope, What is out of scope dài hơn giới hạn</t>
  </si>
  <si>
    <t>Giới hạn ký tự từng trường → Q-S-05</t>
  </si>
  <si>
    <t>Organization — hiện ở danh sách</t>
  </si>
  <si>
    <t>Kiểm tra scope Organization vừa tạo hiện ở danh sách</t>
  </si>
  <si>
    <t xml:space="preserve">1. Mở hộp thoại, chọn Organization
2. Nhập Name {{scope.new_org}}, nhập What is in scope
3. Bấm Create scope</t>
  </si>
  <si>
    <t xml:space="preserve">- Hộp thoại đóng
- Bảng có dòng {{scope.new_org}}, nhãn loại Organization
- Cột Belongs to: —
- Dòng đếm tăng 1</t>
  </si>
  <si>
    <t>Organization — hiện ở màn chi tiết</t>
  </si>
  <si>
    <t>Kiểm tra màn chi tiết của scope Organization vừa tạo</t>
  </si>
  <si>
    <t>Đã tạo {{scope.new_org}}, Out of scope để trống</t>
  </si>
  <si>
    <t>1. Bấm tên {{scope.new_org}} trong bảng</t>
  </si>
  <si>
    <t xml:space="preserve">- Tiêu đề: {{scope.new_org}}
- Dòng phụ: Organization scope · {{tenant.name}}
- Nhãn Active
- Overview: Type Organization, Contains —, In scope đúng nội dung đã nhập, Out of scope —
- Khối Users có dòng Customer Admin · sees every scope</t>
  </si>
  <si>
    <t>Khối Frameworks khi chưa gắn framework hiển thị gì → Q-S-13</t>
  </si>
  <si>
    <t>Organization — hiện ở Belongs to organisation</t>
  </si>
  <si>
    <t>Kiểm tra scope Organization vừa tạo có trong danh sách Belongs to organisation</t>
  </si>
  <si>
    <t>Đã tạo {{scope.new_org}}</t>
  </si>
  <si>
    <t xml:space="preserve">1. Mở hộp thoại Create scope, chọn System
2. Mở danh sách Belongs to organisation</t>
  </si>
  <si>
    <t>- Danh sách có {{scope.new_org}}</t>
  </si>
  <si>
    <t>Product — hiện ở Belongs to product</t>
  </si>
  <si>
    <t>Kiểm tra scope Product vừa tạo có trong danh sách Belongs to product</t>
  </si>
  <si>
    <t>Đã tạo {{scope.new_prd}} loại Product</t>
  </si>
  <si>
    <t xml:space="preserve">1. Mở hộp thoại Create scope, chọn System
2. Mở danh sách Belongs to product (optional)</t>
  </si>
  <si>
    <t>- Danh sách có {{scope.new_prd}}</t>
  </si>
  <si>
    <t>System — hiện ở danh sách</t>
  </si>
  <si>
    <t>Kiểm tra scope System vừa tạo hiện ở danh sách</t>
  </si>
  <si>
    <t xml:space="preserve">1. Mở hộp thoại, chọn System
2. Nhập Name {{scope.new_sys}}, nhập What is in scope
3. Chọn Belongs to organisation {{scope.org}}, Belongs to product {{scope.prd}}
4. Bấm Create scope</t>
  </si>
  <si>
    <t xml:space="preserve">- Bảng có dòng {{scope.new_sys}}, nhãn loại System
- Cột Belongs to: {{scope.org}}, {{scope.prd}}</t>
  </si>
  <si>
    <t>System — hiện ở màn chi tiết</t>
  </si>
  <si>
    <t>Kiểm tra Overview của scope System vừa tạo</t>
  </si>
  <si>
    <t>Đã tạo {{scope.new_sys}} thuộc {{scope.org}} và {{scope.prd}}</t>
  </si>
  <si>
    <t>1. Mở chi tiết {{scope.new_sys}}</t>
  </si>
  <si>
    <t xml:space="preserve">- Dòng phụ: System scope · {{tenant.name}}
- Overview: Type System, Belongs to {{scope.org}}, {{scope.prd}}</t>
  </si>
  <si>
    <t>System — hiện ở scope cha</t>
  </si>
  <si>
    <t>Kiểm tra scope System vừa tạo hiện trong Contains của scope cha</t>
  </si>
  <si>
    <t xml:space="preserve">1. Mở chi tiết {{scope.org}}
2. Mở chi tiết {{scope.prd}}</t>
  </si>
  <si>
    <t>- Ở cả hai màn, trường Contains của khối Overview có {{scope.new_sys}} (system)</t>
  </si>
  <si>
    <t>Bấm Cancel</t>
  </si>
  <si>
    <t>Kiểm tra huỷ tạo scope bằng Cancel</t>
  </si>
  <si>
    <t xml:space="preserve">1. Mở hộp thoại, chọn loại, nhập Name
2. Bấm Cancel</t>
  </si>
  <si>
    <t xml:space="preserve">- Hộp thoại đóng
- Bảng không có dòng mới, dòng đếm giữ nguyên</t>
  </si>
  <si>
    <t>Đang nhập dở có hỏi xác nhận không → Q-S-06</t>
  </si>
  <si>
    <t>Bấm ×</t>
  </si>
  <si>
    <t>Kiểm tra đóng hộp thoại tạo scope bằng nút ×</t>
  </si>
  <si>
    <t xml:space="preserve">1. Mở hộp thoại, nhập Name
2. Bấm ×</t>
  </si>
  <si>
    <t>- Hộp thoại đóng, không tạo scope</t>
  </si>
  <si>
    <t>Nhấn Esc</t>
  </si>
  <si>
    <t>Kiểm tra nhấn Esc khi đang mở hộp thoại tạo scope</t>
  </si>
  <si>
    <t xml:space="preserve">1. Mở hộp thoại, nhập Name
2. Nhấn Esc</t>
  </si>
  <si>
    <t>Thiết kế không ghi; prototype đóng hộp thoại ngay → Q-S-06</t>
  </si>
  <si>
    <t>Thanh công cụ - Toolbar</t>
  </si>
  <si>
    <t>Dòng đếm</t>
  </si>
  <si>
    <t>Tổng số scope</t>
  </si>
  <si>
    <t>Kiểm tra dòng đếm số scope</t>
  </si>
  <si>
    <t>1. Kiểm tra dòng phía trên bảng, bên trái</t>
  </si>
  <si>
    <t>- Hiển thị &lt;n&gt; scopes, n bằng tổng số scope trong bảng (cộng mọi trang)</t>
  </si>
  <si>
    <t>Tìm kiếm</t>
  </si>
  <si>
    <t>Hiển thị ô tìm kiếm</t>
  </si>
  <si>
    <t>Kiểm tra ô tìm kiếm</t>
  </si>
  <si>
    <t>1. Kiểm tra phía trên bảng, bên phải</t>
  </si>
  <si>
    <t>- Ô tìm kiếm có icon kính lúp, placeholder: Search scopes</t>
  </si>
  <si>
    <t>Một phần tên</t>
  </si>
  <si>
    <t>Kiểm tra tìm theo một phần tên scope</t>
  </si>
  <si>
    <t>1. Nhập {{text.partial}} vào ô tìm kiếm</t>
  </si>
  <si>
    <t xml:space="preserve">- Bảng chỉ còn các scope có tên chứa {{text.partial}}
- Dòng phân trang cập nhật theo số kết quả, ví dụ 1–2 of 2 items</t>
  </si>
  <si>
    <t>Dòng đếm có đổi theo kết quả không (prototype giữ nguyên tổng) → Q-S-07</t>
  </si>
  <si>
    <t>Chữ hoa</t>
  </si>
  <si>
    <t>Kiểm tra tìm kiếm khi nhập chữ hoa</t>
  </si>
  <si>
    <t>1. Nhập {{text.partial_upper}} vào ô tìm kiếm</t>
  </si>
  <si>
    <t>Có phân biệt hoa thường không (prototype không phân biệt) → Q-S-07</t>
  </si>
  <si>
    <t>Không có kết quả</t>
  </si>
  <si>
    <t>Kiểm tra tìm kiếm không ra kết quả</t>
  </si>
  <si>
    <t>1. Nhập {{text.nomatch}} vào ô tìm kiếm</t>
  </si>
  <si>
    <t xml:space="preserve">- Bảng và dòng phân trang ẩn
- Thông báo: No results for “{{text.nomatch}}”
- Dòng phụ: Try a different search term.</t>
  </si>
  <si>
    <t>Text lấy từ prototype, Figma chưa có trạng thái này → Q-S-07</t>
  </si>
  <si>
    <t>Ký tự đặc biệt</t>
  </si>
  <si>
    <t>Kiểm tra nhập ký tự đặc biệt vào ô tìm kiếm</t>
  </si>
  <si>
    <t>1. Nhập {{text.sql}} vào ô tìm kiếm</t>
  </si>
  <si>
    <t xml:space="preserve">- Không có lỗi hệ thống, không lộ thông tin kỹ thuật
- Chuỗi được tìm như văn bản thường</t>
  </si>
  <si>
    <t>Xoá từ khoá</t>
  </si>
  <si>
    <t>Kiểm tra xoá từ khoá tìm kiếm</t>
  </si>
  <si>
    <t xml:space="preserve">1. Nhập {{text.partial}}
2. Xoá hết nội dung ô tìm kiếm</t>
  </si>
  <si>
    <t xml:space="preserve">- Bảng hiển thị lại toàn bộ scope
- Dòng phân trang trở về như lúc mở màn</t>
  </si>
  <si>
    <t>Bảng danh sách - Table</t>
  </si>
  <si>
    <t>Tiêu đề cột</t>
  </si>
  <si>
    <t>Kiểm tra tiêu đề các cột</t>
  </si>
  <si>
    <t>1. Kiểm tra hàng tiêu đề của bảng</t>
  </si>
  <si>
    <t>- 5 cột theo thứ tự: Scope · Belongs to · Frameworks · Users · Evidence coverage</t>
  </si>
  <si>
    <t>Cột Evidence coverage có trong MVP không → Q-S-11</t>
  </si>
  <si>
    <t>Cột Scope</t>
  </si>
  <si>
    <t>Kiểm tra cột Scope</t>
  </si>
  <si>
    <t>1. Kiểm tra từng dòng ở cột Scope</t>
  </si>
  <si>
    <t xml:space="preserve">- Tên scope dạng liên kết
- Dưới tên có nhãn loại Organization, Product hoặc System, đúng loại của scope</t>
  </si>
  <si>
    <t>Cột Belongs to</t>
  </si>
  <si>
    <t>Kiểm tra cột Belongs to</t>
  </si>
  <si>
    <t>1. Kiểm tra cột Belongs to của {{scope.sys}}, {{scope.org}}, {{scope.prd}}</t>
  </si>
  <si>
    <t xml:space="preserve">- {{scope.sys}}: tên scope Organization và Product mà nó thuộc về, cách nhau bằng dấu phẩy
- {{scope.org}}, {{scope.prd}}: —</t>
  </si>
  <si>
    <t>Cột Frameworks — đã gắn</t>
  </si>
  <si>
    <t>Kiểm tra cột Frameworks của scope đã gắn framework</t>
  </si>
  <si>
    <t>1. Kiểm tra cột Frameworks của {{scope.org}} và {{scope.sys}}</t>
  </si>
  <si>
    <t xml:space="preserve">- Mỗi framework một dòng dạng &lt;tên&gt; · &lt;phiên bản&gt;, ví dụ ISO/IEC 27001 · 2022
- Framework có tier thêm · &lt;tier&gt;, ví dụ Appendix 10 · 2022 · Medium</t>
  </si>
  <si>
    <t>Cột Frameworks — chưa gắn</t>
  </si>
  <si>
    <t>Kiểm tra cột Frameworks của scope chưa gắn framework</t>
  </si>
  <si>
    <t>Đăng nhập {{user.cust_admin}}, có {{scope.new_org}} chưa gắn framework, mở màn Scopes</t>
  </si>
  <si>
    <t>1. Kiểm tra cột Frameworks của {{scope.new_org}}</t>
  </si>
  <si>
    <t>- Hiển thị: None linked yet</t>
  </si>
  <si>
    <t>Text theo Figma, prototype chưa có dữ liệu để đối chiếu → Q-S-13</t>
  </si>
  <si>
    <t>Cột Users</t>
  </si>
  <si>
    <t>Kiểm tra cột Users khớp với màn chi tiết</t>
  </si>
  <si>
    <t xml:space="preserve">1. Ghi số ở cột Users của {{scope.org}}
2. Mở chi tiết {{scope.org}}, đếm số dòng ở khối Users</t>
  </si>
  <si>
    <t>- Hai số bằng nhau</t>
  </si>
  <si>
    <t>Có tính Customer Admin không → Q-S-12</t>
  </si>
  <si>
    <t>Cột Evidence coverage</t>
  </si>
  <si>
    <t>Kiểm tra cột Evidence coverage</t>
  </si>
  <si>
    <t>1. Kiểm tra cột Evidence coverage của {{scope.org}}</t>
  </si>
  <si>
    <t>[ĐỀ XUẤT LÙI] RDN-004 0 giờ, LTS đề xuất Phase 2. Prototype: 54% = (74+6)/(116+31) → Q-S-11</t>
  </si>
  <si>
    <t>UC-RDN-004</t>
  </si>
  <si>
    <t>Sắp xếp</t>
  </si>
  <si>
    <t>Thứ tự mặc định</t>
  </si>
  <si>
    <t>Kiểm tra thứ tự mặc định của danh sách</t>
  </si>
  <si>
    <t>1. Mở màn Scopes, kiểm tra thứ tự các dòng</t>
  </si>
  <si>
    <t>Mặc định sắp theo gì (prototype không theo tên) → Q-S-08</t>
  </si>
  <si>
    <t>Bấm lần 1</t>
  </si>
  <si>
    <t>Kiểm tra sắp xếp tăng dần theo tên</t>
  </si>
  <si>
    <t>1. Bấm tiêu đề cột Scope</t>
  </si>
  <si>
    <t>- Các dòng xếp theo tên từ A đến Z</t>
  </si>
  <si>
    <t>Figma không có icon sắp xếp → Q-S-08</t>
  </si>
  <si>
    <t>Bấm lần 2</t>
  </si>
  <si>
    <t>Kiểm tra sắp xếp giảm dần theo tên</t>
  </si>
  <si>
    <t>1. Bấm tiêu đề cột Scope hai lần</t>
  </si>
  <si>
    <t>- Các dòng xếp theo tên từ Z đến A</t>
  </si>
  <si>
    <t>Phân trang - Paging</t>
  </si>
  <si>
    <t>Kiểm tra dòng phân trang mặc định</t>
  </si>
  <si>
    <t>1. Kiểm tra dòng dưới bảng</t>
  </si>
  <si>
    <t>Figma: 1–4 of 4 items · Page 1 of 1. Prototype: Items per page 10 · 1–4 of 4 items · [1] of 1 page · ‹ › → Q-S-09</t>
  </si>
  <si>
    <t>Đổi số dòng</t>
  </si>
  <si>
    <t>Chọn giá trị khác</t>
  </si>
  <si>
    <t>Kiểm tra đổi số dòng mỗi trang</t>
  </si>
  <si>
    <t>Đăng nhập Customer Admin của tenant có từ 11 scope trở lên, mở màn Scopes</t>
  </si>
  <si>
    <t xml:space="preserve">1. Mở Items per page
2. Chọn 25</t>
  </si>
  <si>
    <t>Có chọn số dòng không; giá trị 10/25/50/100 theo prototype → Q-S-09</t>
  </si>
  <si>
    <t>Chuyển trang</t>
  </si>
  <si>
    <t>Chỉ có một trang</t>
  </si>
  <si>
    <t>Kiểm tra nút chuyển trang khi chỉ có một trang</t>
  </si>
  <si>
    <t>1. Kiểm tra hai nút ‹ ›</t>
  </si>
  <si>
    <t>- Cả hai nút ở trạng thái không bấm được</t>
  </si>
  <si>
    <t>Sang trang 2</t>
  </si>
  <si>
    <t>Kiểm tra chuyển sang trang 2</t>
  </si>
  <si>
    <t>1. Bấm nút ›</t>
  </si>
  <si>
    <t xml:space="preserve">- Bảng hiển thị từ scope thứ 11
- Dòng phân trang: 11–&lt;n&gt; of &lt;n&gt; items</t>
  </si>
  <si>
    <t>Số dòng mỗi trang mặc định → Q-S-09</t>
  </si>
  <si>
    <t>Trạng thái rỗng - Empty</t>
  </si>
  <si>
    <t>Chưa có scope</t>
  </si>
  <si>
    <t>Customer Admin</t>
  </si>
  <si>
    <t>Kiểm tra màn Scopes khi tenant chưa có scope nào</t>
  </si>
  <si>
    <t>Đăng nhập Customer Admin của tenant chưa có scope nào</t>
  </si>
  <si>
    <t>1. Mở màn Scopes</t>
  </si>
  <si>
    <t>Figma có frame Scopes / Empty, chưa đối chiếu được text → Q-S-10</t>
  </si>
  <si>
    <t>Chi tiết scope - Scope detail</t>
  </si>
  <si>
    <t>Phần đầu - Header</t>
  </si>
  <si>
    <t>Các thành phần</t>
  </si>
  <si>
    <t>TC_053</t>
  </si>
  <si>
    <t>Kiểm tra phần đầu màn chi tiết</t>
  </si>
  <si>
    <t>Đăng nhập {{user.cust_admin}}, mở chi tiết {{scope.org}}</t>
  </si>
  <si>
    <t>1. Kiểm tra phần đầu trang, từ trái sang phải</t>
  </si>
  <si>
    <t xml:space="preserve">- Nút quay lại ←
- Tiêu đề: tên scope
- Dòng phụ: Organization scope · {{tenant.name}}
- Nhãn Active
- Nút ⋮ ở góc phải</t>
  </si>
  <si>
    <t>Ngoài Active còn trạng thái nào → Q-S-14</t>
  </si>
  <si>
    <t>Dòng phụ theo loại</t>
  </si>
  <si>
    <t>TC_054</t>
  </si>
  <si>
    <t>Kiểm tra dòng phụ theo loại scope</t>
  </si>
  <si>
    <t>Đăng nhập {{user.cust_admin}}</t>
  </si>
  <si>
    <t xml:space="preserve">1. Mở chi tiết {{scope.prd}}
2. Mở chi tiết {{scope.sys}}</t>
  </si>
  <si>
    <t xml:space="preserve">- {{scope.prd}}: Product scope · {{tenant.name}}
- {{scope.sys}}: System scope · {{tenant.name}}</t>
  </si>
  <si>
    <t>Nút quay lại</t>
  </si>
  <si>
    <t>Bấm ←</t>
  </si>
  <si>
    <t>TC_055</t>
  </si>
  <si>
    <t>Kiểm tra nút quay lại</t>
  </si>
  <si>
    <t>1. Bấm nút ←</t>
  </si>
  <si>
    <t>- Quay về màn Scopes</t>
  </si>
  <si>
    <t>Menu ⋮</t>
  </si>
  <si>
    <t>Các mục</t>
  </si>
  <si>
    <t>TC_056</t>
  </si>
  <si>
    <t>Kiểm tra menu ⋮ của scope</t>
  </si>
  <si>
    <t>1. Bấm nút ⋮</t>
  </si>
  <si>
    <t>- Menu chỉ có một mục: Edit scope</t>
  </si>
  <si>
    <t>Không có Archive, Delete: SCP-005 lùi Phase 2, nhưng WBS CP-06 ghi CRUD → Q-S-14</t>
  </si>
  <si>
    <t>UC-SCP-004</t>
  </si>
  <si>
    <t>Bấm Edit scope</t>
  </si>
  <si>
    <t>TC_057</t>
  </si>
  <si>
    <t>Kiểm tra mục Edit scope trong menu ⋮</t>
  </si>
  <si>
    <t xml:space="preserve">1. Bấm nút ⋮
2. Bấm Edit scope</t>
  </si>
  <si>
    <t>- Mở hộp thoại Edit scope, giống khi bấm nút Edit ở khối Overview</t>
  </si>
  <si>
    <t>Figma không có frame sửa scope → Q-S-15</t>
  </si>
  <si>
    <t>Điều hướng trong màn - Section nav</t>
  </si>
  <si>
    <t>Ba mục</t>
  </si>
  <si>
    <t>TC_058</t>
  </si>
  <si>
    <t>Kiểm tra cột điều hướng bên trái</t>
  </si>
  <si>
    <t>1. Kiểm tra cột bên trái</t>
  </si>
  <si>
    <t xml:space="preserve">- Ba mục theo thứ tự: Overview · Frameworks · Users
- Mục Overview được tô nền khi mới mở</t>
  </si>
  <si>
    <t>Bấm mục</t>
  </si>
  <si>
    <t>Frameworks, Users</t>
  </si>
  <si>
    <t>TC_059</t>
  </si>
  <si>
    <t>Kiểm tra bấm mục trong cột điều hướng</t>
  </si>
  <si>
    <t xml:space="preserve">1. Bấm Frameworks
2. Bấm Users</t>
  </si>
  <si>
    <t xml:space="preserve">- Bước 1: trang cuộn tới khối Frameworks
- Bước 2: trang cuộn tới khối Users</t>
  </si>
  <si>
    <t>Tổng quan - Overview</t>
  </si>
  <si>
    <t>Scope Organization</t>
  </si>
  <si>
    <t>TC_060</t>
  </si>
  <si>
    <t>Kiểm tra khối Overview của scope Organization</t>
  </si>
  <si>
    <t>1. Kiểm tra khối số 1 Overview</t>
  </si>
  <si>
    <t xml:space="preserve">- Tiêu đề khối: Overview, có nút Edit
- Type: Organization
- Contains: các scope con, mỗi scope dạng &lt;tên&gt; (system)
- In scope, Out of scope: đúng nội dung đã lưu</t>
  </si>
  <si>
    <t>Scope Product</t>
  </si>
  <si>
    <t>TC_061</t>
  </si>
  <si>
    <t>Kiểm tra khối Overview của scope Product</t>
  </si>
  <si>
    <t>Đăng nhập {{user.cust_admin}}, mở chi tiết {{scope.prd}}</t>
  </si>
  <si>
    <t xml:space="preserve">- Type: Product
- Contains: các scope System thuộc về product này</t>
  </si>
  <si>
    <t>Scope System</t>
  </si>
  <si>
    <t>TC_062</t>
  </si>
  <si>
    <t>Kiểm tra khối Overview của scope System</t>
  </si>
  <si>
    <t>Đăng nhập {{user.cust_admin}}, mở chi tiết {{scope.sys}}</t>
  </si>
  <si>
    <t xml:space="preserve">- Type: System
- Thay cho Contains là trường Belongs to: tên scope Organization và Product, cách nhau bằng dấu phẩy</t>
  </si>
  <si>
    <t>Trường không có dữ liệu</t>
  </si>
  <si>
    <t>TC_063</t>
  </si>
  <si>
    <t>Kiểm tra trường không có dữ liệu</t>
  </si>
  <si>
    <t>Đăng nhập {{user.cust_admin}}, mở chi tiết {{scope.prd_empty}}</t>
  </si>
  <si>
    <t xml:space="preserve">- Contains: —
- Out of scope: —</t>
  </si>
  <si>
    <t>Sửa scope - Edit scope</t>
  </si>
  <si>
    <t>Bấm Edit</t>
  </si>
  <si>
    <t>TC_064</t>
  </si>
  <si>
    <t>Kiểm tra mở hộp thoại Edit scope</t>
  </si>
  <si>
    <t>1. Bấm nút Edit ở khối Overview</t>
  </si>
  <si>
    <t xml:space="preserve">- Mở hộp thoại Edit scope, có nút đóng ×
- Name *, What is in scope *, What is out of scope (optional) điền sẵn giá trị hiện tại
- Không có trường Type, Belongs to
- Có nút Cancel và Save</t>
  </si>
  <si>
    <t>Figma không có frame sửa scope; không cho đổi Type, Belongs to có đúng chủ ý → Q-S-15</t>
  </si>
  <si>
    <t>Xoá trống Name</t>
  </si>
  <si>
    <t>TC_065</t>
  </si>
  <si>
    <t>Kiểm tra lưu khi xoá trống Name</t>
  </si>
  <si>
    <t xml:space="preserve">1. Mở Edit scope
2. Xoá hết Name
3. Bấm Save</t>
  </si>
  <si>
    <t xml:space="preserve">- Không lưu, hộp thoại vẫn mở
- Hiện lỗi tại Name</t>
  </si>
  <si>
    <t>Xoá trống What is in scope</t>
  </si>
  <si>
    <t>TC_066</t>
  </si>
  <si>
    <t>Kiểm tra lưu khi xoá trống What is in scope</t>
  </si>
  <si>
    <t xml:space="preserve">1. Mở Edit scope
2. Xoá hết What is in scope
3. Bấm Save</t>
  </si>
  <si>
    <t xml:space="preserve">- Không lưu, hộp thoại vẫn mở
- Hiện lỗi tại What is in scope</t>
  </si>
  <si>
    <t>Trùng tên scope khác</t>
  </si>
  <si>
    <t>TC_067</t>
  </si>
  <si>
    <t>Kiểm tra đổi Name trùng tên scope khác</t>
  </si>
  <si>
    <t xml:space="preserve">1. Mở Edit scope
2. Đổi Name thành tên của {{scope.prd}}
3. Bấm Save</t>
  </si>
  <si>
    <t>Chặn hay cho phép trùng tên → Q-S-05</t>
  </si>
  <si>
    <t>Đổi Name — tiêu đề chi tiết</t>
  </si>
  <si>
    <t>TC_068</t>
  </si>
  <si>
    <t>Kiểm tra tên mới ở màn chi tiết sau khi sửa</t>
  </si>
  <si>
    <t xml:space="preserve">1. Mở Edit scope
2. Đổi Name thành {{scope.renamed}}
3. Bấm Save</t>
  </si>
  <si>
    <t xml:space="preserve">- Hộp thoại đóng
- Tiêu đề trang đổi thành {{scope.renamed}}</t>
  </si>
  <si>
    <t>Đổi Name — danh sách</t>
  </si>
  <si>
    <t>TC_069</t>
  </si>
  <si>
    <t>Kiểm tra tên mới ở màn danh sách</t>
  </si>
  <si>
    <t>Đã đổi tên {{scope.org}} thành {{scope.renamed}}</t>
  </si>
  <si>
    <t>- Dòng của scope hiển thị {{scope.renamed}}</t>
  </si>
  <si>
    <t>Đổi Name — Overview của scope con</t>
  </si>
  <si>
    <t>TC_070</t>
  </si>
  <si>
    <t>Kiểm tra tên mới ở Overview của scope con</t>
  </si>
  <si>
    <t>1. Mở chi tiết {{scope.sys}}</t>
  </si>
  <si>
    <t>- Trường Belongs to ở khối Overview hiển thị {{scope.renamed}}</t>
  </si>
  <si>
    <t>Đổi Name — cột Belongs to</t>
  </si>
  <si>
    <t>TC_071</t>
  </si>
  <si>
    <t>Kiểm tra tên mới ở cột Belongs to của danh sách</t>
  </si>
  <si>
    <t xml:space="preserve">1. Mở màn Scopes
2. Kiểm tra cột Belongs to của {{scope.sys}}</t>
  </si>
  <si>
    <t>- Cột Belongs to hiển thị {{scope.renamed}}</t>
  </si>
  <si>
    <t>Sửa In scope, Out of scope</t>
  </si>
  <si>
    <t>TC_072</t>
  </si>
  <si>
    <t>Kiểm tra sửa In scope và Out of scope</t>
  </si>
  <si>
    <t xml:space="preserve">1. Mở Edit scope
2. Sửa What is in scope, xoá trống What is out of scope
3. Bấm Save</t>
  </si>
  <si>
    <t>- Overview: In scope hiển thị nội dung mới, Out of scope hiển thị —</t>
  </si>
  <si>
    <t>TC_073</t>
  </si>
  <si>
    <t>Kiểm tra huỷ sửa scope</t>
  </si>
  <si>
    <t xml:space="preserve">1. Mở Edit scope, đổi Name
2. Bấm Cancel</t>
  </si>
  <si>
    <t xml:space="preserve">- Hộp thoại đóng
- Tiêu đề và khối Overview giữ giá trị cũ</t>
  </si>
  <si>
    <t>Scope đang có audit</t>
  </si>
  <si>
    <t>TC_074</t>
  </si>
  <si>
    <t>Kiểm tra sửa scope khi đang có audit</t>
  </si>
  <si>
    <t>Đăng nhập {{user.cust_admin}}, mở chi tiết {{scope.sys}} (audit {{audit.running}} đang chạy)</t>
  </si>
  <si>
    <t xml:space="preserve">- Không mở hộp thoại sửa
- Thông báo: The scope can't be edited while an audit is running.</t>
  </si>
  <si>
    <t>Quy tắc và text lấy từ prototype, UC không ghi → Q-S-16</t>
  </si>
  <si>
    <t>Khối Frameworks - Frameworks</t>
  </si>
  <si>
    <t>Tiêu đề khối và cột</t>
  </si>
  <si>
    <t>TC_075</t>
  </si>
  <si>
    <t>Kiểm tra khối Frameworks</t>
  </si>
  <si>
    <t>1. Kiểm tra khối số 2 Frameworks</t>
  </si>
  <si>
    <t xml:space="preserve">- Tiêu đề: Frameworks, mô tả: Each framework gets its own workspace
- Nút gắn framework
- Bảng 4 cột: Framework · version · Tier · Coverage · Status</t>
  </si>
  <si>
    <t>Nhãn nút: Figma 'Link framework', prototype '+ Link framework' → Q-S-03</t>
  </si>
  <si>
    <t>Cột Framework · version</t>
  </si>
  <si>
    <t>TC_076</t>
  </si>
  <si>
    <t>Kiểm tra cột Framework · version</t>
  </si>
  <si>
    <t>1. Kiểm tra cột đầu của bảng</t>
  </si>
  <si>
    <t xml:space="preserve">- Mỗi dòng dạng &lt;tên framework&gt; · &lt;phiên bản&gt;, ví dụ ISO/IEC 27001 · 2022
- Tên framework dạng liên kết</t>
  </si>
  <si>
    <t>Cột Tier</t>
  </si>
  <si>
    <t>TC_077</t>
  </si>
  <si>
    <t>Kiểm tra cột Tier</t>
  </si>
  <si>
    <t>1. Kiểm tra cột Tier của framework không phân tier và framework có tier</t>
  </si>
  <si>
    <t xml:space="preserve">- Framework không phân tier: No tiers
- Framework có tier: tier hiện tại</t>
  </si>
  <si>
    <t>Prototype ghi 'Medium · 中' ở đây nhưng 'Medium' ở danh sách và Summary; tier có phải 'obligation level' của SCP-002 → Q-S-17</t>
  </si>
  <si>
    <t>Cột Coverage</t>
  </si>
  <si>
    <t>TC_078</t>
  </si>
  <si>
    <t>Kiểm tra cột Coverage</t>
  </si>
  <si>
    <t>1. Kiểm tra cột Coverage</t>
  </si>
  <si>
    <t>[ĐỀ XUẤT LÙI] RDN-004. Prototype: &lt;%&gt; + thanh tiến trình + &lt;đã có&gt;/&lt;tổng&gt; → Q-S-11</t>
  </si>
  <si>
    <t>Cột Status</t>
  </si>
  <si>
    <t>TC_079</t>
  </si>
  <si>
    <t>Kiểm tra cột Status</t>
  </si>
  <si>
    <t>1. Kiểm tra cột Status</t>
  </si>
  <si>
    <t>- Mỗi framework có nhãn trạng thái của workspace, ví dụ Preparing, Audit in progress</t>
  </si>
  <si>
    <t>Danh sách trạng thái đầy đủ → Q-S-20</t>
  </si>
  <si>
    <t>Nút Change tier</t>
  </si>
  <si>
    <t>TC_080</t>
  </si>
  <si>
    <t>Kiểm tra nút Change tier trên từng dòng</t>
  </si>
  <si>
    <t>1. Kiểm tra cuối mỗi dòng của bảng</t>
  </si>
  <si>
    <t xml:space="preserve">- Dòng framework có tier có nút Change tier
- Dòng framework không phân tier không có nút này</t>
  </si>
  <si>
    <t>Bấm tên framework</t>
  </si>
  <si>
    <t>TC_081</t>
  </si>
  <si>
    <t>Kiểm tra mở workspace từ tên framework</t>
  </si>
  <si>
    <t>1. Bấm tên một framework trong bảng</t>
  </si>
  <si>
    <t>- Chuyển sang màn workspace của framework đó trong scope đang xem</t>
  </si>
  <si>
    <t>Gắn framework - Link framework</t>
  </si>
  <si>
    <t>Bấm nút gắn framework</t>
  </si>
  <si>
    <t>TC_082</t>
  </si>
  <si>
    <t>Kiểm tra mở hộp thoại gắn framework</t>
  </si>
  <si>
    <t>1. Bấm nút gắn framework ở khối Frameworks</t>
  </si>
  <si>
    <t xml:space="preserve">- Mở hộp thoại Link a framework, có nút đóng ×
- Trường Framework *, placeholder: Choose a framework
- Ghi chú: A workspace is created for this scope with the requirements of the chosen tier. You can change the tier later; uploaded evidence stays.
- Nút Cancel và Link and create workspace</t>
  </si>
  <si>
    <t>UC-SCP-006</t>
  </si>
  <si>
    <t>Danh sách framework</t>
  </si>
  <si>
    <t>Các lựa chọn</t>
  </si>
  <si>
    <t>TC_083</t>
  </si>
  <si>
    <t>Kiểm tra danh sách framework</t>
  </si>
  <si>
    <t xml:space="preserve">1. Mở hộp thoại
2. Mở danh sách Framework</t>
  </si>
  <si>
    <t>- Mỗi lựa chọn có tên framework và dòng phụ ghi tổ chức ban hành, kèm các tier nếu có, ví dụ MODA · tiers Basic / Medium / High</t>
  </si>
  <si>
    <t>Framework đã gắn</t>
  </si>
  <si>
    <t>TC_084</t>
  </si>
  <si>
    <t>Kiểm tra framework đã gắn vào scope có trong danh sách không</t>
  </si>
  <si>
    <t xml:space="preserve">1. Mở hộp thoại
2. Mở danh sách Framework
3. Tìm {{fw.linked}}</t>
  </si>
  <si>
    <t>Prototype vẫn liệt kê và cho chọn → ẩn, khoá hay cho gắn lần hai → Q-S-19</t>
  </si>
  <si>
    <t>Chọn framework</t>
  </si>
  <si>
    <t>Framework có tier</t>
  </si>
  <si>
    <t>TC_085</t>
  </si>
  <si>
    <t>Kiểm tra chọn framework có phân tier</t>
  </si>
  <si>
    <t xml:space="preserve">1. Mở hộp thoại
2. Chọn {{fw.tiered}}</t>
  </si>
  <si>
    <t xml:space="preserve">- Hiện trường Version * đã có sẵn giá trị, ghi chú: Only active versions are listed.
- Hiện mục Protection tier of this organization * gồm 3 lựa chọn, mỗi lựa chọn có tên tier, mô tả, số requirement
- Chưa chọn sẵn tier nào</t>
  </si>
  <si>
    <t>Số requirement tier High: Figma 79, prototype 76 → Q-S-18</t>
  </si>
  <si>
    <t>Framework không tier</t>
  </si>
  <si>
    <t>TC_086</t>
  </si>
  <si>
    <t>Kiểm tra chọn framework không phân tier</t>
  </si>
  <si>
    <t xml:space="preserve">1. Mở hộp thoại
2. Chọn {{fw.untiered}}</t>
  </si>
  <si>
    <t>Phần chọn tier ẩn đi hay hiện No tiers → Q-S-17</t>
  </si>
  <si>
    <t>Chưa chọn framework</t>
  </si>
  <si>
    <t>TC_087</t>
  </si>
  <si>
    <t>Kiểm tra bấm gắn khi chưa chọn framework</t>
  </si>
  <si>
    <t xml:space="preserve">1. Mở hộp thoại
2. Bấm Link and create workspace</t>
  </si>
  <si>
    <t>- Không gắn, hộp thoại vẫn mở</t>
  </si>
  <si>
    <t>Hiện lỗi hay khoá nút khi chưa chọn; text lỗi → Q-S-05</t>
  </si>
  <si>
    <t>Chưa chọn tier</t>
  </si>
  <si>
    <t>TC_088</t>
  </si>
  <si>
    <t>Kiểm tra bấm gắn khi chưa chọn tier</t>
  </si>
  <si>
    <t xml:space="preserve">1. Mở hộp thoại, chọn {{fw.tiered}}
2. Không chọn tier
3. Bấm Link and create workspace</t>
  </si>
  <si>
    <t>Hiện lỗi hay khoá nút; text lỗi → Q-S-05</t>
  </si>
  <si>
    <t>Hiện ở khối Frameworks</t>
  </si>
  <si>
    <t>TC_089</t>
  </si>
  <si>
    <t>Kiểm tra framework vừa gắn hiện ở khối Frameworks</t>
  </si>
  <si>
    <t xml:space="preserve">1. Mở hộp thoại
2. Chọn {{fw.tiered}}, giữ Version, chọn tier Medium
3. Bấm Link and create workspace</t>
  </si>
  <si>
    <t xml:space="preserve">- Hộp thoại đóng
- Bảng Frameworks có thêm dòng &lt;framework&gt; · &lt;phiên bản&gt;, cột Tier là tier đã chọn</t>
  </si>
  <si>
    <t>Trạng thái ban đầu của workspace → Q-S-20</t>
  </si>
  <si>
    <t>Hiện ở danh sách Scopes</t>
  </si>
  <si>
    <t>TC_090</t>
  </si>
  <si>
    <t>Kiểm tra framework vừa gắn hiện ở cột Frameworks của danh sách</t>
  </si>
  <si>
    <t>Đã gắn {{fw.tiered}} tier Medium vào {{scope.org}}</t>
  </si>
  <si>
    <t>- Cột Frameworks của {{scope.org}} có thêm dòng &lt;framework&gt; · &lt;phiên bản&gt; · Medium</t>
  </si>
  <si>
    <t>Hiện ở màn Workspaces</t>
  </si>
  <si>
    <t>TC_091</t>
  </si>
  <si>
    <t>Kiểm tra workspace mới hiện ở màn Workspaces</t>
  </si>
  <si>
    <t>1. Mở màn Workspaces</t>
  </si>
  <si>
    <t>- Có workspace mới của {{scope.org}} với framework vừa gắn</t>
  </si>
  <si>
    <t>Workspace tạo ngay hay sau một khoảng → Q-S-20</t>
  </si>
  <si>
    <t>UC-EVD-003</t>
  </si>
  <si>
    <t>Hiện ở khối Summary</t>
  </si>
  <si>
    <t>TC_092</t>
  </si>
  <si>
    <t>Kiểm tra framework vừa gắn hiện ở khối Summary</t>
  </si>
  <si>
    <t>1. Kiểm tra khối Summary bên phải</t>
  </si>
  <si>
    <t>[ĐỀ XUẤT LÙI] RDN-004 → Q-S-11</t>
  </si>
  <si>
    <t>TC_093</t>
  </si>
  <si>
    <t>Kiểm tra huỷ gắn framework</t>
  </si>
  <si>
    <t xml:space="preserve">1. Mở hộp thoại, chọn framework
2. Bấm Cancel</t>
  </si>
  <si>
    <t xml:space="preserve">- Hộp thoại đóng
- Bảng Frameworks không có dòng mới</t>
  </si>
  <si>
    <t>TC_094</t>
  </si>
  <si>
    <t>Kiểm tra gắn thêm framework khi scope đang có audit</t>
  </si>
  <si>
    <t>1. Bấm nút gắn framework</t>
  </si>
  <si>
    <t>Text khoá chỉ nói sửa scope và gỡ framework bị chặn; gắn thêm có bị chặn → Q-S-16</t>
  </si>
  <si>
    <t>Gỡ framework - Unlink framework</t>
  </si>
  <si>
    <t>Tìm chức năng gỡ</t>
  </si>
  <si>
    <t>TC_095</t>
  </si>
  <si>
    <t>Kiểm tra lối vào gỡ framework khỏi scope</t>
  </si>
  <si>
    <t>1. Tìm chức năng gỡ framework ở khối Frameworks và menu ⋮</t>
  </si>
  <si>
    <t>Không có lối vào ở Figma lẫn prototype dù SCP-007 có 8 giờ → Q-S-21</t>
  </si>
  <si>
    <t>UC-SCP-007</t>
  </si>
  <si>
    <t>Đổi tier - Change tier</t>
  </si>
  <si>
    <t>Không có audit</t>
  </si>
  <si>
    <t>TC_096</t>
  </si>
  <si>
    <t>Kiểm tra hộp thoại đổi tier</t>
  </si>
  <si>
    <t>Đăng nhập {{user.cust_admin}}, mở chi tiết {{scope.tier_open}}</t>
  </si>
  <si>
    <t>1. Bấm Change tier ở dòng framework có tier</t>
  </si>
  <si>
    <t xml:space="preserve">- Mở hộp thoại Change tier
- Dòng mô tả ghi framework, phiên bản và tier hiện tại
- 3 lựa chọn tier kèm số requirement, tier hiện tại được đánh dấu
- Nút Cancel và nút xác nhận</t>
  </si>
  <si>
    <t>Theo Figma, prototype chưa có dữ liệu để mở; đổi tier thuộc UC nào → Q-S-17</t>
  </si>
  <si>
    <t>[NGOÀI UC]</t>
  </si>
  <si>
    <t>Đang có audit</t>
  </si>
  <si>
    <t>TC_097</t>
  </si>
  <si>
    <t>Kiểm tra hộp thoại đổi tier khi đang có audit</t>
  </si>
  <si>
    <t>1. Bấm Change tier ở dòng {{fw.tiered}}</t>
  </si>
  <si>
    <t xml:space="preserve">- Dòng mô tả: {{scope.sys}} · &lt;framework&gt; · &lt;phiên bản&gt; · &lt;tier&gt;
- Khung cảnh báo: Tier can't be changed during an audit
- Nội dung: Audit {{audit.running}} is reviewing this workspace against tier &lt;tier&gt; (&lt;n&gt; requirements). You can change the tier after the review closes. Unlinking the framework and editing the scope are blocked for the same reason.
- Nút Close; nút Change tier bị khoá</t>
  </si>
  <si>
    <t>Text lấy từ prototype, chưa đối chiếu frame Change tier locked → Q-S-16</t>
  </si>
  <si>
    <t>Nâng tier</t>
  </si>
  <si>
    <t>TC_098</t>
  </si>
  <si>
    <t>Kiểm tra nâng tier</t>
  </si>
  <si>
    <t xml:space="preserve">1. Mở Change tier của framework đang ở Medium
2. Chọn High
3. Kiểm tra khung cảnh báo
4. Bấm Change to High</t>
  </si>
  <si>
    <t xml:space="preserve">- Sau bước 2: có cảnh báo số requirement tăng và độ phủ sẽ giảm
- Sau bước 4: hộp thoại đóng, cột Tier đổi thành High</t>
  </si>
  <si>
    <t>Bằng chứng đã tải có giữ nguyên → Q-S-22</t>
  </si>
  <si>
    <t>Hạ tier</t>
  </si>
  <si>
    <t>TC_099</t>
  </si>
  <si>
    <t>Kiểm tra hạ tier</t>
  </si>
  <si>
    <t xml:space="preserve">1. Mở Change tier của framework đang ở High
2. Chọn Medium
3. Xác nhận</t>
  </si>
  <si>
    <t>Hạ tier có cảnh báo gì; bằng chứng của requirement bị bỏ ra sao → Q-S-22</t>
  </si>
  <si>
    <t>TC_100</t>
  </si>
  <si>
    <t>Kiểm tra huỷ đổi tier</t>
  </si>
  <si>
    <t xml:space="preserve">1. Mở Change tier
2. Chọn tier khác
3. Bấm Cancel</t>
  </si>
  <si>
    <t>- Hộp thoại đóng, cột Tier giữ nguyên</t>
  </si>
  <si>
    <t>Đổi tier thuộc UC nào → Q-S-17</t>
  </si>
  <si>
    <t>Đóng hộp thoại khoá</t>
  </si>
  <si>
    <t>TC_101</t>
  </si>
  <si>
    <t>Kiểm tra đóng hộp thoại khoá bằng Close</t>
  </si>
  <si>
    <t xml:space="preserve">1. Mở Change tier của {{fw.tiered}}
2. Bấm Close</t>
  </si>
  <si>
    <t>Khối Users - Users</t>
  </si>
  <si>
    <t>TC_102</t>
  </si>
  <si>
    <t>Kiểm tra khối Users</t>
  </si>
  <si>
    <t>1. Kiểm tra khối số 3 Users</t>
  </si>
  <si>
    <t xml:space="preserve">- Tiêu đề: Users, mô tả: Can work in every workspace of this scope
- Nút Assign users
- Bảng 3 cột: User · Role · Given</t>
  </si>
  <si>
    <t>UC-USR-006</t>
  </si>
  <si>
    <t>Dòng Customer Admin</t>
  </si>
  <si>
    <t>TC_103</t>
  </si>
  <si>
    <t>Kiểm tra dòng của Customer Admin</t>
  </si>
  <si>
    <t>1. Kiểm tra dòng của {{user.cust_admin}}</t>
  </si>
  <si>
    <t xml:space="preserve">- Role: Customer Admin · sees every scope
- Given: —</t>
  </si>
  <si>
    <t>Dòng người được gán</t>
  </si>
  <si>
    <t>TC_104</t>
  </si>
  <si>
    <t>Kiểm tra dòng của người được gán</t>
  </si>
  <si>
    <t>1. Kiểm tra dòng của {{user.cust_user_org}}</t>
  </si>
  <si>
    <t xml:space="preserve">- Role: Customer User
- Given: ngày được gán, dạng DD Mon YYYY, ví dụ 21 Sep 2026</t>
  </si>
  <si>
    <t>Gán người dùng - Assign users</t>
  </si>
  <si>
    <t>Bấm Assign users</t>
  </si>
  <si>
    <t>TC_105</t>
  </si>
  <si>
    <t>Kiểm tra mở hộp thoại Assign users</t>
  </si>
  <si>
    <t>1. Bấm nút Assign users</t>
  </si>
  <si>
    <t xml:space="preserve">- Mở hộp thoại Assign users, có nút đóng ×
- Mô tả: Users you tick can work in every workspace of &lt;tên scope&gt;. Customer Admins always have access.
- Mỗi người một dòng: ô tick, tên, email; người chưa kích hoạt có thêm · invitation pending
- Người đang được gán đã tick sẵn; không có Customer Admin trong danh sách
- Nút Cancel và Save</t>
  </si>
  <si>
    <t>Vai trò trong danh sách</t>
  </si>
  <si>
    <t>TC_106</t>
  </si>
  <si>
    <t>Kiểm tra những vai trò có trong danh sách gán</t>
  </si>
  <si>
    <t xml:space="preserve">1. Mở Assign users
2. Đối chiếu vai trò của từng người trong danh sách</t>
  </si>
  <si>
    <t>USR-006 chỉ nói Customer User; prototype có cả Customer Viewer và người chưa kích hoạt → Q-S-23</t>
  </si>
  <si>
    <t>Tick thêm — khối Users</t>
  </si>
  <si>
    <t>TC_107</t>
  </si>
  <si>
    <t>Kiểm tra người vừa gán hiện ở khối Users</t>
  </si>
  <si>
    <t xml:space="preserve">1. Mở Assign users
2. Tick {{user.cust_user_new}}
3. Bấm Save</t>
  </si>
  <si>
    <t xml:space="preserve">- Hộp thoại đóng
- Khối Users có dòng {{user.cust_user_new}}, Role Customer User, Given là ngày hôm nay</t>
  </si>
  <si>
    <t>Tick thêm — cột Users ở danh sách</t>
  </si>
  <si>
    <t>TC_108</t>
  </si>
  <si>
    <t>Kiểm tra cột Users ở danh sách sau khi gán</t>
  </si>
  <si>
    <t>Đã gán {{user.cust_user_new}} vào {{scope.org}}</t>
  </si>
  <si>
    <t>- Cột Users của {{scope.org}} tăng 1 so với trước khi gán</t>
  </si>
  <si>
    <t>Tick thêm — người được gán thấy scope</t>
  </si>
  <si>
    <t>TC_109</t>
  </si>
  <si>
    <t>Kiểm tra người vừa được gán thấy scope</t>
  </si>
  <si>
    <t xml:space="preserve">1. Đăng nhập {{user.cust_user_new}}
2. Mở màn Scopes</t>
  </si>
  <si>
    <t>- Danh sách có {{scope.org}}</t>
  </si>
  <si>
    <t>Tick thêm — chi tiết người dùng</t>
  </si>
  <si>
    <t>TC_110</t>
  </si>
  <si>
    <t>Kiểm tra scope hiện ở chi tiết người dùng</t>
  </si>
  <si>
    <t xml:space="preserve">1. Mở Users ở mục Administration
2. Mở chi tiết {{user.cust_user_new}}</t>
  </si>
  <si>
    <t>- Phần scope được gán có {{scope.org}}</t>
  </si>
  <si>
    <t>UC-USR-002</t>
  </si>
  <si>
    <t>Bỏ tick — khối Users</t>
  </si>
  <si>
    <t>TC_111</t>
  </si>
  <si>
    <t>Kiểm tra bỏ gán người dùng</t>
  </si>
  <si>
    <t xml:space="preserve">1. Mở Assign users
2. Bỏ tick {{user.cust_user_org}}
3. Bấm Save</t>
  </si>
  <si>
    <t xml:space="preserve">- Hộp thoại đóng
- Khối Users không còn dòng {{user.cust_user_org}}</t>
  </si>
  <si>
    <t>Thu hồi có thuộc USR-006, có hỏi xác nhận → Q-S-23</t>
  </si>
  <si>
    <t>Bỏ tick — người bị bỏ gán</t>
  </si>
  <si>
    <t>TC_112</t>
  </si>
  <si>
    <t>Kiểm tra người bị bỏ gán không còn thấy scope</t>
  </si>
  <si>
    <t>Đã bỏ gán {{user.cust_user_org}} khỏi {{scope.org}}</t>
  </si>
  <si>
    <t xml:space="preserve">1. Đăng nhập {{user.cust_user_org}}
2. Mở màn Scopes
3. Mở {{url.app}}/scopes/&lt;mã của {{scope.org}}&gt;</t>
  </si>
  <si>
    <t xml:space="preserve">- Danh sách không có {{scope.org}}
- Bước 3 không hiển thị nội dung của {{scope.org}}</t>
  </si>
  <si>
    <t>Thu hồi có thuộc USR-006 → Q-S-23</t>
  </si>
  <si>
    <t>TC_113</t>
  </si>
  <si>
    <t>Kiểm tra huỷ gán người dùng</t>
  </si>
  <si>
    <t xml:space="preserve">1. Mở Assign users, tick thêm một người
2. Bấm Cancel</t>
  </si>
  <si>
    <t>- Hộp thoại đóng, khối Users không đổi</t>
  </si>
  <si>
    <t>Tổng hợp - Summary</t>
  </si>
  <si>
    <t>Evidence coverage</t>
  </si>
  <si>
    <t>TC_114</t>
  </si>
  <si>
    <t>Kiểm tra khối Summary</t>
  </si>
  <si>
    <t>[ĐỀ XUẤT LÙI] RDN-004. Prototype: mỗi framework một dòng %, thanh tiến trình, '&lt;n&gt; of &lt;m&gt; requirements have their mandatory evidence'; ghi chú 'Preparation progress only — not a compliance decision.' → Q-S-11</t>
  </si>
  <si>
    <t>Phân quyền - Permission</t>
  </si>
  <si>
    <t>Customer User</t>
  </si>
  <si>
    <t>Danh sách</t>
  </si>
  <si>
    <t>Chỉ scope được gán</t>
  </si>
  <si>
    <t>TC_115</t>
  </si>
  <si>
    <t>Kiểm tra màn Scopes với Customer User</t>
  </si>
  <si>
    <t>Đăng nhập {{user.cust_user}} (được gán {{scope.sys}}, không được gán {{scope.org}})</t>
  </si>
  <si>
    <t xml:space="preserve">- Chỉ hiển thị scope được gán cho người dùng này
- Không có nút tạo scope</t>
  </si>
  <si>
    <t>Mô tả trang</t>
  </si>
  <si>
    <t>TC_116</t>
  </si>
  <si>
    <t>Kiểm tra mô tả trang với Customer User</t>
  </si>
  <si>
    <t xml:space="preserve">1. Mở màn Scopes
2. Kiểm tra dòng mô tả dưới tiêu đề</t>
  </si>
  <si>
    <t>- Mô tả: Scopes assigned to you. Only scopes assigned to you are listed.</t>
  </si>
  <si>
    <t>Text lấy từ prototype, Figma chỉ có bản Customer Admin → Q-S-01</t>
  </si>
  <si>
    <t>Chi tiết</t>
  </si>
  <si>
    <t>Không có thao tác ghi</t>
  </si>
  <si>
    <t>TC_117</t>
  </si>
  <si>
    <t>Kiểm tra màn chi tiết với Customer User</t>
  </si>
  <si>
    <t>- Không có nút Edit, mục Edit scope, nút gắn framework, nút Change tier, nút Assign users</t>
  </si>
  <si>
    <t>Scope không được gán, mở bằng URL</t>
  </si>
  <si>
    <t>TC_118</t>
  </si>
  <si>
    <t>Kiểm tra Customer User mở scope không được gán bằng URL</t>
  </si>
  <si>
    <t>- Không hiển thị nội dung của {{scope.org}}</t>
  </si>
  <si>
    <t>Hiện trang gì → Q-S-26</t>
  </si>
  <si>
    <t>API</t>
  </si>
  <si>
    <t>Tạo scope</t>
  </si>
  <si>
    <t>TC_119</t>
  </si>
  <si>
    <t>Kiểm tra Customer User gọi API tạo scope</t>
  </si>
  <si>
    <t>1. Gọi thẳng API tạo scope bằng phiên của {{user.cust_user}}</t>
  </si>
  <si>
    <t>- Bị từ chối (403), không tạo scope</t>
  </si>
  <si>
    <t>Sửa, gắn framework, gán người dùng</t>
  </si>
  <si>
    <t>TC_120</t>
  </si>
  <si>
    <t>Kiểm tra Customer User gọi API sửa scope, gắn framework, gán người dùng</t>
  </si>
  <si>
    <t xml:space="preserve">1. Gọi API sửa {{scope.sys}}
2. Gọi API gắn framework vào {{scope.sys}}
3. Gọi API gán người dùng vào {{scope.sys}}</t>
  </si>
  <si>
    <t>- Cả ba bị từ chối (403), dữ liệu không đổi</t>
  </si>
  <si>
    <t>Customer Viewer</t>
  </si>
  <si>
    <t>Danh sách và chi tiết</t>
  </si>
  <si>
    <t>Quyền xem</t>
  </si>
  <si>
    <t>TC_121</t>
  </si>
  <si>
    <t>Kiểm tra màn Scopes với Customer Viewer</t>
  </si>
  <si>
    <t>Đăng nhập {{user.cust_viewer}}</t>
  </si>
  <si>
    <t xml:space="preserve">1. Mở màn Scopes
2. Mở chi tiết một scope</t>
  </si>
  <si>
    <t>SCP-001/002 không có Customer Viewer trong actor, nhưng prototype gán được Viewer vào scope → Q-S-24</t>
  </si>
  <si>
    <t>Vai trò SGS - SGS roles</t>
  </si>
  <si>
    <t>Được phân công</t>
  </si>
  <si>
    <t>Chỉ đọc</t>
  </si>
  <si>
    <t>TC_122</t>
  </si>
  <si>
    <t>Kiểm tra SGS Consultant xem scope của khách được phân công</t>
  </si>
  <si>
    <t>Đăng nhập {{user.consultant}} ở SGS Portal, đã được phân công tenant A</t>
  </si>
  <si>
    <t xml:space="preserve">1. Mở danh sách scope của tenant A
2. Mở chi tiết một scope</t>
  </si>
  <si>
    <t xml:space="preserve">- Xem được danh sách và chi tiết
- Không có nút tạo, sửa, gắn framework, đổi tier, gán người dùng</t>
  </si>
  <si>
    <t>Lối vào từ SGS Portal ở đâu → Q-S-25</t>
  </si>
  <si>
    <t>Không được phân công</t>
  </si>
  <si>
    <t>Không thấy scope</t>
  </si>
  <si>
    <t>TC_123</t>
  </si>
  <si>
    <t>Kiểm tra người dùng SGS không được phân công tenant A</t>
  </si>
  <si>
    <t>Đăng nhập {{user.sgs_other}}</t>
  </si>
  <si>
    <t xml:space="preserve">1. Tìm scope của tenant A trên SGS Portal
2. Gọi API danh sách scope của tenant A</t>
  </si>
  <si>
    <t xml:space="preserve">- Không thấy scope của tenant A
- API bị từ chối</t>
  </si>
  <si>
    <t>Cách ly tenant - Tenant isolation</t>
  </si>
  <si>
    <t>Scope của tenant khác</t>
  </si>
  <si>
    <t>TC_124</t>
  </si>
  <si>
    <t>Kiểm tra cách ly danh sách scope giữa hai tenant</t>
  </si>
  <si>
    <t>Đăng nhập {{user.tenantB_admin}}</t>
  </si>
  <si>
    <t>- Chỉ thấy scope của tenant B, không có scope nào của tenant A</t>
  </si>
  <si>
    <t>URL</t>
  </si>
  <si>
    <t>Chi tiết scope tenant khác</t>
  </si>
  <si>
    <t>TC_125</t>
  </si>
  <si>
    <t>Kiểm tra mở chi tiết scope của tenant khác bằng URL</t>
  </si>
  <si>
    <t>- Không hiển thị dữ liệu của tenant A</t>
  </si>
  <si>
    <t>TC_126</t>
  </si>
  <si>
    <t>Kiểm tra gọi API chi tiết scope của tenant khác</t>
  </si>
  <si>
    <t>1. Gọi API chi tiết {{scope.org}} của tenant A</t>
  </si>
  <si>
    <t>- Bị từ chối (403 hoặc 404), không trả dữ liệu</t>
  </si>
  <si>
    <t>Gán người của tenant khác</t>
  </si>
  <si>
    <t>TC_127</t>
  </si>
  <si>
    <t>Kiểm tra gán người dùng của tenant khác vào scope</t>
  </si>
  <si>
    <t>1. Gọi API gán {{user.tenantB_admin}} vào {{scope.org}}</t>
  </si>
  <si>
    <t>- Bị từ chối, khối Users của {{scope.org}} không đổi</t>
  </si>
  <si>
    <t>Dữ liệu nhập - Input</t>
  </si>
  <si>
    <t>Mã độc</t>
  </si>
  <si>
    <t>Name chứa thẻ script</t>
  </si>
  <si>
    <t>TC_128</t>
  </si>
  <si>
    <t>Kiểm tra tạo scope có Name chứa mã độc</t>
  </si>
  <si>
    <t xml:space="preserve">1. Tạo scope loại Organization, Name là {{text.xss}}
2. Xem scope đó ở danh sách và màn chi tiết</t>
  </si>
  <si>
    <t xml:space="preserve">- Name hiển thị nguyên chuỗi dưới dạng chữ
- Không có hộp thoại hay đoạn mã nào được chạy</t>
  </si>
  <si>
    <t>Ghi vết - Audit log</t>
  </si>
  <si>
    <t>Thao tác ghi</t>
  </si>
  <si>
    <t>Tạo, sửa, gắn, gán</t>
  </si>
  <si>
    <t>TC_129</t>
  </si>
  <si>
    <t>Kiểm tra ghi audit cho các thao tác trên scope</t>
  </si>
  <si>
    <t xml:space="preserve">1. Tạo scope, sửa scope, gắn framework, gán người dùng
2. Mở Audit Logs</t>
  </si>
  <si>
    <t>Thao tác trên scope có thuộc diện phải ghi audit → Q-S-27</t>
  </si>
  <si>
    <t>SCP-L0001_Quản lý scope</t>
  </si>
  <si>
    <t>Scopes · Customer Portal</t>
  </si>
  <si>
    <t>Figma SGS-DTP-DS · Screens 05 Scopes · prototype</t>
  </si>
  <si>
    <t>1.0</t>
  </si>
  <si>
    <t>Login, Scopes</t>
  </si>
  <si>
    <t>A</t>
  </si>
  <si>
    <t>Tạo mới</t>
  </si>
  <si>
    <t>UC List v2.1, Figma</t>
  </si>
  <si>
    <t>Open question</t>
  </si>
  <si>
    <t>02/10/2026</t>
  </si>
  <si>
    <t>1.1</t>
  </si>
  <si>
    <t>Tất cả sheet</t>
  </si>
  <si>
    <t>M</t>
  </si>
  <si>
    <t>Một màu, một phông</t>
  </si>
  <si>
    <t>FB-016, FB-019</t>
  </si>
  <si>
    <t>Version 1.1</t>
  </si>
  <si>
    <t>Sửa vùng đếm tổng kết</t>
  </si>
  <si>
    <t>FB-019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</si>
</sst>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d\-mmm\-yyyy"/>
    <numFmt numFmtId="165" formatCode="0.0"/>
    <numFmt numFmtId="166" formatCode="0.0%"/>
  </numFmts>
  <fonts count="29">
    <font>
      <sz val="10.000000"/>
      <name val="Arial"/>
      <scheme val="minor"/>
    </font>
    <font>
      <b/>
      <sz val="28.000000"/>
      <color indexed="2"/>
      <name val="Tahoma"/>
    </font>
    <font>
      <b/>
      <sz val="20.000000"/>
      <name val="Tahoma"/>
    </font>
    <font>
      <b/>
      <sz val="10.000000"/>
      <name val="Tahoma"/>
    </font>
    <font>
      <i/>
      <sz val="10.000000"/>
      <name val="Tahoma"/>
    </font>
    <font>
      <sz val="10.000000"/>
      <name val="Tahoma"/>
    </font>
    <font>
      <sz val="11.000000"/>
      <color theme="1"/>
      <name val="Calibri"/>
    </font>
    <font>
      <i/>
      <sz val="10.000000"/>
      <color indexed="17"/>
      <name val="Tahoma"/>
    </font>
    <font>
      <sz val="10.000000"/>
      <color theme="1"/>
      <name val="Arial"/>
    </font>
    <font>
      <sz val="10.000000"/>
      <color indexed="65"/>
      <name val="Tahoma"/>
    </font>
    <font>
      <sz val="11.000000"/>
      <color rgb="FF1155CC"/>
      <name val="Arial"/>
    </font>
    <font>
      <b/>
      <sz val="10.000000"/>
      <color theme="1"/>
      <name val="Arial"/>
    </font>
    <font>
      <sz val="11.000000"/>
      <name val="Times New Roman"/>
    </font>
    <font>
      <sz val="11.000000"/>
      <color theme="1"/>
      <name val="Times New Roman"/>
    </font>
    <font>
      <b/>
      <sz val="11.000000"/>
      <color indexed="65"/>
      <name val="Times New Roman"/>
    </font>
    <font>
      <b/>
      <sz val="11.000000"/>
      <color theme="1"/>
      <name val="Times New Roman"/>
    </font>
    <font>
      <sz val="10.000000"/>
      <name val="Times New Roman"/>
    </font>
    <font>
      <b/>
      <sz val="10.000000"/>
      <color indexed="65"/>
      <name val="Times New Roman"/>
    </font>
    <font>
      <sz val="10.000000"/>
      <color rgb="FF363A45"/>
      <name val="Times New Roman"/>
    </font>
    <font>
      <sz val="10.000000"/>
      <color theme="1"/>
      <name val="Times New Roman"/>
    </font>
    <font>
      <sz val="10.000000"/>
      <color indexed="65"/>
      <name val="Times New Roman"/>
    </font>
    <font>
      <b/>
      <sz val="10.000000"/>
      <color indexed="65"/>
      <name val="Arial"/>
    </font>
    <font>
      <sz val="10.000000"/>
      <color indexed="2"/>
      <name val="Arial"/>
      <scheme val="minor"/>
    </font>
    <font>
      <sz val="10.000000"/>
      <color rgb="FFB8362B"/>
      <name val="Times New Roman"/>
    </font>
    <font>
      <sz val="10"/>
      <color rgb="FF363A45"/>
      <name val="Times New Roman"/>
    </font>
    <font>
      <b/>
      <sz val="10"/>
      <color rgb="FF363A45"/>
      <name val="Times New Roman"/>
    </font>
    <font>
      <sz val="10"/>
      <color rgb="FFFFFFFF"/>
      <name val="Times New Roman"/>
    </font>
    <font>
      <b/>
      <sz val="10"/>
      <color rgb="FFFFFFFF"/>
      <name val="Times New Roman"/>
    </font>
    <font>
      <sz val="10"/>
      <color rgb="FFB8362B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indexed="40"/>
        <bgColor indexed="40"/>
      </patternFill>
    </fill>
    <fill>
      <patternFill patternType="solid">
        <fgColor indexed="17"/>
        <bgColor indexed="17"/>
      </patternFill>
    </fill>
    <fill>
      <patternFill patternType="solid">
        <fgColor rgb="FFFEE1CC"/>
        <bgColor rgb="FFFEE1CC"/>
      </patternFill>
    </fill>
    <fill>
      <patternFill patternType="solid">
        <fgColor indexed="65"/>
      </patternFill>
    </fill>
    <fill>
      <patternFill patternType="solid">
        <fgColor rgb="FFD2F1DA"/>
        <bgColor rgb="FFD2F1DA"/>
      </patternFill>
    </fill>
    <fill>
      <patternFill patternType="solid">
        <fgColor rgb="FF17324D"/>
      </patternFill>
    </fill>
    <fill>
      <patternFill patternType="solid">
        <fgColor theme="0" tint="0"/>
        <bgColor theme="0" tint="0"/>
      </patternFill>
    </fill>
    <fill>
      <patternFill patternType="solid">
        <fgColor rgb="FFFBE9E7"/>
        <bgColor rgb="FFFBE9E7"/>
      </patternFill>
    </fill>
  </fills>
  <borders count="29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hair">
        <color auto="1"/>
      </bottom>
      <diagonal style="none"/>
    </border>
    <border>
      <left style="none"/>
      <right style="none"/>
      <top style="none"/>
      <bottom style="hair">
        <color auto="1"/>
      </bottom>
      <diagonal style="none"/>
    </border>
    <border>
      <left style="none"/>
      <right style="thin">
        <color auto="1"/>
      </right>
      <top style="hair">
        <color auto="1"/>
      </top>
      <bottom style="hair">
        <color auto="1"/>
      </bottom>
      <diagonal style="none"/>
    </border>
    <border>
      <left style="none"/>
      <right style="none"/>
      <top style="hair">
        <color auto="1"/>
      </top>
      <bottom style="hair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 style="none"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 style="none"/>
    </border>
    <border>
      <left style="hair">
        <color auto="1"/>
      </left>
      <right style="hair">
        <color auto="1"/>
      </right>
      <top style="none"/>
      <bottom style="hair">
        <color auto="1"/>
      </bottom>
      <diagonal style="none"/>
    </border>
    <border>
      <left style="hair">
        <color auto="1"/>
      </left>
      <right style="thin">
        <color auto="1"/>
      </right>
      <top style="none"/>
      <bottom style="hair">
        <color auto="1"/>
      </bottom>
      <diagonal style="none"/>
    </border>
    <border>
      <left style="hair">
        <color auto="1"/>
      </left>
      <right style="hair">
        <color auto="1"/>
      </right>
      <top style="none"/>
      <bottom style="thin">
        <color auto="1"/>
      </bottom>
      <diagonal style="none"/>
    </border>
    <border>
      <left style="hair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fontId="0" fillId="0" borderId="0" numFmtId="0" applyNumberFormat="1" applyFont="1" applyFill="1" applyBorder="1"/>
  </cellStyleXfs>
  <cellXfs count="118">
    <xf fontId="24" fillId="0" borderId="0" numFmtId="0" xfId="0" quotePrefix="0" pivotButton="0" applyFont="1"/>
    <xf fontId="24" fillId="0" borderId="0" numFmtId="0" xfId="0" quotePrefix="0" pivotButton="0" applyFont="1"/>
    <xf fontId="25" fillId="0" borderId="1" numFmtId="0" xfId="0" applyFont="1" applyBorder="1" applyAlignment="1" quotePrefix="0" pivotButton="0">
      <alignment horizontal="center"/>
    </xf>
    <xf fontId="25" fillId="0" borderId="1" numFmtId="0" xfId="0" applyFont="1" applyBorder="1" applyAlignment="1" quotePrefix="0" pivotButton="0">
      <alignment horizontal="center" vertical="center"/>
    </xf>
    <xf fontId="24" fillId="0" borderId="2" numFmtId="0" xfId="0" applyBorder="1" quotePrefix="0" pivotButton="0" applyFont="1"/>
    <xf fontId="24" fillId="0" borderId="3" numFmtId="0" xfId="0" applyBorder="1" quotePrefix="0" pivotButton="0" applyFont="1"/>
    <xf fontId="25" fillId="0" borderId="1" numFmtId="0" xfId="0" applyFont="1" applyBorder="1" quotePrefix="0" pivotButton="0"/>
    <xf fontId="24" fillId="0" borderId="1" numFmtId="0" xfId="0" applyFont="1" applyBorder="1" quotePrefix="0" pivotButton="0"/>
    <xf fontId="24" fillId="0" borderId="1" numFmtId="0" xfId="0" applyFont="1" applyBorder="1" quotePrefix="0" pivotButton="0"/>
    <xf fontId="24" fillId="0" borderId="1" numFmtId="0" xfId="0" applyFont="1" applyBorder="1" quotePrefix="0" pivotButton="0"/>
    <xf fontId="25" fillId="0" borderId="1" numFmtId="0" xfId="0" applyFont="1" applyBorder="1" applyAlignment="1" quotePrefix="0" pivotButton="0">
      <alignment vertical="center"/>
    </xf>
    <xf fontId="24" fillId="0" borderId="4" numFmtId="0" xfId="0" applyBorder="1" quotePrefix="0" pivotButton="0" applyFont="1"/>
    <xf fontId="24" fillId="0" borderId="5" numFmtId="0" xfId="0" applyBorder="1" quotePrefix="0" pivotButton="0" applyFont="1"/>
    <xf fontId="24" fillId="0" borderId="1" numFmtId="164" xfId="0" applyNumberFormat="1" applyFont="1" applyBorder="1" quotePrefix="0" pivotButton="0"/>
    <xf fontId="24" fillId="0" borderId="6" numFmtId="0" xfId="0" applyBorder="1" quotePrefix="0" pivotButton="0" applyFont="1"/>
    <xf fontId="24" fillId="0" borderId="7" numFmtId="0" xfId="0" applyBorder="1" quotePrefix="0" pivotButton="0" applyFont="1"/>
    <xf fontId="24" fillId="0" borderId="8" numFmtId="0" xfId="0" applyBorder="1" quotePrefix="0" pivotButton="0" applyFont="1"/>
    <xf fontId="24" fillId="0" borderId="9" numFmtId="0" xfId="0" applyBorder="1" quotePrefix="0" pivotButton="0" applyFont="1"/>
    <xf fontId="24" fillId="0" borderId="1" numFmtId="0" xfId="0" applyFont="1" applyBorder="1" quotePrefix="0" pivotButton="0"/>
    <xf fontId="25" fillId="0" borderId="1" numFmtId="0" xfId="0" applyFont="1" applyBorder="1" applyAlignment="1" quotePrefix="0" pivotButton="0">
      <alignment wrapText="1"/>
    </xf>
    <xf fontId="24" fillId="0" borderId="1" numFmtId="0" xfId="0" applyFont="1" applyBorder="1" applyAlignment="1" quotePrefix="0" pivotButton="0">
      <alignment wrapText="1"/>
    </xf>
    <xf fontId="24" fillId="0" borderId="10" numFmtId="0" xfId="0" applyFont="1" applyBorder="1" quotePrefix="0" pivotButton="0"/>
    <xf fontId="26" fillId="2" borderId="1" numFmtId="0" xfId="0" applyFont="1" applyFill="1" applyBorder="1" applyAlignment="1" quotePrefix="0" pivotButton="0">
      <alignment horizontal="center" vertical="center"/>
    </xf>
    <xf fontId="24" fillId="0" borderId="11" numFmtId="0" xfId="0" applyFont="1" applyBorder="1" quotePrefix="0" pivotButton="0"/>
    <xf fontId="24" fillId="0" borderId="12" numFmtId="164" xfId="0" applyNumberFormat="1" applyFont="1" applyBorder="1" applyAlignment="1" quotePrefix="0" pivotButton="0">
      <alignment vertical="top" wrapText="1"/>
    </xf>
    <xf fontId="24" fillId="0" borderId="12" numFmtId="165" xfId="0" applyNumberFormat="1" applyFont="1" applyBorder="1" applyAlignment="1" quotePrefix="0" pivotButton="0">
      <alignment horizontal="right" vertical="top"/>
    </xf>
    <xf fontId="24" fillId="0" borderId="12" numFmtId="0" xfId="0" applyFont="1" applyBorder="1" applyAlignment="1" quotePrefix="0" pivotButton="0">
      <alignment vertical="top"/>
    </xf>
    <xf fontId="24" fillId="0" borderId="12" numFmtId="0" xfId="0" applyFont="1" applyBorder="1" applyAlignment="1" quotePrefix="0" pivotButton="0">
      <alignment horizontal="center" vertical="top"/>
    </xf>
    <xf fontId="24" fillId="0" borderId="13" numFmtId="0" xfId="0" applyFont="1" applyBorder="1" applyAlignment="1" quotePrefix="0" pivotButton="0">
      <alignment vertical="center" wrapText="1"/>
    </xf>
    <xf fontId="24" fillId="0" borderId="14" numFmtId="0" xfId="0" applyFont="1" applyBorder="1" applyAlignment="1" quotePrefix="0" pivotButton="0">
      <alignment vertical="top"/>
    </xf>
    <xf fontId="24" fillId="0" borderId="15" numFmtId="0" xfId="0" applyFont="1" applyBorder="1" applyAlignment="1" quotePrefix="0" pivotButton="0">
      <alignment vertical="top" wrapText="1"/>
    </xf>
    <xf fontId="24" fillId="0" borderId="15" numFmtId="0" xfId="0" applyFont="1" applyBorder="1" applyAlignment="1" quotePrefix="0" pivotButton="0">
      <alignment vertical="top"/>
    </xf>
    <xf fontId="25" fillId="0" borderId="0" numFmtId="0" xfId="0" applyFont="1" applyAlignment="1" quotePrefix="0" pivotButton="0">
      <alignment horizontal="center"/>
    </xf>
    <xf fontId="24" fillId="0" borderId="14" numFmtId="0" xfId="0" applyFont="1" applyBorder="1" quotePrefix="0" pivotButton="0"/>
    <xf fontId="24" fillId="0" borderId="15" numFmtId="0" xfId="0" applyFont="1" applyBorder="1" quotePrefix="0" pivotButton="0"/>
    <xf fontId="24" fillId="0" borderId="6" numFmtId="0" xfId="0" applyFont="1" applyBorder="1" quotePrefix="0" pivotButton="0"/>
    <xf fontId="25" fillId="0" borderId="0" numFmtId="0" xfId="0" applyFont="1" quotePrefix="0" pivotButton="0"/>
    <xf fontId="24" fillId="0" borderId="0" numFmtId="0" xfId="0" applyFont="1" quotePrefix="0" pivotButton="0"/>
    <xf fontId="24" fillId="0" borderId="0" numFmtId="0" xfId="0" applyFont="1" quotePrefix="0" pivotButton="0"/>
    <xf fontId="24" fillId="0" borderId="0" numFmtId="0" xfId="0" applyFont="1" quotePrefix="0" pivotButton="0"/>
    <xf fontId="24" fillId="0" borderId="0" numFmtId="0" xfId="0" applyFont="1" quotePrefix="0" pivotButton="0"/>
    <xf fontId="24" fillId="0" borderId="16" numFmtId="0" xfId="0" applyFont="1" applyBorder="1" applyAlignment="1" quotePrefix="0" pivotButton="0">
      <alignment vertical="center"/>
    </xf>
    <xf fontId="27" fillId="2" borderId="9" numFmtId="0" xfId="0" applyFont="1" applyFill="1" applyBorder="1" applyAlignment="1" quotePrefix="0" pivotButton="0">
      <alignment horizontal="center" vertical="center"/>
    </xf>
    <xf fontId="27" fillId="2" borderId="1" numFmtId="0" xfId="0" applyFont="1" applyFill="1" applyBorder="1" applyAlignment="1" quotePrefix="0" pivotButton="0">
      <alignment horizontal="center" vertical="center"/>
    </xf>
    <xf fontId="24" fillId="0" borderId="0" numFmtId="0" xfId="0" applyFont="1" applyAlignment="1" quotePrefix="0" pivotButton="0">
      <alignment vertical="center"/>
    </xf>
    <xf fontId="27" fillId="2" borderId="1" numFmtId="0" xfId="0" applyFont="1" applyFill="1" applyBorder="1" applyAlignment="1" quotePrefix="0" pivotButton="0">
      <alignment vertical="center"/>
    </xf>
    <xf fontId="27" fillId="2" borderId="1" numFmtId="0" xfId="0" applyFont="1" applyFill="1" applyBorder="1" applyAlignment="1" quotePrefix="0" pivotButton="0">
      <alignment horizontal="center" vertical="center"/>
    </xf>
    <xf fontId="27" fillId="2" borderId="1" numFmtId="0" xfId="0" applyFont="1" applyFill="1" applyBorder="1" applyAlignment="1" quotePrefix="0" pivotButton="0">
      <alignment horizontal="center" vertical="center" wrapText="1"/>
    </xf>
    <xf fontId="27" fillId="2" borderId="1" numFmtId="0" xfId="0" applyFont="1" applyFill="1" applyBorder="1" applyAlignment="1" quotePrefix="0" pivotButton="0">
      <alignment horizontal="center" vertical="center"/>
    </xf>
    <xf fontId="27" fillId="2" borderId="1" numFmtId="0" xfId="0" applyFont="1" applyFill="1" applyBorder="1" applyAlignment="1" quotePrefix="0" pivotButton="0">
      <alignment horizontal="center" vertical="center" wrapText="1"/>
    </xf>
    <xf fontId="27" fillId="2" borderId="1" numFmtId="0" xfId="0" applyFont="1" applyFill="1" applyBorder="1" applyAlignment="1" quotePrefix="0" pivotButton="0">
      <alignment horizontal="center" vertical="center" wrapText="1"/>
    </xf>
    <xf fontId="24" fillId="0" borderId="1" numFmtId="0" xfId="0" applyFont="1" applyBorder="1" applyAlignment="1" quotePrefix="0" pivotButton="0">
      <alignment horizontal="center" vertical="top"/>
    </xf>
    <xf fontId="24" fillId="0" borderId="1" numFmtId="0" xfId="0" applyFont="1" applyBorder="1" applyAlignment="1" quotePrefix="0" pivotButton="0">
      <alignment vertical="center" wrapText="1"/>
    </xf>
    <xf fontId="24" fillId="0" borderId="1" numFmtId="9" xfId="0" applyNumberFormat="1" applyFont="1" applyBorder="1" applyAlignment="1" quotePrefix="0" pivotButton="0">
      <alignment horizontal="center" vertical="center"/>
    </xf>
    <xf fontId="24" fillId="0" borderId="1" numFmtId="3" xfId="0" applyNumberFormat="1" applyFont="1" applyBorder="1" applyAlignment="1" quotePrefix="0" pivotButton="0">
      <alignment horizontal="center" vertical="center"/>
    </xf>
    <xf fontId="24" fillId="0" borderId="17" numFmtId="0" xfId="0" applyBorder="1" quotePrefix="0" pivotButton="0" applyFont="1"/>
    <xf fontId="24" fillId="0" borderId="18" numFmtId="0" xfId="0" applyFont="1" applyBorder="1" applyAlignment="1" quotePrefix="0" pivotButton="0">
      <alignment vertical="center"/>
    </xf>
    <xf fontId="24" fillId="0" borderId="1" numFmtId="0" xfId="0" applyFont="1" applyBorder="1" applyAlignment="1" quotePrefix="0" pivotButton="0">
      <alignment vertical="center"/>
    </xf>
    <xf fontId="24" fillId="0" borderId="1" numFmtId="0" xfId="0" applyFont="1" applyFill="1" applyBorder="1" applyAlignment="1" quotePrefix="0" pivotButton="0">
      <alignment vertical="center" wrapText="1"/>
    </xf>
    <xf fontId="24" fillId="0" borderId="1" numFmtId="0" xfId="0" applyFont="1" applyBorder="1" applyAlignment="1" quotePrefix="0" pivotButton="0">
      <alignment horizontal="left"/>
    </xf>
    <xf fontId="27" fillId="2" borderId="1" numFmtId="0" xfId="0" applyFont="1" applyFill="1" applyBorder="1" quotePrefix="0" pivotButton="0"/>
    <xf fontId="27" fillId="2" borderId="1" numFmtId="166" xfId="0" applyNumberFormat="1" applyFont="1" applyFill="1" applyBorder="1" applyAlignment="1" quotePrefix="0" pivotButton="0">
      <alignment horizontal="center" vertical="center"/>
    </xf>
    <xf fontId="27" fillId="2" borderId="1" numFmtId="3" xfId="0" applyNumberFormat="1" applyFont="1" applyFill="1" applyBorder="1" applyAlignment="1" quotePrefix="0" pivotButton="0">
      <alignment horizontal="center" vertical="center"/>
    </xf>
    <xf fontId="24" fillId="0" borderId="18" numFmtId="0" xfId="0" applyFont="1" applyBorder="1" applyAlignment="1" quotePrefix="0" pivotButton="0">
      <alignment vertical="center" wrapText="1"/>
    </xf>
    <xf fontId="27" fillId="2" borderId="1" numFmtId="0" xfId="0" applyFont="1" applyFill="1" applyBorder="1" applyAlignment="1" quotePrefix="0" pivotButton="0">
      <alignment vertical="center"/>
    </xf>
    <xf fontId="27" fillId="2" borderId="1" numFmtId="0" xfId="0" applyFont="1" applyFill="1" applyBorder="1" quotePrefix="0" pivotButton="0"/>
    <xf fontId="27" fillId="2" borderId="1" numFmtId="166" xfId="0" applyNumberFormat="1" applyFont="1" applyFill="1" applyBorder="1" applyAlignment="1" quotePrefix="0" pivotButton="0">
      <alignment horizontal="center" vertical="center"/>
    </xf>
    <xf fontId="27" fillId="2" borderId="1" numFmtId="3" xfId="0" applyNumberFormat="1" applyFont="1" applyFill="1" applyBorder="1" applyAlignment="1" quotePrefix="0" pivotButton="0">
      <alignment horizontal="center" vertical="center"/>
    </xf>
    <xf fontId="24" fillId="0" borderId="0" numFmtId="0" xfId="0" applyAlignment="1" quotePrefix="0" pivotButton="0" applyFont="1">
      <alignment wrapText="1"/>
    </xf>
    <xf fontId="24" fillId="0" borderId="0" numFmtId="0" xfId="0" applyAlignment="1" quotePrefix="0" pivotButton="0" applyFont="1">
      <alignment horizontal="center" wrapText="1"/>
    </xf>
    <xf fontId="24" fillId="0" borderId="0" numFmtId="0" xfId="0" applyFont="1" applyAlignment="1" quotePrefix="0" pivotButton="0">
      <alignment horizontal="center" vertical="center" wrapText="1"/>
    </xf>
    <xf fontId="24" fillId="0" borderId="0" numFmtId="0" xfId="0" applyFont="1" applyAlignment="1" quotePrefix="0" pivotButton="0">
      <alignment vertical="center" wrapText="1"/>
    </xf>
    <xf fontId="24" fillId="0" borderId="0" numFmtId="0" xfId="0" applyFont="1" applyAlignment="1" quotePrefix="0" pivotButton="0">
      <alignment horizontal="left" vertical="center" wrapText="1"/>
    </xf>
    <xf fontId="24" fillId="0" borderId="0" numFmtId="0" xfId="0" applyFont="1" applyAlignment="1" quotePrefix="0" pivotButton="0">
      <alignment vertical="center" wrapText="1"/>
    </xf>
    <xf fontId="27" fillId="2" borderId="1" numFmtId="0" xfId="0" applyFont="1" applyFill="1" applyBorder="1" applyAlignment="1" quotePrefix="0" pivotButton="0">
      <alignment vertical="center" wrapText="1"/>
    </xf>
    <xf fontId="24" fillId="0" borderId="19" numFmtId="0" xfId="0" applyFont="1" applyBorder="1" applyAlignment="1" quotePrefix="0" pivotButton="0">
      <alignment horizontal="left" vertical="center" wrapText="1"/>
    </xf>
    <xf fontId="24" fillId="0" borderId="20" numFmtId="0" xfId="0" applyFont="1" applyBorder="1" applyAlignment="1" quotePrefix="0" pivotButton="0">
      <alignment vertical="center" wrapText="1"/>
    </xf>
    <xf fontId="24" fillId="0" borderId="0" numFmtId="0" xfId="0" applyFont="1" applyAlignment="1" quotePrefix="0" pivotButton="0">
      <alignment vertical="center" wrapText="1"/>
    </xf>
    <xf fontId="27" fillId="2" borderId="1" numFmtId="0" xfId="0" applyFont="1" applyFill="1" applyBorder="1" applyAlignment="1" quotePrefix="0" pivotButton="0">
      <alignment horizontal="center" vertical="center" wrapText="1"/>
    </xf>
    <xf fontId="27" fillId="2" borderId="1" numFmtId="0" xfId="0" applyFont="1" applyFill="1" applyBorder="1" applyAlignment="1" quotePrefix="0" pivotButton="0">
      <alignment horizontal="left" vertical="center" wrapText="1"/>
    </xf>
    <xf fontId="24" fillId="0" borderId="21" numFmtId="0" xfId="0" applyFont="1" applyBorder="1" applyAlignment="1" quotePrefix="0" pivotButton="0">
      <alignment horizontal="left" vertical="center" wrapText="1"/>
    </xf>
    <xf fontId="24" fillId="0" borderId="22" numFmtId="0" xfId="0" applyFont="1" applyBorder="1" applyAlignment="1" quotePrefix="0" pivotButton="0">
      <alignment vertical="center" wrapText="1"/>
    </xf>
    <xf fontId="26" fillId="2" borderId="1" numFmtId="0" xfId="0" applyFont="1" applyFill="1" applyBorder="1" applyAlignment="1" quotePrefix="0" pivotButton="0">
      <alignment horizontal="center" vertical="center" wrapText="1"/>
    </xf>
    <xf fontId="26" fillId="2" borderId="1" numFmtId="3" xfId="0" applyNumberFormat="1" applyFont="1" applyFill="1" applyBorder="1" applyAlignment="1" quotePrefix="0" pivotButton="0">
      <alignment horizontal="center" vertical="center" wrapText="1"/>
    </xf>
    <xf fontId="26" fillId="2" borderId="1" numFmtId="3" xfId="0" applyNumberFormat="1" applyFont="1" applyFill="1" applyBorder="1" applyAlignment="1" quotePrefix="0" pivotButton="0">
      <alignment horizontal="left" vertical="center" wrapText="1"/>
    </xf>
    <xf fontId="24" fillId="0" borderId="0" numFmtId="9" xfId="0" applyNumberFormat="1" applyFont="1" applyAlignment="1" quotePrefix="0" pivotButton="0">
      <alignment vertical="center" wrapText="1"/>
    </xf>
    <xf fontId="24" fillId="0" borderId="6" numFmtId="0" xfId="0" applyBorder="1" applyAlignment="1" quotePrefix="0" pivotButton="0" applyFont="1">
      <alignment wrapText="1"/>
    </xf>
    <xf fontId="26" fillId="2" borderId="1" numFmtId="9" xfId="0" applyNumberFormat="1" applyFont="1" applyFill="1" applyBorder="1" applyAlignment="1" quotePrefix="0" pivotButton="0">
      <alignment horizontal="center" vertical="center" wrapText="1"/>
    </xf>
    <xf fontId="26" fillId="2" borderId="1" numFmtId="9" xfId="0" applyNumberFormat="1" applyFont="1" applyFill="1" applyBorder="1" applyAlignment="1" quotePrefix="0" pivotButton="0">
      <alignment horizontal="left" vertical="center" wrapText="1"/>
    </xf>
    <xf fontId="24" fillId="0" borderId="21" numFmtId="14" xfId="0" applyNumberFormat="1" applyFont="1" applyBorder="1" applyAlignment="1" quotePrefix="0" pivotButton="0">
      <alignment horizontal="left" vertical="center" wrapText="1"/>
    </xf>
    <xf fontId="27" fillId="2" borderId="1" numFmtId="0" xfId="0" applyFont="1" applyFill="1" applyBorder="1" applyAlignment="1" quotePrefix="0" pivotButton="0">
      <alignment vertical="center" wrapText="1"/>
    </xf>
    <xf fontId="26" fillId="2" borderId="1" numFmtId="0" xfId="0" applyFont="1" applyFill="1" applyBorder="1" applyAlignment="1" quotePrefix="0" pivotButton="0">
      <alignment horizontal="center" vertical="center" wrapText="1"/>
    </xf>
    <xf fontId="26" fillId="2" borderId="1" numFmtId="3" xfId="0" applyNumberFormat="1" applyFont="1" applyFill="1" applyBorder="1" applyAlignment="1" quotePrefix="0" pivotButton="0">
      <alignment horizontal="center" vertical="center" wrapText="1"/>
    </xf>
    <xf fontId="26" fillId="2" borderId="1" numFmtId="3" xfId="0" applyNumberFormat="1" applyFont="1" applyFill="1" applyBorder="1" applyAlignment="1" quotePrefix="0" pivotButton="0">
      <alignment horizontal="left" vertical="center" wrapText="1"/>
    </xf>
    <xf fontId="24" fillId="0" borderId="23" numFmtId="0" xfId="0" applyFont="1" applyBorder="1" applyAlignment="1" quotePrefix="0" pivotButton="0">
      <alignment vertical="center" wrapText="1"/>
    </xf>
    <xf fontId="24" fillId="0" borderId="24" numFmtId="0" xfId="0" applyFont="1" applyBorder="1" applyAlignment="1" quotePrefix="0" pivotButton="0">
      <alignment vertical="center" wrapText="1"/>
    </xf>
    <xf fontId="26" fillId="2" borderId="1" numFmtId="9" xfId="0" applyNumberFormat="1" applyFont="1" applyFill="1" applyBorder="1" applyAlignment="1" quotePrefix="0" pivotButton="0">
      <alignment horizontal="center" vertical="center" wrapText="1"/>
    </xf>
    <xf fontId="26" fillId="2" borderId="1" numFmtId="9" xfId="0" applyNumberFormat="1" applyFont="1" applyFill="1" applyBorder="1" applyAlignment="1" quotePrefix="0" pivotButton="0">
      <alignment horizontal="left" vertical="center" wrapText="1"/>
    </xf>
    <xf fontId="24" fillId="0" borderId="2" numFmtId="0" xfId="0" applyBorder="1" applyAlignment="1" quotePrefix="0" pivotButton="0" applyFont="1">
      <alignment wrapText="1"/>
    </xf>
    <xf fontId="24" fillId="0" borderId="3" numFmtId="0" xfId="0" applyBorder="1" applyAlignment="1" quotePrefix="0" pivotButton="0" applyFont="1">
      <alignment wrapText="1"/>
    </xf>
    <xf fontId="27" fillId="2" borderId="0" numFmtId="0" xfId="0" applyFont="1" applyFill="1" applyAlignment="1" quotePrefix="0" pivotButton="0">
      <alignment horizontal="center" vertical="center" wrapText="1"/>
    </xf>
    <xf fontId="27" fillId="2" borderId="18" numFmtId="0" xfId="0" applyFont="1" applyFill="1" applyBorder="1" applyAlignment="1" quotePrefix="0" pivotButton="0">
      <alignment horizontal="center" vertical="center" wrapText="1"/>
    </xf>
    <xf fontId="27" fillId="2" borderId="18" numFmtId="0" xfId="0" applyFont="1" applyFill="1" applyBorder="1" applyAlignment="1" quotePrefix="0" pivotButton="0">
      <alignment horizontal="left" vertical="center" wrapText="1"/>
    </xf>
    <xf fontId="27" fillId="2" borderId="17" numFmtId="0" xfId="0" applyFont="1" applyFill="1" applyBorder="1" applyAlignment="1" quotePrefix="0" pivotButton="0">
      <alignment horizontal="center" vertical="center" wrapText="1"/>
    </xf>
    <xf fontId="27" fillId="2" borderId="25" numFmtId="0" xfId="0" applyFont="1" applyFill="1" applyBorder="1" applyAlignment="1" quotePrefix="0" pivotButton="0">
      <alignment horizontal="center" vertical="center" wrapText="1"/>
    </xf>
    <xf fontId="24" fillId="0" borderId="17" numFmtId="0" xfId="0" applyBorder="1" applyAlignment="1" quotePrefix="0" pivotButton="0" applyFont="1">
      <alignment wrapText="1"/>
    </xf>
    <xf fontId="24" fillId="0" borderId="26" numFmtId="0" xfId="0" applyBorder="1" applyAlignment="1" quotePrefix="0" pivotButton="0" applyFont="1">
      <alignment wrapText="1"/>
    </xf>
    <xf fontId="24" fillId="0" borderId="21" numFmtId="0" xfId="0" applyFont="1" applyBorder="1" applyAlignment="1" quotePrefix="0" pivotButton="0">
      <alignment horizontal="center" vertical="center" wrapText="1"/>
    </xf>
    <xf fontId="24" fillId="0" borderId="27" numFmtId="0" xfId="0" applyFont="1" applyBorder="1" applyAlignment="1" quotePrefix="0" pivotButton="0">
      <alignment horizontal="left" vertical="center" wrapText="1"/>
    </xf>
    <xf fontId="24" fillId="0" borderId="28" numFmtId="0" xfId="0" applyFont="1" applyBorder="1" applyAlignment="1" quotePrefix="0" pivotButton="0">
      <alignment horizontal="left" vertical="center" wrapText="1"/>
    </xf>
    <xf fontId="24" fillId="0" borderId="0" numFmtId="0" xfId="0" applyFont="1" applyFill="1" applyAlignment="1" quotePrefix="0" pivotButton="0">
      <alignment wrapText="1"/>
    </xf>
    <xf fontId="24" fillId="0" borderId="0" numFmtId="0" xfId="0" applyAlignment="1" quotePrefix="0" pivotButton="0" applyFont="1">
      <alignment horizontal="center"/>
    </xf>
    <xf fontId="28" fillId="10" borderId="21" numFmtId="0" xfId="0" applyFont="1" applyBorder="1" applyAlignment="1" quotePrefix="0" pivotButton="0" applyFill="1">
      <alignment horizontal="left" vertical="center" wrapText="1"/>
    </xf>
    <xf fontId="24" fillId="10" borderId="21" numFmtId="0" xfId="0" applyFont="1" applyBorder="1" applyAlignment="1" quotePrefix="0" pivotButton="0" applyFill="1">
      <alignment horizontal="left" vertical="center" wrapText="1"/>
    </xf>
    <xf fontId="24" fillId="0" borderId="14" numFmtId="164" xfId="0" applyFont="1" applyBorder="1" applyAlignment="1" quotePrefix="0" pivotButton="0">
      <alignment vertical="top" wrapText="1"/>
    </xf>
    <xf fontId="24" fillId="0" borderId="14" numFmtId="165" xfId="0" applyFont="1" applyBorder="1" applyAlignment="1" quotePrefix="0" pivotButton="0">
      <alignment horizontal="right" vertical="top"/>
    </xf>
    <xf fontId="24" fillId="0" borderId="14" numFmtId="0" xfId="0" applyFont="1" applyBorder="1" applyAlignment="1" quotePrefix="0" pivotButton="0">
      <alignment horizontal="center" vertical="top"/>
    </xf>
    <xf fontId="24" fillId="0" borderId="15" numFmtId="0" xfId="0" applyFont="1" applyBorder="1" applyAlignment="1" quotePrefix="0" pivotButton="0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worksheet" Target="worksheets/sheet4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962025</xdr:colOff>
      <xdr:row>0</xdr:row>
      <xdr:rowOff>200025</xdr:rowOff>
    </xdr:from>
    <xdr:ext cx="1057275" cy="609600"/>
    <xdr:pic>
      <xdr:nvPicPr>
        <xdr:cNvPr id="2" name="image1.png" title="Image"/>
        <xdr:cNvPicPr/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363A45"/>
      </a:dk1>
      <a:lt1>
        <a:srgbClr val="FFFFFF"/>
      </a:lt1>
      <a:dk2>
        <a:srgbClr val="363A45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B15" activeCellId="0" sqref="B15"/>
    </sheetView>
  </sheetViews>
  <sheetFormatPr baseColWidth="8" defaultColWidth="12.5703125" defaultRowHeight="15" customHeight="1"/>
  <cols>
    <col customWidth="1" min="1" max="1" style="1" width="9.5703125"/>
    <col customWidth="1" min="2" max="2" style="1" width="22.42578125"/>
    <col customWidth="1" min="3" max="3" style="1" width="9.5703125"/>
    <col customWidth="1" min="4" max="4" style="1" width="17.85546875"/>
    <col customWidth="1" min="5" max="5" style="1" width="9.5703125"/>
    <col customWidth="1" min="6" max="6" style="1" width="20.42578125"/>
    <col customWidth="1" min="7" max="7" style="1" width="23.140625"/>
    <col customWidth="1" min="8" max="26" style="1" width="9.5703125"/>
  </cols>
  <sheetData>
    <row r="1" ht="15.75" customHeight="1"/>
    <row r="2" ht="48" customHeight="1">
      <c r="B2" s="2"/>
      <c r="C2" s="3" t="s">
        <v>0</v>
      </c>
      <c r="D2" s="4"/>
      <c r="E2" s="4"/>
      <c r="F2" s="4"/>
      <c r="G2" s="5"/>
    </row>
    <row r="3" ht="15.75" customHeight="1">
      <c r="B3" s="6" t="s">
        <v>1</v>
      </c>
      <c r="C3" s="7" t="s">
        <v>2</v>
      </c>
      <c r="D3" s="4"/>
      <c r="E3" s="5"/>
      <c r="F3" s="6" t="s">
        <v>3</v>
      </c>
      <c r="G3" s="8"/>
    </row>
    <row r="4" ht="15.75" customHeight="1">
      <c r="B4" s="6" t="s">
        <v>4</v>
      </c>
      <c r="C4" s="7"/>
      <c r="D4" s="4"/>
      <c r="E4" s="5"/>
      <c r="F4" s="6" t="s">
        <v>5</v>
      </c>
      <c r="G4" s="9"/>
    </row>
    <row r="5" ht="15.75" customHeight="1">
      <c r="B5" s="10" t="s">
        <v>6</v>
      </c>
      <c r="C5" s="7"/>
      <c r="D5" s="11"/>
      <c r="E5" s="12"/>
      <c r="F5" s="6" t="s">
        <v>7</v>
      </c>
      <c r="G5" s="13"/>
    </row>
    <row r="6" ht="15.75" customHeight="1">
      <c r="B6" s="14"/>
      <c r="C6" s="15"/>
      <c r="D6" s="16"/>
      <c r="E6" s="17"/>
      <c r="F6" s="6" t="s">
        <v>8</v>
      </c>
      <c r="G6" s="9" t="s">
        <v>1124</v>
      </c>
    </row>
    <row r="7" ht="15.75" customHeight="1">
      <c r="B7" s="6" t="s">
        <v>10</v>
      </c>
      <c r="C7" s="18"/>
      <c r="D7" s="4"/>
      <c r="E7" s="4"/>
      <c r="F7" s="4"/>
      <c r="G7" s="5"/>
    </row>
    <row r="8" ht="15.75" customHeight="1">
      <c r="B8" s="19" t="s">
        <v>11</v>
      </c>
      <c r="C8" s="20"/>
      <c r="D8" s="4"/>
      <c r="E8" s="4"/>
      <c r="F8" s="4"/>
      <c r="G8" s="5"/>
    </row>
    <row r="9" ht="15.75" customHeight="1">
      <c r="B9" s="6" t="s">
        <v>12</v>
      </c>
      <c r="C9" s="4"/>
      <c r="D9" s="4"/>
      <c r="E9" s="4"/>
      <c r="F9" s="4"/>
      <c r="G9" s="5"/>
    </row>
    <row r="10" ht="15.75" customHeight="1">
      <c r="A10" s="21"/>
      <c r="B10" s="22" t="s">
        <v>13</v>
      </c>
      <c r="C10" s="22" t="s">
        <v>8</v>
      </c>
      <c r="D10" s="22" t="s">
        <v>14</v>
      </c>
      <c r="E10" s="22" t="s">
        <v>15</v>
      </c>
      <c r="F10" s="22" t="s">
        <v>16</v>
      </c>
      <c r="G10" s="22" t="s">
        <v>17</v>
      </c>
      <c r="H10" s="23"/>
    </row>
    <row r="11" ht="15.75" customHeight="1">
      <c r="A11" s="21"/>
      <c r="B11" s="24" t="s">
        <v>84</v>
      </c>
      <c r="C11" s="25" t="s">
        <v>1112</v>
      </c>
      <c r="D11" s="26" t="s">
        <v>1113</v>
      </c>
      <c r="E11" s="27" t="s">
        <v>1114</v>
      </c>
      <c r="F11" s="26" t="s">
        <v>1115</v>
      </c>
      <c r="G11" s="28" t="s">
        <v>1116</v>
      </c>
      <c r="H11" s="23"/>
    </row>
    <row r="12" ht="15.75" customHeight="1">
      <c r="A12" s="21"/>
      <c r="B12" s="114" t="s">
        <v>1118</v>
      </c>
      <c r="C12" s="115" t="s">
        <v>1119</v>
      </c>
      <c r="D12" s="29" t="s">
        <v>1120</v>
      </c>
      <c r="E12" s="116" t="s">
        <v>1121</v>
      </c>
      <c r="F12" s="29" t="s">
        <v>1122</v>
      </c>
      <c r="G12" s="117" t="s">
        <v>1123</v>
      </c>
      <c r="H12" s="23"/>
    </row>
    <row r="13" ht="15.75" customHeight="1">
      <c r="A13" s="21"/>
      <c r="B13" s="114" t="s">
        <v>1118</v>
      </c>
      <c r="C13" s="115" t="s">
        <v>1119</v>
      </c>
      <c r="D13" s="29" t="s">
        <v>37</v>
      </c>
      <c r="E13" s="116" t="s">
        <v>1121</v>
      </c>
      <c r="F13" s="29" t="s">
        <v>1125</v>
      </c>
      <c r="G13" s="117" t="s">
        <v>1126</v>
      </c>
      <c r="H13" s="23"/>
      <c r="I13" s="32"/>
    </row>
    <row r="14" ht="15.75" customHeight="1">
      <c r="A14" s="21"/>
      <c r="B14" s="29"/>
      <c r="C14" s="29"/>
      <c r="D14" s="29"/>
      <c r="E14" s="29"/>
      <c r="F14" s="29"/>
      <c r="G14" s="31"/>
      <c r="H14" s="23"/>
    </row>
    <row r="15" ht="15.75" customHeight="1">
      <c r="A15" s="21"/>
      <c r="B15" s="29"/>
      <c r="C15" s="29"/>
      <c r="D15" s="29"/>
      <c r="E15" s="29"/>
      <c r="F15" s="29"/>
      <c r="G15" s="31"/>
      <c r="H15" s="23"/>
    </row>
    <row r="16" ht="15.75" customHeight="1">
      <c r="A16" s="21"/>
      <c r="B16" s="29"/>
      <c r="C16" s="29"/>
      <c r="D16" s="29"/>
      <c r="E16" s="29"/>
      <c r="F16" s="29"/>
      <c r="G16" s="31"/>
      <c r="H16" s="23"/>
    </row>
    <row r="17" ht="15.75" customHeight="1">
      <c r="A17" s="21"/>
      <c r="B17" s="29"/>
      <c r="C17" s="29"/>
      <c r="D17" s="29"/>
      <c r="E17" s="29"/>
      <c r="F17" s="29"/>
      <c r="G17" s="31"/>
      <c r="H17" s="23"/>
    </row>
    <row r="18" ht="15.75" customHeight="1">
      <c r="A18" s="21"/>
      <c r="B18" s="33"/>
      <c r="C18" s="33"/>
      <c r="D18" s="33"/>
      <c r="E18" s="33"/>
      <c r="F18" s="33"/>
      <c r="G18" s="34"/>
      <c r="H18" s="23"/>
    </row>
    <row r="19" ht="15.75" customHeight="1">
      <c r="A19" s="21"/>
      <c r="B19" s="33"/>
      <c r="C19" s="33"/>
      <c r="D19" s="33"/>
      <c r="E19" s="33"/>
      <c r="F19" s="33"/>
      <c r="G19" s="34"/>
      <c r="H19" s="23"/>
    </row>
    <row r="20" ht="15.75" customHeight="1">
      <c r="A20" s="21"/>
      <c r="B20" s="33"/>
      <c r="C20" s="33"/>
      <c r="D20" s="33"/>
      <c r="E20" s="33"/>
      <c r="F20" s="33"/>
      <c r="G20" s="34"/>
      <c r="H20" s="23"/>
    </row>
    <row r="21" ht="15.75" customHeight="1">
      <c r="A21" s="21"/>
      <c r="B21" s="33"/>
      <c r="C21" s="33"/>
      <c r="D21" s="33"/>
      <c r="E21" s="33"/>
      <c r="F21" s="33"/>
      <c r="G21" s="34"/>
      <c r="H21" s="23"/>
    </row>
    <row r="22" ht="15.75" customHeight="1">
      <c r="A22" s="21"/>
      <c r="B22" s="33"/>
      <c r="C22" s="33"/>
      <c r="D22" s="33"/>
      <c r="E22" s="33"/>
      <c r="F22" s="33"/>
      <c r="G22" s="34"/>
      <c r="H22" s="23"/>
    </row>
    <row r="23" ht="15.75" customHeight="1">
      <c r="A23" s="21"/>
      <c r="B23" s="33"/>
      <c r="C23" s="33"/>
      <c r="D23" s="33"/>
      <c r="E23" s="33"/>
      <c r="F23" s="33"/>
      <c r="G23" s="34"/>
      <c r="H23" s="23"/>
    </row>
    <row r="24" ht="15.75" customHeight="1">
      <c r="B24" s="35"/>
      <c r="C24" s="35"/>
      <c r="D24" s="35"/>
      <c r="E24" s="35"/>
      <c r="F24" s="35"/>
      <c r="G24" s="35"/>
    </row>
    <row r="25" ht="15.75" customHeight="1">
      <c r="B25" s="36" t="s">
        <v>18</v>
      </c>
      <c r="C25" s="37"/>
      <c r="D25" s="37"/>
      <c r="E25" s="37"/>
      <c r="F25" s="37"/>
      <c r="G25" s="37"/>
    </row>
    <row r="26" ht="15.75" customHeight="1">
      <c r="B26" s="38" t="s">
        <v>19</v>
      </c>
      <c r="C26" s="37"/>
      <c r="D26" s="37"/>
      <c r="E26" s="37"/>
      <c r="F26" s="37"/>
      <c r="G26" s="37"/>
    </row>
    <row r="27" ht="15.75" customHeight="1">
      <c r="B27" s="38" t="s">
        <v>20</v>
      </c>
      <c r="C27" s="37"/>
      <c r="D27" s="37"/>
      <c r="E27" s="37"/>
      <c r="F27" s="37"/>
      <c r="G27" s="37"/>
    </row>
    <row r="28" ht="15.75" customHeight="1">
      <c r="B28" s="38" t="s">
        <v>21</v>
      </c>
      <c r="C28" s="37"/>
      <c r="D28" s="37"/>
      <c r="E28" s="37"/>
      <c r="F28" s="37"/>
      <c r="G28" s="37"/>
    </row>
    <row r="29" ht="15.75" customHeight="1">
      <c r="B29" s="37"/>
      <c r="C29" s="37"/>
      <c r="D29" s="37"/>
      <c r="E29" s="37"/>
      <c r="F29" s="37"/>
      <c r="G29" s="37"/>
    </row>
    <row r="30" ht="15.75" customHeight="1">
      <c r="B30" s="37"/>
      <c r="C30" s="37"/>
      <c r="D30" s="37"/>
      <c r="E30" s="37"/>
      <c r="F30" s="37"/>
      <c r="G30" s="37"/>
    </row>
    <row r="31" ht="15.75" customHeight="1">
      <c r="B31" s="37"/>
      <c r="C31" s="37"/>
      <c r="D31" s="37"/>
      <c r="E31" s="37"/>
      <c r="F31" s="37"/>
      <c r="G31" s="3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7:G7"/>
    <mergeCell ref="C5:E6"/>
    <mergeCell ref="C2:G2"/>
    <mergeCell ref="B9:G9"/>
    <mergeCell ref="C4:E4"/>
    <mergeCell ref="C3:E3"/>
    <mergeCell ref="C8:G8"/>
    <mergeCell ref="B5:B6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D2F1DA"/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12.5703125" defaultRowHeight="15" customHeight="1"/>
  <cols>
    <col customWidth="1" min="1" max="1" style="1" width="1"/>
    <col customWidth="1" min="2" max="2" style="1" width="11"/>
    <col customWidth="1" min="3" max="3" style="1" width="26.7109375"/>
    <col customWidth="1" min="4" max="4" style="1" width="46.42578125"/>
    <col customWidth="1" min="5" max="5" style="1" width="10.42578125"/>
    <col customWidth="1" min="6" max="6" style="1" width="9"/>
    <col customWidth="1" min="7" max="9" style="1" width="6.7109375"/>
    <col customWidth="1" min="10" max="10" style="1" width="8.140625"/>
    <col customWidth="1" min="11" max="11" style="1" width="7.85546875"/>
    <col customWidth="1" min="12" max="12" style="1" width="6.7109375"/>
    <col customWidth="1" min="13" max="13" style="1" width="9.140625"/>
    <col customWidth="1" min="14" max="14" style="1" width="11.42578125"/>
    <col customWidth="1" min="15" max="15" style="1" width="9"/>
    <col customWidth="1" min="16" max="16" style="1" width="5.5703125"/>
    <col customWidth="1" min="17" max="17" style="1" width="7.140625"/>
    <col customWidth="1" min="18" max="18" style="1" width="6.28515625"/>
    <col customWidth="1" min="19" max="19" style="1" width="8.140625"/>
    <col customWidth="1" min="20" max="20" style="1" width="7.85546875"/>
    <col customWidth="1" min="21" max="21" style="1" width="4.7109375"/>
    <col customWidth="1" min="22" max="22" style="1" width="8.28515625"/>
    <col customWidth="1" min="23" max="28" style="1" width="9.5703125"/>
  </cols>
  <sheetData>
    <row r="1" ht="15.75" customHeight="1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39"/>
      <c r="X1" s="39"/>
      <c r="Y1" s="39"/>
      <c r="Z1" s="39"/>
      <c r="AA1" s="39"/>
      <c r="AB1" s="39"/>
    </row>
    <row r="2" ht="24.75" customHeight="1">
      <c r="A2" s="39"/>
      <c r="B2" s="41"/>
      <c r="C2" s="41"/>
      <c r="D2" s="41"/>
      <c r="E2" s="42" t="s">
        <v>22</v>
      </c>
      <c r="F2" s="16"/>
      <c r="G2" s="16"/>
      <c r="H2" s="16"/>
      <c r="I2" s="16"/>
      <c r="J2" s="16"/>
      <c r="K2" s="16"/>
      <c r="L2" s="16"/>
      <c r="M2" s="17"/>
      <c r="N2" s="43" t="s">
        <v>23</v>
      </c>
      <c r="O2" s="4"/>
      <c r="P2" s="4"/>
      <c r="Q2" s="4"/>
      <c r="R2" s="4"/>
      <c r="S2" s="4"/>
      <c r="T2" s="4"/>
      <c r="U2" s="4"/>
      <c r="V2" s="5"/>
      <c r="W2" s="39"/>
      <c r="X2" s="39"/>
      <c r="Y2" s="39"/>
      <c r="Z2" s="39"/>
      <c r="AA2" s="39"/>
      <c r="AB2" s="39"/>
    </row>
    <row r="3" ht="30.75" customHeight="1">
      <c r="A3" s="44"/>
      <c r="B3" s="45" t="s">
        <v>24</v>
      </c>
      <c r="C3" s="46" t="s">
        <v>25</v>
      </c>
      <c r="D3" s="46" t="s">
        <v>26</v>
      </c>
      <c r="E3" s="47" t="s">
        <v>27</v>
      </c>
      <c r="F3" s="48" t="s">
        <v>28</v>
      </c>
      <c r="G3" s="48" t="s">
        <v>29</v>
      </c>
      <c r="H3" s="46" t="s">
        <v>30</v>
      </c>
      <c r="I3" s="46" t="s">
        <v>31</v>
      </c>
      <c r="J3" s="46" t="s">
        <v>32</v>
      </c>
      <c r="K3" s="46" t="s">
        <v>33</v>
      </c>
      <c r="L3" s="46" t="s">
        <v>34</v>
      </c>
      <c r="M3" s="49" t="s">
        <v>35</v>
      </c>
      <c r="N3" s="48" t="s">
        <v>36</v>
      </c>
      <c r="O3" s="48" t="s">
        <v>28</v>
      </c>
      <c r="P3" s="48" t="s">
        <v>29</v>
      </c>
      <c r="Q3" s="43" t="s">
        <v>30</v>
      </c>
      <c r="R3" s="43" t="s">
        <v>31</v>
      </c>
      <c r="S3" s="43" t="s">
        <v>32</v>
      </c>
      <c r="T3" s="43" t="s">
        <v>33</v>
      </c>
      <c r="U3" s="43" t="s">
        <v>34</v>
      </c>
      <c r="V3" s="50" t="s">
        <v>35</v>
      </c>
      <c r="W3" s="44"/>
      <c r="X3" s="44"/>
      <c r="Y3" s="44"/>
      <c r="Z3" s="44"/>
      <c r="AA3" s="44"/>
      <c r="AB3" s="39"/>
    </row>
    <row r="4" ht="15.75" customHeight="1">
      <c r="A4" s="39"/>
      <c r="B4" s="51" t="s">
        <v>37</v>
      </c>
      <c r="C4" s="52" t="s">
        <v>107</v>
      </c>
      <c r="D4" s="52" t="s">
        <v>108</v>
      </c>
      <c r="E4" s="53">
        <f>F4/G4</f>
      </c>
      <c r="F4" s="54">
        <f>SUM(H4:L4)</f>
      </c>
      <c r="G4" s="54">
        <f>SUM(H4:M4)</f>
      </c>
      <c r="H4" s="54">
        <f>COUNTIF('Login'!$M$13:$M$15,H$3)</f>
      </c>
      <c r="I4" s="54">
        <f>COUNTIF('Login'!$M$13:$M$15,I$3)</f>
      </c>
      <c r="J4" s="54">
        <f>COUNTIF('Login'!$M$13:$M$15,J$3)</f>
      </c>
      <c r="K4" s="54">
        <f>COUNTIF('Login'!$M$13:$M$15,K$3)</f>
      </c>
      <c r="L4" s="54">
        <f>COUNTIF('Login'!$M$13:$M$15,L$3)</f>
      </c>
      <c r="M4" s="54">
        <f>COUNTA('Login'!$G$13:$G$15)-SUM(H4:L4)</f>
      </c>
      <c r="N4" s="53">
        <f>O4/P4</f>
      </c>
      <c r="O4" s="54">
        <f>SUM(Q4:U4)</f>
      </c>
      <c r="P4" s="54">
        <f>SUM(Q4:V4)</f>
      </c>
      <c r="Q4" s="54">
        <f>COUNTIF('Login'!$R$13:$R$15,Q$3)</f>
      </c>
      <c r="R4" s="54">
        <f>COUNTIF('Login'!$R$13:$R$15,R$3)</f>
      </c>
      <c r="S4" s="54">
        <f>COUNTIF('Login'!$R$13:$R$15,S$3)</f>
      </c>
      <c r="T4" s="54">
        <f>COUNTIF('Login'!$R$13:$R$15,T$3)</f>
      </c>
      <c r="U4" s="54">
        <f>COUNTIF('Login'!$R$13:$R$15,U$3)</f>
      </c>
      <c r="V4" s="54">
        <f>COUNTA('Login'!$G$13:$G$15)-SUM(Q4:U4)</f>
      </c>
      <c r="W4" s="39"/>
      <c r="X4" s="39"/>
      <c r="Y4" s="39"/>
      <c r="Z4" s="39"/>
      <c r="AA4" s="39"/>
      <c r="AB4" s="39"/>
    </row>
    <row r="5" ht="15.75" customHeight="1">
      <c r="A5" s="39"/>
      <c r="B5" s="55"/>
      <c r="C5" s="52" t="s">
        <v>107</v>
      </c>
      <c r="D5" s="52" t="s">
        <v>131</v>
      </c>
      <c r="E5" s="53">
        <f>F5/G5</f>
      </c>
      <c r="F5" s="54">
        <f>SUM(H5:L5)</f>
      </c>
      <c r="G5" s="54">
        <f>SUM(H5:M5)</f>
      </c>
      <c r="H5" s="54">
        <f>COUNTIF('Login'!$M$16:$M$19,H$3)</f>
      </c>
      <c r="I5" s="54">
        <f>COUNTIF('Login'!$M$16:$M$19,I$3)</f>
      </c>
      <c r="J5" s="54">
        <f>COUNTIF('Login'!$M$16:$M$19,J$3)</f>
      </c>
      <c r="K5" s="54">
        <f>COUNTIF('Login'!$M$16:$M$19,K$3)</f>
      </c>
      <c r="L5" s="54">
        <f>COUNTIF('Login'!$M$16:$M$19,L$3)</f>
      </c>
      <c r="M5" s="54">
        <f>COUNTA('Login'!$G$16:$G$19)-SUM(H5:L5)</f>
      </c>
      <c r="N5" s="53">
        <f>O5/P5</f>
      </c>
      <c r="O5" s="54">
        <f>SUM(Q5:U5)</f>
      </c>
      <c r="P5" s="54">
        <f>SUM(Q5:V5)</f>
      </c>
      <c r="Q5" s="54">
        <f>COUNTIF('Login'!$R$16:$R$19,Q$3)</f>
      </c>
      <c r="R5" s="54">
        <f>COUNTIF('Login'!$R$16:$R$19,R$3)</f>
      </c>
      <c r="S5" s="54">
        <f>COUNTIF('Login'!$R$16:$R$19,S$3)</f>
      </c>
      <c r="T5" s="54">
        <f>COUNTIF('Login'!$R$16:$R$19,T$3)</f>
      </c>
      <c r="U5" s="54">
        <f>COUNTIF('Login'!$R$16:$R$19,U$3)</f>
      </c>
      <c r="V5" s="54">
        <f>COUNTA('Login'!$G$16:$G$19)-SUM(Q5:U5)</f>
      </c>
      <c r="W5" s="39"/>
      <c r="X5" s="39"/>
      <c r="Y5" s="39"/>
      <c r="Z5" s="39"/>
      <c r="AA5" s="39"/>
      <c r="AB5" s="39"/>
    </row>
    <row r="6" ht="15.75" customHeight="1">
      <c r="A6" s="39"/>
      <c r="B6" s="55"/>
      <c r="C6" s="52" t="s">
        <v>107</v>
      </c>
      <c r="D6" s="52" t="s">
        <v>156</v>
      </c>
      <c r="E6" s="53">
        <f>F6/G6</f>
      </c>
      <c r="F6" s="54">
        <f>SUM(H6:L6)</f>
      </c>
      <c r="G6" s="54">
        <f>SUM(H6:M6)</f>
      </c>
      <c r="H6" s="54">
        <f>COUNTIF('Login'!$M$20:$M$23,H$3)</f>
      </c>
      <c r="I6" s="54">
        <f>COUNTIF('Login'!$M$20:$M$23,I$3)</f>
      </c>
      <c r="J6" s="54">
        <f>COUNTIF('Login'!$M$20:$M$23,J$3)</f>
      </c>
      <c r="K6" s="54">
        <f>COUNTIF('Login'!$M$20:$M$23,K$3)</f>
      </c>
      <c r="L6" s="54">
        <f>COUNTIF('Login'!$M$20:$M$23,L$3)</f>
      </c>
      <c r="M6" s="54">
        <f>COUNTA('Login'!$G$20:$G$23)-SUM(H6:L6)</f>
      </c>
      <c r="N6" s="53">
        <f>O6/P6</f>
      </c>
      <c r="O6" s="54">
        <f>SUM(Q6:U6)</f>
      </c>
      <c r="P6" s="54">
        <f>SUM(Q6:V6)</f>
      </c>
      <c r="Q6" s="54">
        <f>COUNTIF('Login'!$R$20:$R$23,Q$3)</f>
      </c>
      <c r="R6" s="54">
        <f>COUNTIF('Login'!$R$20:$R$23,R$3)</f>
      </c>
      <c r="S6" s="54">
        <f>COUNTIF('Login'!$R$20:$R$23,S$3)</f>
      </c>
      <c r="T6" s="54">
        <f>COUNTIF('Login'!$R$20:$R$23,T$3)</f>
      </c>
      <c r="U6" s="54">
        <f>COUNTIF('Login'!$R$20:$R$23,U$3)</f>
      </c>
      <c r="V6" s="54">
        <f>COUNTA('Login'!$G$20:$G$23)-SUM(Q6:U6)</f>
      </c>
      <c r="W6" s="39"/>
      <c r="X6" s="39"/>
      <c r="Y6" s="39"/>
      <c r="Z6" s="39"/>
      <c r="AA6" s="39"/>
      <c r="AB6" s="39"/>
    </row>
    <row r="7" ht="15.75" customHeight="1">
      <c r="A7" s="39"/>
      <c r="B7" s="55"/>
      <c r="C7" s="52" t="s">
        <v>107</v>
      </c>
      <c r="D7" s="52" t="s">
        <v>179</v>
      </c>
      <c r="E7" s="53">
        <f>F7/G7</f>
      </c>
      <c r="F7" s="54">
        <f>SUM(H7:L7)</f>
      </c>
      <c r="G7" s="54">
        <f>SUM(H7:M7)</f>
      </c>
      <c r="H7" s="54">
        <f>COUNTIF('Login'!$M$24:$M$32,H$3)</f>
      </c>
      <c r="I7" s="54">
        <f>COUNTIF('Login'!$M$24:$M$32,I$3)</f>
      </c>
      <c r="J7" s="54">
        <f>COUNTIF('Login'!$M$24:$M$32,J$3)</f>
      </c>
      <c r="K7" s="54">
        <f>COUNTIF('Login'!$M$24:$M$32,K$3)</f>
      </c>
      <c r="L7" s="54">
        <f>COUNTIF('Login'!$M$24:$M$32,L$3)</f>
      </c>
      <c r="M7" s="54">
        <f>COUNTA('Login'!$G$24:$G$32)-SUM(H7:L7)</f>
      </c>
      <c r="N7" s="53">
        <f>O7/P7</f>
      </c>
      <c r="O7" s="54">
        <f>SUM(Q7:U7)</f>
      </c>
      <c r="P7" s="54">
        <f>SUM(Q7:V7)</f>
      </c>
      <c r="Q7" s="54">
        <f>COUNTIF('Login'!$R$24:$R$32,Q$3)</f>
      </c>
      <c r="R7" s="54">
        <f>COUNTIF('Login'!$R$24:$R$32,R$3)</f>
      </c>
      <c r="S7" s="54">
        <f>COUNTIF('Login'!$R$24:$R$32,S$3)</f>
      </c>
      <c r="T7" s="54">
        <f>COUNTIF('Login'!$R$24:$R$32,T$3)</f>
      </c>
      <c r="U7" s="54">
        <f>COUNTIF('Login'!$R$24:$R$32,U$3)</f>
      </c>
      <c r="V7" s="54">
        <f>COUNTA('Login'!$G$24:$G$32)-SUM(Q7:U7)</f>
      </c>
      <c r="W7" s="39"/>
      <c r="X7" s="39"/>
      <c r="Y7" s="39"/>
      <c r="Z7" s="39"/>
      <c r="AA7" s="39"/>
      <c r="AB7" s="39"/>
    </row>
    <row r="8" ht="15.75" customHeight="1">
      <c r="A8" s="39"/>
      <c r="B8" s="55"/>
      <c r="C8" s="52" t="s">
        <v>107</v>
      </c>
      <c r="D8" s="52" t="s">
        <v>230</v>
      </c>
      <c r="E8" s="53">
        <f>F8/G8</f>
      </c>
      <c r="F8" s="54">
        <f>SUM(H8:L8)</f>
      </c>
      <c r="G8" s="54">
        <f>SUM(H8:M8)</f>
      </c>
      <c r="H8" s="54">
        <f>COUNTIF('Login'!$M$33:$M$39,H$3)</f>
      </c>
      <c r="I8" s="54">
        <f>COUNTIF('Login'!$M$33:$M$39,I$3)</f>
      </c>
      <c r="J8" s="54">
        <f>COUNTIF('Login'!$M$33:$M$39,J$3)</f>
      </c>
      <c r="K8" s="54">
        <f>COUNTIF('Login'!$M$33:$M$39,K$3)</f>
      </c>
      <c r="L8" s="54">
        <f>COUNTIF('Login'!$M$33:$M$39,L$3)</f>
      </c>
      <c r="M8" s="54">
        <f>COUNTA('Login'!$G$33:$G$39)-SUM(H8:L8)</f>
      </c>
      <c r="N8" s="53">
        <f>O8/P8</f>
      </c>
      <c r="O8" s="54">
        <f>SUM(Q8:U8)</f>
      </c>
      <c r="P8" s="54">
        <f>SUM(Q8:V8)</f>
      </c>
      <c r="Q8" s="54">
        <f>COUNTIF('Login'!$R$33:$R$39,Q$3)</f>
      </c>
      <c r="R8" s="54">
        <f>COUNTIF('Login'!$R$33:$R$39,R$3)</f>
      </c>
      <c r="S8" s="54">
        <f>COUNTIF('Login'!$R$33:$R$39,S$3)</f>
      </c>
      <c r="T8" s="54">
        <f>COUNTIF('Login'!$R$33:$R$39,T$3)</f>
      </c>
      <c r="U8" s="54">
        <f>COUNTIF('Login'!$R$33:$R$39,U$3)</f>
      </c>
      <c r="V8" s="54">
        <f>COUNTA('Login'!$G$33:$G$39)-SUM(Q8:U8)</f>
      </c>
      <c r="W8" s="39"/>
      <c r="X8" s="39"/>
      <c r="Y8" s="39"/>
      <c r="Z8" s="39"/>
      <c r="AA8" s="39"/>
      <c r="AB8" s="39"/>
    </row>
    <row r="9" ht="15.75" customHeight="1">
      <c r="A9" s="39"/>
      <c r="B9" s="55"/>
      <c r="C9" s="52" t="s">
        <v>107</v>
      </c>
      <c r="D9" s="52" t="s">
        <v>261</v>
      </c>
      <c r="E9" s="53">
        <f>F9/G9</f>
      </c>
      <c r="F9" s="54">
        <f>SUM(H9:L9)</f>
      </c>
      <c r="G9" s="54">
        <f>SUM(H9:M9)</f>
      </c>
      <c r="H9" s="54">
        <f>COUNTIF('Login'!$M$40:$M$43,H$3)</f>
      </c>
      <c r="I9" s="54">
        <f>COUNTIF('Login'!$M$40:$M$43,I$3)</f>
      </c>
      <c r="J9" s="54">
        <f>COUNTIF('Login'!$M$40:$M$43,J$3)</f>
      </c>
      <c r="K9" s="54">
        <f>COUNTIF('Login'!$M$40:$M$43,K$3)</f>
      </c>
      <c r="L9" s="54">
        <f>COUNTIF('Login'!$M$40:$M$43,L$3)</f>
      </c>
      <c r="M9" s="54">
        <f>COUNTA('Login'!$G$40:$G$43)-SUM(H9:L9)</f>
      </c>
      <c r="N9" s="53">
        <f>O9/P9</f>
      </c>
      <c r="O9" s="54">
        <f>SUM(Q9:U9)</f>
      </c>
      <c r="P9" s="54">
        <f>SUM(Q9:V9)</f>
      </c>
      <c r="Q9" s="54">
        <f>COUNTIF('Login'!$R$40:$R$43,Q$3)</f>
      </c>
      <c r="R9" s="54">
        <f>COUNTIF('Login'!$R$40:$R$43,R$3)</f>
      </c>
      <c r="S9" s="54">
        <f>COUNTIF('Login'!$R$40:$R$43,S$3)</f>
      </c>
      <c r="T9" s="54">
        <f>COUNTIF('Login'!$R$40:$R$43,T$3)</f>
      </c>
      <c r="U9" s="54">
        <f>COUNTIF('Login'!$R$40:$R$43,U$3)</f>
      </c>
      <c r="V9" s="54">
        <f>COUNTA('Login'!$G$40:$G$43)-SUM(Q9:U9)</f>
      </c>
      <c r="W9" s="39"/>
      <c r="X9" s="39"/>
      <c r="Y9" s="39"/>
      <c r="Z9" s="39"/>
      <c r="AA9" s="39"/>
      <c r="AB9" s="39"/>
    </row>
    <row r="10" ht="15.75" customHeight="1">
      <c r="A10" s="39"/>
      <c r="B10" s="55"/>
      <c r="C10" s="52" t="s">
        <v>107</v>
      </c>
      <c r="D10" s="52" t="s">
        <v>283</v>
      </c>
      <c r="E10" s="53">
        <f>F10/G10</f>
      </c>
      <c r="F10" s="54">
        <f>SUM(H10:L10)</f>
      </c>
      <c r="G10" s="54">
        <f>SUM(H10:M10)</f>
      </c>
      <c r="H10" s="54">
        <f>COUNTIF('Login'!$M$44:$M$53,H$3)</f>
      </c>
      <c r="I10" s="54">
        <f>COUNTIF('Login'!$M$44:$M$53,I$3)</f>
      </c>
      <c r="J10" s="54">
        <f>COUNTIF('Login'!$M$44:$M$53,J$3)</f>
      </c>
      <c r="K10" s="54">
        <f>COUNTIF('Login'!$M$44:$M$53,K$3)</f>
      </c>
      <c r="L10" s="54">
        <f>COUNTIF('Login'!$M$44:$M$53,L$3)</f>
      </c>
      <c r="M10" s="54">
        <f>COUNTA('Login'!$G$44:$G$53)-SUM(H10:L10)</f>
      </c>
      <c r="N10" s="53">
        <f>O10/P10</f>
      </c>
      <c r="O10" s="54">
        <f>SUM(Q10:U10)</f>
      </c>
      <c r="P10" s="54">
        <f>SUM(Q10:V10)</f>
      </c>
      <c r="Q10" s="54">
        <f>COUNTIF('Login'!$R$44:$R$53,Q$3)</f>
      </c>
      <c r="R10" s="54">
        <f>COUNTIF('Login'!$R$44:$R$53,R$3)</f>
      </c>
      <c r="S10" s="54">
        <f>COUNTIF('Login'!$R$44:$R$53,S$3)</f>
      </c>
      <c r="T10" s="54">
        <f>COUNTIF('Login'!$R$44:$R$53,T$3)</f>
      </c>
      <c r="U10" s="54">
        <f>COUNTIF('Login'!$R$44:$R$53,U$3)</f>
      </c>
      <c r="V10" s="54">
        <f>COUNTA('Login'!$G$44:$G$53)-SUM(Q10:U10)</f>
      </c>
      <c r="W10" s="39"/>
      <c r="X10" s="39"/>
      <c r="Y10" s="39"/>
      <c r="Z10" s="39"/>
      <c r="AA10" s="39"/>
      <c r="AB10" s="39"/>
    </row>
    <row r="11" ht="15.75" customHeight="1">
      <c r="A11" s="39"/>
      <c r="B11" s="55"/>
      <c r="C11" s="52" t="s">
        <v>107</v>
      </c>
      <c r="D11" s="52" t="s">
        <v>348</v>
      </c>
      <c r="E11" s="53">
        <f>F11/G11</f>
      </c>
      <c r="F11" s="54">
        <f>SUM(H11:L11)</f>
      </c>
      <c r="G11" s="54">
        <f>SUM(H11:M11)</f>
      </c>
      <c r="H11" s="54">
        <f>COUNTIF('Login'!$M$54:$M$56,H$3)</f>
      </c>
      <c r="I11" s="54">
        <f>COUNTIF('Login'!$M$54:$M$56,I$3)</f>
      </c>
      <c r="J11" s="54">
        <f>COUNTIF('Login'!$M$54:$M$56,J$3)</f>
      </c>
      <c r="K11" s="54">
        <f>COUNTIF('Login'!$M$54:$M$56,K$3)</f>
      </c>
      <c r="L11" s="54">
        <f>COUNTIF('Login'!$M$54:$M$56,L$3)</f>
      </c>
      <c r="M11" s="54">
        <f>COUNTA('Login'!$G$54:$G$56)-SUM(H11:L11)</f>
      </c>
      <c r="N11" s="53">
        <f>O11/P11</f>
      </c>
      <c r="O11" s="54">
        <f>SUM(Q11:U11)</f>
      </c>
      <c r="P11" s="54">
        <f>SUM(Q11:V11)</f>
      </c>
      <c r="Q11" s="54">
        <f>COUNTIF('Login'!$R$54:$R$56,Q$3)</f>
      </c>
      <c r="R11" s="54">
        <f>COUNTIF('Login'!$R$54:$R$56,R$3)</f>
      </c>
      <c r="S11" s="54">
        <f>COUNTIF('Login'!$R$54:$R$56,S$3)</f>
      </c>
      <c r="T11" s="54">
        <f>COUNTIF('Login'!$R$54:$R$56,T$3)</f>
      </c>
      <c r="U11" s="54">
        <f>COUNTIF('Login'!$R$54:$R$56,U$3)</f>
      </c>
      <c r="V11" s="54">
        <f>COUNTA('Login'!$G$54:$G$56)-SUM(Q11:U11)</f>
      </c>
      <c r="W11" s="39"/>
      <c r="X11" s="39"/>
      <c r="Y11" s="39"/>
      <c r="Z11" s="39"/>
      <c r="AA11" s="39"/>
      <c r="AB11" s="39"/>
    </row>
    <row r="12" ht="15.75" customHeight="1">
      <c r="A12" s="39"/>
      <c r="B12" s="55"/>
      <c r="C12" s="52" t="s">
        <v>107</v>
      </c>
      <c r="D12" s="52" t="s">
        <v>364</v>
      </c>
      <c r="E12" s="53">
        <f>F12/G12</f>
      </c>
      <c r="F12" s="54">
        <f>SUM(H12:L12)</f>
      </c>
      <c r="G12" s="54">
        <f>SUM(H12:M12)</f>
      </c>
      <c r="H12" s="54">
        <f>COUNTIF('Login'!$M$57:$M$59,H$3)</f>
      </c>
      <c r="I12" s="54">
        <f>COUNTIF('Login'!$M$57:$M$59,I$3)</f>
      </c>
      <c r="J12" s="54">
        <f>COUNTIF('Login'!$M$57:$M$59,J$3)</f>
      </c>
      <c r="K12" s="54">
        <f>COUNTIF('Login'!$M$57:$M$59,K$3)</f>
      </c>
      <c r="L12" s="54">
        <f>COUNTIF('Login'!$M$57:$M$59,L$3)</f>
      </c>
      <c r="M12" s="54">
        <f>COUNTA('Login'!$G$57:$G$59)-SUM(H12:L12)</f>
      </c>
      <c r="N12" s="53">
        <f>O12/P12</f>
      </c>
      <c r="O12" s="54">
        <f>SUM(Q12:U12)</f>
      </c>
      <c r="P12" s="54">
        <f>SUM(Q12:V12)</f>
      </c>
      <c r="Q12" s="54">
        <f>COUNTIF('Login'!$R$57:$R$59,Q$3)</f>
      </c>
      <c r="R12" s="54">
        <f>COUNTIF('Login'!$R$57:$R$59,R$3)</f>
      </c>
      <c r="S12" s="54">
        <f>COUNTIF('Login'!$R$57:$R$59,S$3)</f>
      </c>
      <c r="T12" s="54">
        <f>COUNTIF('Login'!$R$57:$R$59,T$3)</f>
      </c>
      <c r="U12" s="54">
        <f>COUNTIF('Login'!$R$57:$R$59,U$3)</f>
      </c>
      <c r="V12" s="54">
        <f>COUNTA('Login'!$G$57:$G$59)-SUM(Q12:U12)</f>
      </c>
      <c r="W12" s="39"/>
      <c r="X12" s="39"/>
      <c r="Y12" s="39"/>
      <c r="Z12" s="39"/>
      <c r="AA12" s="39"/>
      <c r="AB12" s="39"/>
    </row>
    <row r="13" ht="15.75" customHeight="1">
      <c r="A13" s="39"/>
      <c r="B13" s="55"/>
      <c r="C13" s="52" t="s">
        <v>107</v>
      </c>
      <c r="D13" s="52" t="s">
        <v>383</v>
      </c>
      <c r="E13" s="53">
        <f>F13/G13</f>
      </c>
      <c r="F13" s="54">
        <f>SUM(H13:L13)</f>
      </c>
      <c r="G13" s="54">
        <f>SUM(H13:M13)</f>
      </c>
      <c r="H13" s="54">
        <f>COUNTIF('Login'!$M$60:$M$64,H$3)</f>
      </c>
      <c r="I13" s="54">
        <f>COUNTIF('Login'!$M$60:$M$64,I$3)</f>
      </c>
      <c r="J13" s="54">
        <f>COUNTIF('Login'!$M$60:$M$64,J$3)</f>
      </c>
      <c r="K13" s="54">
        <f>COUNTIF('Login'!$M$60:$M$64,K$3)</f>
      </c>
      <c r="L13" s="54">
        <f>COUNTIF('Login'!$M$60:$M$64,L$3)</f>
      </c>
      <c r="M13" s="54">
        <f>COUNTA('Login'!$G$60:$G$64)-SUM(H13:L13)</f>
      </c>
      <c r="N13" s="53">
        <f>O13/P13</f>
      </c>
      <c r="O13" s="54">
        <f>SUM(Q13:U13)</f>
      </c>
      <c r="P13" s="54">
        <f>SUM(Q13:V13)</f>
      </c>
      <c r="Q13" s="54">
        <f>COUNTIF('Login'!$R$60:$R$64,Q$3)</f>
      </c>
      <c r="R13" s="54">
        <f>COUNTIF('Login'!$R$60:$R$64,R$3)</f>
      </c>
      <c r="S13" s="54">
        <f>COUNTIF('Login'!$R$60:$R$64,S$3)</f>
      </c>
      <c r="T13" s="54">
        <f>COUNTIF('Login'!$R$60:$R$64,T$3)</f>
      </c>
      <c r="U13" s="54">
        <f>COUNTIF('Login'!$R$60:$R$64,U$3)</f>
      </c>
      <c r="V13" s="54">
        <f>COUNTA('Login'!$G$60:$G$64)-SUM(Q13:U13)</f>
      </c>
      <c r="W13" s="39"/>
      <c r="X13" s="39"/>
      <c r="Y13" s="39"/>
      <c r="Z13" s="39"/>
      <c r="AA13" s="39"/>
      <c r="AB13" s="39"/>
    </row>
    <row r="14" ht="15.75" customHeight="1">
      <c r="A14" s="39"/>
      <c r="B14" s="14"/>
      <c r="C14" s="60" t="s">
        <v>29</v>
      </c>
      <c r="D14" s="60"/>
      <c r="E14" s="61">
        <f>F14/G14</f>
      </c>
      <c r="F14" s="62">
        <f>SUM(H14:L14)</f>
      </c>
      <c r="G14" s="62">
        <f>SUM(H14:M14)</f>
      </c>
      <c r="H14" s="62">
        <f>SUM(H4:H13)</f>
      </c>
      <c r="I14" s="62">
        <f>SUM(I4:I13)</f>
      </c>
      <c r="J14" s="62">
        <f>SUM(J4:J13)</f>
      </c>
      <c r="K14" s="62">
        <f>SUM(K4:K13)</f>
      </c>
      <c r="L14" s="62">
        <f>SUM(L4:L13)</f>
      </c>
      <c r="M14" s="62">
        <f>SUM(M4:M13)</f>
      </c>
      <c r="N14" s="61">
        <f>O14/P14</f>
      </c>
      <c r="O14" s="62">
        <f>SUM(Q14:U14)</f>
      </c>
      <c r="P14" s="62">
        <f>SUM(Q14:V14)</f>
      </c>
      <c r="Q14" s="62">
        <f>SUM(Q4:Q13)</f>
      </c>
      <c r="R14" s="62">
        <f>SUM(R4:R13)</f>
      </c>
      <c r="S14" s="62">
        <f>SUM(S4:S13)</f>
      </c>
      <c r="T14" s="62">
        <f>SUM(T4:T13)</f>
      </c>
      <c r="U14" s="62">
        <f>SUM(U4:U13)</f>
      </c>
      <c r="V14" s="62">
        <f>SUM(V4:V13)</f>
      </c>
      <c r="W14" s="39"/>
      <c r="X14" s="39"/>
      <c r="Y14" s="39"/>
      <c r="Z14" s="39"/>
      <c r="AA14" s="39"/>
      <c r="AB14" s="39"/>
    </row>
    <row r="15" ht="15.75" customHeight="1">
      <c r="A15" s="39"/>
      <c r="B15" s="51" t="s">
        <v>65</v>
      </c>
      <c r="C15" s="52" t="s">
        <v>108</v>
      </c>
      <c r="D15" s="52" t="s">
        <v>415</v>
      </c>
      <c r="E15" s="53">
        <f>F15/G15</f>
      </c>
      <c r="F15" s="54">
        <f>SUM(H15:L15)</f>
      </c>
      <c r="G15" s="54">
        <f>SUM(H15:M15)</f>
      </c>
      <c r="H15" s="54">
        <f>COUNTIF('Scopes'!$M$13:$M$14,H$3)</f>
      </c>
      <c r="I15" s="54">
        <f>COUNTIF('Scopes'!$M$13:$M$14,I$3)</f>
      </c>
      <c r="J15" s="54">
        <f>COUNTIF('Scopes'!$M$13:$M$14,J$3)</f>
      </c>
      <c r="K15" s="54">
        <f>COUNTIF('Scopes'!$M$13:$M$14,K$3)</f>
      </c>
      <c r="L15" s="54">
        <f>COUNTIF('Scopes'!$M$13:$M$14,L$3)</f>
      </c>
      <c r="M15" s="54">
        <f>COUNTA('Scopes'!$G$13:$G$14)-SUM(H15:L15)</f>
      </c>
      <c r="N15" s="53">
        <f>O15/P15</f>
      </c>
      <c r="O15" s="54">
        <f>SUM(Q15:U15)</f>
      </c>
      <c r="P15" s="54">
        <f>SUM(Q15:V15)</f>
      </c>
      <c r="Q15" s="54">
        <f>COUNTIF('Scopes'!$R$13:$R$14,Q$3)</f>
      </c>
      <c r="R15" s="54">
        <f>COUNTIF('Scopes'!$R$13:$R$14,R$3)</f>
      </c>
      <c r="S15" s="54">
        <f>COUNTIF('Scopes'!$R$13:$R$14,S$3)</f>
      </c>
      <c r="T15" s="54">
        <f>COUNTIF('Scopes'!$R$13:$R$14,T$3)</f>
      </c>
      <c r="U15" s="54">
        <f>COUNTIF('Scopes'!$R$13:$R$14,U$3)</f>
      </c>
      <c r="V15" s="54">
        <f>COUNTA('Scopes'!$G$13:$G$14)-SUM(Q15:U15)</f>
      </c>
      <c r="W15" s="39"/>
      <c r="X15" s="39"/>
      <c r="Y15" s="39"/>
      <c r="Z15" s="39"/>
      <c r="AA15" s="39"/>
      <c r="AB15" s="39"/>
    </row>
    <row r="16" ht="15.75" customHeight="1">
      <c r="A16" s="39"/>
      <c r="B16" s="55"/>
      <c r="C16" s="52" t="s">
        <v>108</v>
      </c>
      <c r="D16" s="52" t="s">
        <v>428</v>
      </c>
      <c r="E16" s="53">
        <f>F16/G16</f>
      </c>
      <c r="F16" s="54">
        <f>SUM(H16:L16)</f>
      </c>
      <c r="G16" s="54">
        <f>SUM(H16:M16)</f>
      </c>
      <c r="H16" s="54">
        <f>COUNTIF('Scopes'!$M$15:$M$17,H$3)</f>
      </c>
      <c r="I16" s="54">
        <f>COUNTIF('Scopes'!$M$15:$M$17,I$3)</f>
      </c>
      <c r="J16" s="54">
        <f>COUNTIF('Scopes'!$M$15:$M$17,J$3)</f>
      </c>
      <c r="K16" s="54">
        <f>COUNTIF('Scopes'!$M$15:$M$17,K$3)</f>
      </c>
      <c r="L16" s="54">
        <f>COUNTIF('Scopes'!$M$15:$M$17,L$3)</f>
      </c>
      <c r="M16" s="54">
        <f>COUNTA('Scopes'!$G$15:$G$17)-SUM(H16:L16)</f>
      </c>
      <c r="N16" s="53">
        <f>O16/P16</f>
      </c>
      <c r="O16" s="54">
        <f>SUM(Q16:U16)</f>
      </c>
      <c r="P16" s="54">
        <f>SUM(Q16:V16)</f>
      </c>
      <c r="Q16" s="54">
        <f>COUNTIF('Scopes'!$R$15:$R$17,Q$3)</f>
      </c>
      <c r="R16" s="54">
        <f>COUNTIF('Scopes'!$R$15:$R$17,R$3)</f>
      </c>
      <c r="S16" s="54">
        <f>COUNTIF('Scopes'!$R$15:$R$17,S$3)</f>
      </c>
      <c r="T16" s="54">
        <f>COUNTIF('Scopes'!$R$15:$R$17,T$3)</f>
      </c>
      <c r="U16" s="54">
        <f>COUNTIF('Scopes'!$R$15:$R$17,U$3)</f>
      </c>
      <c r="V16" s="54">
        <f>COUNTA('Scopes'!$G$15:$G$17)-SUM(Q16:U16)</f>
      </c>
      <c r="W16" s="39"/>
      <c r="X16" s="39"/>
      <c r="Y16" s="39"/>
      <c r="Z16" s="39"/>
      <c r="AA16" s="39"/>
      <c r="AB16" s="39"/>
    </row>
    <row r="17" ht="15.75" customHeight="1">
      <c r="A17" s="39"/>
      <c r="B17" s="55"/>
      <c r="C17" s="52" t="s">
        <v>444</v>
      </c>
      <c r="D17" s="52" t="s">
        <v>445</v>
      </c>
      <c r="E17" s="53">
        <f>F17/G17</f>
      </c>
      <c r="F17" s="54">
        <f>SUM(H17:L17)</f>
      </c>
      <c r="G17" s="54">
        <f>SUM(H17:M17)</f>
      </c>
      <c r="H17" s="54">
        <f>COUNTIF('Scopes'!$M$18:$M$18,H$3)</f>
      </c>
      <c r="I17" s="54">
        <f>COUNTIF('Scopes'!$M$18:$M$18,I$3)</f>
      </c>
      <c r="J17" s="54">
        <f>COUNTIF('Scopes'!$M$18:$M$18,J$3)</f>
      </c>
      <c r="K17" s="54">
        <f>COUNTIF('Scopes'!$M$18:$M$18,K$3)</f>
      </c>
      <c r="L17" s="54">
        <f>COUNTIF('Scopes'!$M$18:$M$18,L$3)</f>
      </c>
      <c r="M17" s="54">
        <f>COUNTA('Scopes'!$G$18:$G$18)-SUM(H17:L17)</f>
      </c>
      <c r="N17" s="53">
        <f>O17/P17</f>
      </c>
      <c r="O17" s="54">
        <f>SUM(Q17:U17)</f>
      </c>
      <c r="P17" s="54">
        <f>SUM(Q17:V17)</f>
      </c>
      <c r="Q17" s="54">
        <f>COUNTIF('Scopes'!$R$18:$R$18,Q$3)</f>
      </c>
      <c r="R17" s="54">
        <f>COUNTIF('Scopes'!$R$18:$R$18,R$3)</f>
      </c>
      <c r="S17" s="54">
        <f>COUNTIF('Scopes'!$R$18:$R$18,S$3)</f>
      </c>
      <c r="T17" s="54">
        <f>COUNTIF('Scopes'!$R$18:$R$18,T$3)</f>
      </c>
      <c r="U17" s="54">
        <f>COUNTIF('Scopes'!$R$18:$R$18,U$3)</f>
      </c>
      <c r="V17" s="54">
        <f>COUNTA('Scopes'!$G$18:$G$18)-SUM(Q17:U17)</f>
      </c>
      <c r="W17" s="39"/>
      <c r="X17" s="39"/>
      <c r="Y17" s="39"/>
      <c r="Z17" s="39"/>
      <c r="AA17" s="39"/>
      <c r="AB17" s="39"/>
    </row>
    <row r="18" ht="15.75" customHeight="1">
      <c r="A18" s="39"/>
      <c r="B18" s="55"/>
      <c r="C18" s="52" t="s">
        <v>444</v>
      </c>
      <c r="D18" s="52" t="s">
        <v>451</v>
      </c>
      <c r="E18" s="53">
        <f>F18/G18</f>
      </c>
      <c r="F18" s="54">
        <f>SUM(H18:L18)</f>
      </c>
      <c r="G18" s="54">
        <f>SUM(H18:M18)</f>
      </c>
      <c r="H18" s="54">
        <f>COUNTIF('Scopes'!$M$19:$M$42,H$3)</f>
      </c>
      <c r="I18" s="54">
        <f>COUNTIF('Scopes'!$M$19:$M$42,I$3)</f>
      </c>
      <c r="J18" s="54">
        <f>COUNTIF('Scopes'!$M$19:$M$42,J$3)</f>
      </c>
      <c r="K18" s="54">
        <f>COUNTIF('Scopes'!$M$19:$M$42,K$3)</f>
      </c>
      <c r="L18" s="54">
        <f>COUNTIF('Scopes'!$M$19:$M$42,L$3)</f>
      </c>
      <c r="M18" s="54">
        <f>COUNTA('Scopes'!$G$19:$G$42)-SUM(H18:L18)</f>
      </c>
      <c r="N18" s="53">
        <f>O18/P18</f>
      </c>
      <c r="O18" s="54">
        <f>SUM(Q18:U18)</f>
      </c>
      <c r="P18" s="54">
        <f>SUM(Q18:V18)</f>
      </c>
      <c r="Q18" s="54">
        <f>COUNTIF('Scopes'!$R$19:$R$42,Q$3)</f>
      </c>
      <c r="R18" s="54">
        <f>COUNTIF('Scopes'!$R$19:$R$42,R$3)</f>
      </c>
      <c r="S18" s="54">
        <f>COUNTIF('Scopes'!$R$19:$R$42,S$3)</f>
      </c>
      <c r="T18" s="54">
        <f>COUNTIF('Scopes'!$R$19:$R$42,T$3)</f>
      </c>
      <c r="U18" s="54">
        <f>COUNTIF('Scopes'!$R$19:$R$42,U$3)</f>
      </c>
      <c r="V18" s="54">
        <f>COUNTA('Scopes'!$G$19:$G$42)-SUM(Q18:U18)</f>
      </c>
      <c r="W18" s="39"/>
      <c r="X18" s="39"/>
      <c r="Y18" s="39"/>
      <c r="Z18" s="39"/>
      <c r="AA18" s="39"/>
      <c r="AB18" s="39"/>
    </row>
    <row r="19" ht="15.75" customHeight="1">
      <c r="A19" s="39"/>
      <c r="B19" s="55"/>
      <c r="C19" s="52" t="s">
        <v>444</v>
      </c>
      <c r="D19" s="52" t="s">
        <v>560</v>
      </c>
      <c r="E19" s="53">
        <f>F19/G19</f>
      </c>
      <c r="F19" s="54">
        <f>SUM(H19:L19)</f>
      </c>
      <c r="G19" s="54">
        <f>SUM(H19:M19)</f>
      </c>
      <c r="H19" s="54">
        <f>COUNTIF('Scopes'!$M$43:$M$49,H$3)</f>
      </c>
      <c r="I19" s="54">
        <f>COUNTIF('Scopes'!$M$43:$M$49,I$3)</f>
      </c>
      <c r="J19" s="54">
        <f>COUNTIF('Scopes'!$M$43:$M$49,J$3)</f>
      </c>
      <c r="K19" s="54">
        <f>COUNTIF('Scopes'!$M$43:$M$49,K$3)</f>
      </c>
      <c r="L19" s="54">
        <f>COUNTIF('Scopes'!$M$43:$M$49,L$3)</f>
      </c>
      <c r="M19" s="54">
        <f>COUNTA('Scopes'!$G$43:$G$49)-SUM(H19:L19)</f>
      </c>
      <c r="N19" s="53">
        <f>O19/P19</f>
      </c>
      <c r="O19" s="54">
        <f>SUM(Q19:U19)</f>
      </c>
      <c r="P19" s="54">
        <f>SUM(Q19:V19)</f>
      </c>
      <c r="Q19" s="54">
        <f>COUNTIF('Scopes'!$R$43:$R$49,Q$3)</f>
      </c>
      <c r="R19" s="54">
        <f>COUNTIF('Scopes'!$R$43:$R$49,R$3)</f>
      </c>
      <c r="S19" s="54">
        <f>COUNTIF('Scopes'!$R$43:$R$49,S$3)</f>
      </c>
      <c r="T19" s="54">
        <f>COUNTIF('Scopes'!$R$43:$R$49,T$3)</f>
      </c>
      <c r="U19" s="54">
        <f>COUNTIF('Scopes'!$R$43:$R$49,U$3)</f>
      </c>
      <c r="V19" s="54">
        <f>COUNTA('Scopes'!$G$43:$G$49)-SUM(Q19:U19)</f>
      </c>
      <c r="W19" s="39"/>
      <c r="X19" s="39"/>
      <c r="Y19" s="39"/>
      <c r="Z19" s="39"/>
      <c r="AA19" s="39"/>
      <c r="AB19" s="39"/>
    </row>
    <row r="20" ht="15.75" customHeight="1">
      <c r="A20" s="39"/>
      <c r="B20" s="55"/>
      <c r="C20" s="52" t="s">
        <v>444</v>
      </c>
      <c r="D20" s="52" t="s">
        <v>593</v>
      </c>
      <c r="E20" s="53">
        <f>F20/G20</f>
      </c>
      <c r="F20" s="54">
        <f>SUM(H20:L20)</f>
      </c>
      <c r="G20" s="54">
        <f>SUM(H20:M20)</f>
      </c>
      <c r="H20" s="54">
        <f>COUNTIF('Scopes'!$M$50:$M$59,H$3)</f>
      </c>
      <c r="I20" s="54">
        <f>COUNTIF('Scopes'!$M$50:$M$59,I$3)</f>
      </c>
      <c r="J20" s="54">
        <f>COUNTIF('Scopes'!$M$50:$M$59,J$3)</f>
      </c>
      <c r="K20" s="54">
        <f>COUNTIF('Scopes'!$M$50:$M$59,K$3)</f>
      </c>
      <c r="L20" s="54">
        <f>COUNTIF('Scopes'!$M$50:$M$59,L$3)</f>
      </c>
      <c r="M20" s="54">
        <f>COUNTA('Scopes'!$G$50:$G$59)-SUM(H20:L20)</f>
      </c>
      <c r="N20" s="53">
        <f>O20/P20</f>
      </c>
      <c r="O20" s="54">
        <f>SUM(Q20:U20)</f>
      </c>
      <c r="P20" s="54">
        <f>SUM(Q20:V20)</f>
      </c>
      <c r="Q20" s="54">
        <f>COUNTIF('Scopes'!$R$50:$R$59,Q$3)</f>
      </c>
      <c r="R20" s="54">
        <f>COUNTIF('Scopes'!$R$50:$R$59,R$3)</f>
      </c>
      <c r="S20" s="54">
        <f>COUNTIF('Scopes'!$R$50:$R$59,S$3)</f>
      </c>
      <c r="T20" s="54">
        <f>COUNTIF('Scopes'!$R$50:$R$59,T$3)</f>
      </c>
      <c r="U20" s="54">
        <f>COUNTIF('Scopes'!$R$50:$R$59,U$3)</f>
      </c>
      <c r="V20" s="54">
        <f>COUNTA('Scopes'!$G$50:$G$59)-SUM(Q20:U20)</f>
      </c>
      <c r="W20" s="39"/>
      <c r="X20" s="39"/>
      <c r="Y20" s="39"/>
      <c r="Z20" s="39"/>
      <c r="AA20" s="39"/>
      <c r="AB20" s="39"/>
    </row>
    <row r="21" ht="15.75" customHeight="1">
      <c r="A21" s="39"/>
      <c r="B21" s="55"/>
      <c r="C21" s="52" t="s">
        <v>444</v>
      </c>
      <c r="D21" s="52" t="s">
        <v>641</v>
      </c>
      <c r="E21" s="53">
        <f>F21/G21</f>
      </c>
      <c r="F21" s="54">
        <f>SUM(H21:L21)</f>
      </c>
      <c r="G21" s="54">
        <f>SUM(H21:M21)</f>
      </c>
      <c r="H21" s="54">
        <f>COUNTIF('Scopes'!$M$60:$M$63,H$3)</f>
      </c>
      <c r="I21" s="54">
        <f>COUNTIF('Scopes'!$M$60:$M$63,I$3)</f>
      </c>
      <c r="J21" s="54">
        <f>COUNTIF('Scopes'!$M$60:$M$63,J$3)</f>
      </c>
      <c r="K21" s="54">
        <f>COUNTIF('Scopes'!$M$60:$M$63,K$3)</f>
      </c>
      <c r="L21" s="54">
        <f>COUNTIF('Scopes'!$M$60:$M$63,L$3)</f>
      </c>
      <c r="M21" s="54">
        <f>COUNTA('Scopes'!$G$60:$G$63)-SUM(H21:L21)</f>
      </c>
      <c r="N21" s="53">
        <f>O21/P21</f>
      </c>
      <c r="O21" s="54">
        <f>SUM(Q21:U21)</f>
      </c>
      <c r="P21" s="54">
        <f>SUM(Q21:V21)</f>
      </c>
      <c r="Q21" s="54">
        <f>COUNTIF('Scopes'!$R$60:$R$63,Q$3)</f>
      </c>
      <c r="R21" s="54">
        <f>COUNTIF('Scopes'!$R$60:$R$63,R$3)</f>
      </c>
      <c r="S21" s="54">
        <f>COUNTIF('Scopes'!$R$60:$R$63,S$3)</f>
      </c>
      <c r="T21" s="54">
        <f>COUNTIF('Scopes'!$R$60:$R$63,T$3)</f>
      </c>
      <c r="U21" s="54">
        <f>COUNTIF('Scopes'!$R$60:$R$63,U$3)</f>
      </c>
      <c r="V21" s="54">
        <f>COUNTA('Scopes'!$G$60:$G$63)-SUM(Q21:U21)</f>
      </c>
      <c r="W21" s="39"/>
      <c r="X21" s="39"/>
      <c r="Y21" s="39"/>
      <c r="Z21" s="39"/>
      <c r="AA21" s="39"/>
      <c r="AB21" s="39"/>
    </row>
    <row r="22" ht="15.75" customHeight="1">
      <c r="A22" s="39"/>
      <c r="B22" s="55"/>
      <c r="C22" s="52" t="s">
        <v>444</v>
      </c>
      <c r="D22" s="52" t="s">
        <v>661</v>
      </c>
      <c r="E22" s="53">
        <f>F22/G22</f>
      </c>
      <c r="F22" s="54">
        <f>SUM(H22:L22)</f>
      </c>
      <c r="G22" s="54">
        <f>SUM(H22:M22)</f>
      </c>
      <c r="H22" s="54">
        <f>COUNTIF('Scopes'!$M$64:$M$64,H$3)</f>
      </c>
      <c r="I22" s="54">
        <f>COUNTIF('Scopes'!$M$64:$M$64,I$3)</f>
      </c>
      <c r="J22" s="54">
        <f>COUNTIF('Scopes'!$M$64:$M$64,J$3)</f>
      </c>
      <c r="K22" s="54">
        <f>COUNTIF('Scopes'!$M$64:$M$64,K$3)</f>
      </c>
      <c r="L22" s="54">
        <f>COUNTIF('Scopes'!$M$64:$M$64,L$3)</f>
      </c>
      <c r="M22" s="54">
        <f>COUNTA('Scopes'!$G$64:$G$64)-SUM(H22:L22)</f>
      </c>
      <c r="N22" s="53">
        <f>O22/P22</f>
      </c>
      <c r="O22" s="54">
        <f>SUM(Q22:U22)</f>
      </c>
      <c r="P22" s="54">
        <f>SUM(Q22:V22)</f>
      </c>
      <c r="Q22" s="54">
        <f>COUNTIF('Scopes'!$R$64:$R$64,Q$3)</f>
      </c>
      <c r="R22" s="54">
        <f>COUNTIF('Scopes'!$R$64:$R$64,R$3)</f>
      </c>
      <c r="S22" s="54">
        <f>COUNTIF('Scopes'!$R$64:$R$64,S$3)</f>
      </c>
      <c r="T22" s="54">
        <f>COUNTIF('Scopes'!$R$64:$R$64,T$3)</f>
      </c>
      <c r="U22" s="54">
        <f>COUNTIF('Scopes'!$R$64:$R$64,U$3)</f>
      </c>
      <c r="V22" s="54">
        <f>COUNTA('Scopes'!$G$64:$G$64)-SUM(Q22:U22)</f>
      </c>
      <c r="W22" s="39"/>
      <c r="X22" s="39"/>
      <c r="Y22" s="39"/>
      <c r="Z22" s="39"/>
      <c r="AA22" s="39"/>
      <c r="AB22" s="39"/>
    </row>
    <row r="23" ht="15.75" customHeight="1">
      <c r="A23" s="39"/>
      <c r="B23" s="55"/>
      <c r="C23" s="52" t="s">
        <v>668</v>
      </c>
      <c r="D23" s="52" t="s">
        <v>669</v>
      </c>
      <c r="E23" s="53">
        <f>F23/G23</f>
      </c>
      <c r="F23" s="54">
        <f>SUM(H23:L23)</f>
      </c>
      <c r="G23" s="54">
        <f>SUM(H23:M23)</f>
      </c>
      <c r="H23" s="54">
        <f>COUNTIF('Scopes'!$M$65:$M$69,H$3)</f>
      </c>
      <c r="I23" s="54">
        <f>COUNTIF('Scopes'!$M$65:$M$69,I$3)</f>
      </c>
      <c r="J23" s="54">
        <f>COUNTIF('Scopes'!$M$65:$M$69,J$3)</f>
      </c>
      <c r="K23" s="54">
        <f>COUNTIF('Scopes'!$M$65:$M$69,K$3)</f>
      </c>
      <c r="L23" s="54">
        <f>COUNTIF('Scopes'!$M$65:$M$69,L$3)</f>
      </c>
      <c r="M23" s="54">
        <f>COUNTA('Scopes'!$G$65:$G$69)-SUM(H23:L23)</f>
      </c>
      <c r="N23" s="53">
        <f>O23/P23</f>
      </c>
      <c r="O23" s="54">
        <f>SUM(Q23:U23)</f>
      </c>
      <c r="P23" s="54">
        <f>SUM(Q23:V23)</f>
      </c>
      <c r="Q23" s="54">
        <f>COUNTIF('Scopes'!$R$65:$R$69,Q$3)</f>
      </c>
      <c r="R23" s="54">
        <f>COUNTIF('Scopes'!$R$65:$R$69,R$3)</f>
      </c>
      <c r="S23" s="54">
        <f>COUNTIF('Scopes'!$R$65:$R$69,S$3)</f>
      </c>
      <c r="T23" s="54">
        <f>COUNTIF('Scopes'!$R$65:$R$69,T$3)</f>
      </c>
      <c r="U23" s="54">
        <f>COUNTIF('Scopes'!$R$65:$R$69,U$3)</f>
      </c>
      <c r="V23" s="54">
        <f>COUNTA('Scopes'!$G$65:$G$69)-SUM(Q23:U23)</f>
      </c>
      <c r="W23" s="39"/>
      <c r="X23" s="39"/>
      <c r="Y23" s="39"/>
      <c r="Z23" s="39"/>
      <c r="AA23" s="39"/>
      <c r="AB23" s="39"/>
    </row>
    <row r="24" ht="15.75" customHeight="1">
      <c r="A24" s="39"/>
      <c r="B24" s="55"/>
      <c r="C24" s="52" t="s">
        <v>668</v>
      </c>
      <c r="D24" s="52" t="s">
        <v>703</v>
      </c>
      <c r="E24" s="53">
        <f>F24/G24</f>
      </c>
      <c r="F24" s="54">
        <f>SUM(H24:L24)</f>
      </c>
      <c r="G24" s="54">
        <f>SUM(H24:M24)</f>
      </c>
      <c r="H24" s="54">
        <f>COUNTIF('Scopes'!$M$70:$M$71,H$3)</f>
      </c>
      <c r="I24" s="54">
        <f>COUNTIF('Scopes'!$M$70:$M$71,I$3)</f>
      </c>
      <c r="J24" s="54">
        <f>COUNTIF('Scopes'!$M$70:$M$71,J$3)</f>
      </c>
      <c r="K24" s="54">
        <f>COUNTIF('Scopes'!$M$70:$M$71,K$3)</f>
      </c>
      <c r="L24" s="54">
        <f>COUNTIF('Scopes'!$M$70:$M$71,L$3)</f>
      </c>
      <c r="M24" s="54">
        <f>COUNTA('Scopes'!$G$70:$G$71)-SUM(H24:L24)</f>
      </c>
      <c r="N24" s="53">
        <f>O24/P24</f>
      </c>
      <c r="O24" s="54">
        <f>SUM(Q24:U24)</f>
      </c>
      <c r="P24" s="54">
        <f>SUM(Q24:V24)</f>
      </c>
      <c r="Q24" s="54">
        <f>COUNTIF('Scopes'!$R$70:$R$71,Q$3)</f>
      </c>
      <c r="R24" s="54">
        <f>COUNTIF('Scopes'!$R$70:$R$71,R$3)</f>
      </c>
      <c r="S24" s="54">
        <f>COUNTIF('Scopes'!$R$70:$R$71,S$3)</f>
      </c>
      <c r="T24" s="54">
        <f>COUNTIF('Scopes'!$R$70:$R$71,T$3)</f>
      </c>
      <c r="U24" s="54">
        <f>COUNTIF('Scopes'!$R$70:$R$71,U$3)</f>
      </c>
      <c r="V24" s="54">
        <f>COUNTA('Scopes'!$G$70:$G$71)-SUM(Q24:U24)</f>
      </c>
      <c r="W24" s="39"/>
      <c r="X24" s="39"/>
      <c r="Y24" s="39"/>
      <c r="Z24" s="39"/>
      <c r="AA24" s="39"/>
      <c r="AB24" s="39"/>
    </row>
    <row r="25" ht="15.75" customHeight="1">
      <c r="A25" s="39"/>
      <c r="B25" s="55"/>
      <c r="C25" s="52" t="s">
        <v>668</v>
      </c>
      <c r="D25" s="52" t="s">
        <v>715</v>
      </c>
      <c r="E25" s="53">
        <f>F25/G25</f>
      </c>
      <c r="F25" s="54">
        <f>SUM(H25:L25)</f>
      </c>
      <c r="G25" s="54">
        <f>SUM(H25:M25)</f>
      </c>
      <c r="H25" s="54">
        <f>COUNTIF('Scopes'!$M$72:$M$75,H$3)</f>
      </c>
      <c r="I25" s="54">
        <f>COUNTIF('Scopes'!$M$72:$M$75,I$3)</f>
      </c>
      <c r="J25" s="54">
        <f>COUNTIF('Scopes'!$M$72:$M$75,J$3)</f>
      </c>
      <c r="K25" s="54">
        <f>COUNTIF('Scopes'!$M$72:$M$75,K$3)</f>
      </c>
      <c r="L25" s="54">
        <f>COUNTIF('Scopes'!$M$72:$M$75,L$3)</f>
      </c>
      <c r="M25" s="54">
        <f>COUNTA('Scopes'!$G$72:$G$75)-SUM(H25:L25)</f>
      </c>
      <c r="N25" s="53">
        <f>O25/P25</f>
      </c>
      <c r="O25" s="54">
        <f>SUM(Q25:U25)</f>
      </c>
      <c r="P25" s="54">
        <f>SUM(Q25:V25)</f>
      </c>
      <c r="Q25" s="54">
        <f>COUNTIF('Scopes'!$R$72:$R$75,Q$3)</f>
      </c>
      <c r="R25" s="54">
        <f>COUNTIF('Scopes'!$R$72:$R$75,R$3)</f>
      </c>
      <c r="S25" s="54">
        <f>COUNTIF('Scopes'!$R$72:$R$75,S$3)</f>
      </c>
      <c r="T25" s="54">
        <f>COUNTIF('Scopes'!$R$72:$R$75,T$3)</f>
      </c>
      <c r="U25" s="54">
        <f>COUNTIF('Scopes'!$R$72:$R$75,U$3)</f>
      </c>
      <c r="V25" s="54">
        <f>COUNTA('Scopes'!$G$72:$G$75)-SUM(Q25:U25)</f>
      </c>
      <c r="W25" s="39"/>
      <c r="X25" s="39"/>
      <c r="Y25" s="39"/>
      <c r="Z25" s="39"/>
      <c r="AA25" s="39"/>
      <c r="AB25" s="39"/>
    </row>
    <row r="26" ht="15.75" customHeight="1">
      <c r="A26" s="39"/>
      <c r="B26" s="55"/>
      <c r="C26" s="52" t="s">
        <v>668</v>
      </c>
      <c r="D26" s="52" t="s">
        <v>736</v>
      </c>
      <c r="E26" s="53">
        <f>F26/G26</f>
      </c>
      <c r="F26" s="54">
        <f>SUM(H26:L26)</f>
      </c>
      <c r="G26" s="54">
        <f>SUM(H26:M26)</f>
      </c>
      <c r="H26" s="54">
        <f>COUNTIF('Scopes'!$M$76:$M$86,H$3)</f>
      </c>
      <c r="I26" s="54">
        <f>COUNTIF('Scopes'!$M$76:$M$86,I$3)</f>
      </c>
      <c r="J26" s="54">
        <f>COUNTIF('Scopes'!$M$76:$M$86,J$3)</f>
      </c>
      <c r="K26" s="54">
        <f>COUNTIF('Scopes'!$M$76:$M$86,K$3)</f>
      </c>
      <c r="L26" s="54">
        <f>COUNTIF('Scopes'!$M$76:$M$86,L$3)</f>
      </c>
      <c r="M26" s="54">
        <f>COUNTA('Scopes'!$G$76:$G$86)-SUM(H26:L26)</f>
      </c>
      <c r="N26" s="53">
        <f>O26/P26</f>
      </c>
      <c r="O26" s="54">
        <f>SUM(Q26:U26)</f>
      </c>
      <c r="P26" s="54">
        <f>SUM(Q26:V26)</f>
      </c>
      <c r="Q26" s="54">
        <f>COUNTIF('Scopes'!$R$76:$R$86,Q$3)</f>
      </c>
      <c r="R26" s="54">
        <f>COUNTIF('Scopes'!$R$76:$R$86,R$3)</f>
      </c>
      <c r="S26" s="54">
        <f>COUNTIF('Scopes'!$R$76:$R$86,S$3)</f>
      </c>
      <c r="T26" s="54">
        <f>COUNTIF('Scopes'!$R$76:$R$86,T$3)</f>
      </c>
      <c r="U26" s="54">
        <f>COUNTIF('Scopes'!$R$76:$R$86,U$3)</f>
      </c>
      <c r="V26" s="54">
        <f>COUNTA('Scopes'!$G$76:$G$86)-SUM(Q26:U26)</f>
      </c>
      <c r="W26" s="39"/>
      <c r="X26" s="39"/>
      <c r="Y26" s="39"/>
      <c r="Z26" s="39"/>
      <c r="AA26" s="39"/>
      <c r="AB26" s="39"/>
    </row>
    <row r="27" ht="15.75" customHeight="1">
      <c r="A27" s="39"/>
      <c r="B27" s="55"/>
      <c r="C27" s="52" t="s">
        <v>668</v>
      </c>
      <c r="D27" s="52" t="s">
        <v>793</v>
      </c>
      <c r="E27" s="53">
        <f>F27/G27</f>
      </c>
      <c r="F27" s="54">
        <f>SUM(H27:L27)</f>
      </c>
      <c r="G27" s="54">
        <f>SUM(H27:M27)</f>
      </c>
      <c r="H27" s="54">
        <f>COUNTIF('Scopes'!$M$87:$M$93,H$3)</f>
      </c>
      <c r="I27" s="54">
        <f>COUNTIF('Scopes'!$M$87:$M$93,I$3)</f>
      </c>
      <c r="J27" s="54">
        <f>COUNTIF('Scopes'!$M$87:$M$93,J$3)</f>
      </c>
      <c r="K27" s="54">
        <f>COUNTIF('Scopes'!$M$87:$M$93,K$3)</f>
      </c>
      <c r="L27" s="54">
        <f>COUNTIF('Scopes'!$M$87:$M$93,L$3)</f>
      </c>
      <c r="M27" s="54">
        <f>COUNTA('Scopes'!$G$87:$G$93)-SUM(H27:L27)</f>
      </c>
      <c r="N27" s="53">
        <f>O27/P27</f>
      </c>
      <c r="O27" s="54">
        <f>SUM(Q27:U27)</f>
      </c>
      <c r="P27" s="54">
        <f>SUM(Q27:V27)</f>
      </c>
      <c r="Q27" s="54">
        <f>COUNTIF('Scopes'!$R$87:$R$93,Q$3)</f>
      </c>
      <c r="R27" s="54">
        <f>COUNTIF('Scopes'!$R$87:$R$93,R$3)</f>
      </c>
      <c r="S27" s="54">
        <f>COUNTIF('Scopes'!$R$87:$R$93,S$3)</f>
      </c>
      <c r="T27" s="54">
        <f>COUNTIF('Scopes'!$R$87:$R$93,T$3)</f>
      </c>
      <c r="U27" s="54">
        <f>COUNTIF('Scopes'!$R$87:$R$93,U$3)</f>
      </c>
      <c r="V27" s="54">
        <f>COUNTA('Scopes'!$G$87:$G$93)-SUM(Q27:U27)</f>
      </c>
      <c r="W27" s="39"/>
      <c r="X27" s="39"/>
      <c r="Y27" s="39"/>
      <c r="Z27" s="39"/>
      <c r="AA27" s="39"/>
      <c r="AB27" s="39"/>
    </row>
    <row r="28" ht="15.75" customHeight="1">
      <c r="A28" s="39"/>
      <c r="B28" s="55"/>
      <c r="C28" s="52" t="s">
        <v>668</v>
      </c>
      <c r="D28" s="52" t="s">
        <v>832</v>
      </c>
      <c r="E28" s="53">
        <f>F28/G28</f>
      </c>
      <c r="F28" s="54">
        <f>SUM(H28:L28)</f>
      </c>
      <c r="G28" s="54">
        <f>SUM(H28:M28)</f>
      </c>
      <c r="H28" s="54">
        <f>COUNTIF('Scopes'!$M$94:$M$106,H$3)</f>
      </c>
      <c r="I28" s="54">
        <f>COUNTIF('Scopes'!$M$94:$M$106,I$3)</f>
      </c>
      <c r="J28" s="54">
        <f>COUNTIF('Scopes'!$M$94:$M$106,J$3)</f>
      </c>
      <c r="K28" s="54">
        <f>COUNTIF('Scopes'!$M$94:$M$106,K$3)</f>
      </c>
      <c r="L28" s="54">
        <f>COUNTIF('Scopes'!$M$94:$M$106,L$3)</f>
      </c>
      <c r="M28" s="54">
        <f>COUNTA('Scopes'!$G$94:$G$106)-SUM(H28:L28)</f>
      </c>
      <c r="N28" s="53">
        <f>O28/P28</f>
      </c>
      <c r="O28" s="54">
        <f>SUM(Q28:U28)</f>
      </c>
      <c r="P28" s="54">
        <f>SUM(Q28:V28)</f>
      </c>
      <c r="Q28" s="54">
        <f>COUNTIF('Scopes'!$R$94:$R$106,Q$3)</f>
      </c>
      <c r="R28" s="54">
        <f>COUNTIF('Scopes'!$R$94:$R$106,R$3)</f>
      </c>
      <c r="S28" s="54">
        <f>COUNTIF('Scopes'!$R$94:$R$106,S$3)</f>
      </c>
      <c r="T28" s="54">
        <f>COUNTIF('Scopes'!$R$94:$R$106,T$3)</f>
      </c>
      <c r="U28" s="54">
        <f>COUNTIF('Scopes'!$R$94:$R$106,U$3)</f>
      </c>
      <c r="V28" s="54">
        <f>COUNTA('Scopes'!$G$94:$G$106)-SUM(Q28:U28)</f>
      </c>
      <c r="W28" s="39"/>
      <c r="X28" s="39"/>
      <c r="Y28" s="39"/>
      <c r="Z28" s="39"/>
      <c r="AA28" s="39"/>
      <c r="AB28" s="39"/>
    </row>
    <row r="29" ht="15.75" customHeight="1">
      <c r="A29" s="39"/>
      <c r="B29" s="55"/>
      <c r="C29" s="52" t="s">
        <v>668</v>
      </c>
      <c r="D29" s="52" t="s">
        <v>904</v>
      </c>
      <c r="E29" s="53">
        <f>F29/G29</f>
      </c>
      <c r="F29" s="54">
        <f>SUM(H29:L29)</f>
      </c>
      <c r="G29" s="54">
        <f>SUM(H29:M29)</f>
      </c>
      <c r="H29" s="54">
        <f>COUNTIF('Scopes'!$M$107:$M$107,H$3)</f>
      </c>
      <c r="I29" s="54">
        <f>COUNTIF('Scopes'!$M$107:$M$107,I$3)</f>
      </c>
      <c r="J29" s="54">
        <f>COUNTIF('Scopes'!$M$107:$M$107,J$3)</f>
      </c>
      <c r="K29" s="54">
        <f>COUNTIF('Scopes'!$M$107:$M$107,K$3)</f>
      </c>
      <c r="L29" s="54">
        <f>COUNTIF('Scopes'!$M$107:$M$107,L$3)</f>
      </c>
      <c r="M29" s="54">
        <f>COUNTA('Scopes'!$G$107:$G$107)-SUM(H29:L29)</f>
      </c>
      <c r="N29" s="53">
        <f>O29/P29</f>
      </c>
      <c r="O29" s="54">
        <f>SUM(Q29:U29)</f>
      </c>
      <c r="P29" s="54">
        <f>SUM(Q29:V29)</f>
      </c>
      <c r="Q29" s="54">
        <f>COUNTIF('Scopes'!$R$107:$R$107,Q$3)</f>
      </c>
      <c r="R29" s="54">
        <f>COUNTIF('Scopes'!$R$107:$R$107,R$3)</f>
      </c>
      <c r="S29" s="54">
        <f>COUNTIF('Scopes'!$R$107:$R$107,S$3)</f>
      </c>
      <c r="T29" s="54">
        <f>COUNTIF('Scopes'!$R$107:$R$107,T$3)</f>
      </c>
      <c r="U29" s="54">
        <f>COUNTIF('Scopes'!$R$107:$R$107,U$3)</f>
      </c>
      <c r="V29" s="54">
        <f>COUNTA('Scopes'!$G$107:$G$107)-SUM(Q29:U29)</f>
      </c>
      <c r="W29" s="39"/>
      <c r="X29" s="39"/>
      <c r="Y29" s="39"/>
      <c r="Z29" s="39"/>
      <c r="AA29" s="39"/>
      <c r="AB29" s="39"/>
    </row>
    <row r="30" ht="15.75" customHeight="1">
      <c r="A30" s="39"/>
      <c r="B30" s="55"/>
      <c r="C30" s="52" t="s">
        <v>668</v>
      </c>
      <c r="D30" s="52" t="s">
        <v>911</v>
      </c>
      <c r="E30" s="53">
        <f>F30/G30</f>
      </c>
      <c r="F30" s="54">
        <f>SUM(H30:L30)</f>
      </c>
      <c r="G30" s="54">
        <f>SUM(H30:M30)</f>
      </c>
      <c r="H30" s="54">
        <f>COUNTIF('Scopes'!$M$108:$M$113,H$3)</f>
      </c>
      <c r="I30" s="54">
        <f>COUNTIF('Scopes'!$M$108:$M$113,I$3)</f>
      </c>
      <c r="J30" s="54">
        <f>COUNTIF('Scopes'!$M$108:$M$113,J$3)</f>
      </c>
      <c r="K30" s="54">
        <f>COUNTIF('Scopes'!$M$108:$M$113,K$3)</f>
      </c>
      <c r="L30" s="54">
        <f>COUNTIF('Scopes'!$M$108:$M$113,L$3)</f>
      </c>
      <c r="M30" s="54">
        <f>COUNTA('Scopes'!$G$108:$G$113)-SUM(H30:L30)</f>
      </c>
      <c r="N30" s="53">
        <f>O30/P30</f>
      </c>
      <c r="O30" s="54">
        <f>SUM(Q30:U30)</f>
      </c>
      <c r="P30" s="54">
        <f>SUM(Q30:V30)</f>
      </c>
      <c r="Q30" s="54">
        <f>COUNTIF('Scopes'!$R$108:$R$113,Q$3)</f>
      </c>
      <c r="R30" s="54">
        <f>COUNTIF('Scopes'!$R$108:$R$113,R$3)</f>
      </c>
      <c r="S30" s="54">
        <f>COUNTIF('Scopes'!$R$108:$R$113,S$3)</f>
      </c>
      <c r="T30" s="54">
        <f>COUNTIF('Scopes'!$R$108:$R$113,T$3)</f>
      </c>
      <c r="U30" s="54">
        <f>COUNTIF('Scopes'!$R$108:$R$113,U$3)</f>
      </c>
      <c r="V30" s="54">
        <f>COUNTA('Scopes'!$G$108:$G$113)-SUM(Q30:U30)</f>
      </c>
      <c r="W30" s="39"/>
      <c r="X30" s="39"/>
      <c r="Y30" s="39"/>
      <c r="Z30" s="39"/>
      <c r="AA30" s="39"/>
      <c r="AB30" s="39"/>
    </row>
    <row r="31" ht="15.75" customHeight="1">
      <c r="A31" s="39"/>
      <c r="B31" s="55"/>
      <c r="C31" s="52" t="s">
        <v>668</v>
      </c>
      <c r="D31" s="52" t="s">
        <v>946</v>
      </c>
      <c r="E31" s="53">
        <f>F31/G31</f>
      </c>
      <c r="F31" s="54">
        <f>SUM(H31:L31)</f>
      </c>
      <c r="G31" s="54">
        <f>SUM(H31:M31)</f>
      </c>
      <c r="H31" s="54">
        <f>COUNTIF('Scopes'!$M$114:$M$116,H$3)</f>
      </c>
      <c r="I31" s="54">
        <f>COUNTIF('Scopes'!$M$114:$M$116,I$3)</f>
      </c>
      <c r="J31" s="54">
        <f>COUNTIF('Scopes'!$M$114:$M$116,J$3)</f>
      </c>
      <c r="K31" s="54">
        <f>COUNTIF('Scopes'!$M$114:$M$116,K$3)</f>
      </c>
      <c r="L31" s="54">
        <f>COUNTIF('Scopes'!$M$114:$M$116,L$3)</f>
      </c>
      <c r="M31" s="54">
        <f>COUNTA('Scopes'!$G$114:$G$116)-SUM(H31:L31)</f>
      </c>
      <c r="N31" s="53">
        <f>O31/P31</f>
      </c>
      <c r="O31" s="54">
        <f>SUM(Q31:U31)</f>
      </c>
      <c r="P31" s="54">
        <f>SUM(Q31:V31)</f>
      </c>
      <c r="Q31" s="54">
        <f>COUNTIF('Scopes'!$R$114:$R$116,Q$3)</f>
      </c>
      <c r="R31" s="54">
        <f>COUNTIF('Scopes'!$R$114:$R$116,R$3)</f>
      </c>
      <c r="S31" s="54">
        <f>COUNTIF('Scopes'!$R$114:$R$116,S$3)</f>
      </c>
      <c r="T31" s="54">
        <f>COUNTIF('Scopes'!$R$114:$R$116,T$3)</f>
      </c>
      <c r="U31" s="54">
        <f>COUNTIF('Scopes'!$R$114:$R$116,U$3)</f>
      </c>
      <c r="V31" s="54">
        <f>COUNTA('Scopes'!$G$114:$G$116)-SUM(Q31:U31)</f>
      </c>
      <c r="W31" s="39"/>
      <c r="X31" s="39"/>
      <c r="Y31" s="39"/>
      <c r="Z31" s="39"/>
      <c r="AA31" s="39"/>
      <c r="AB31" s="39"/>
    </row>
    <row r="32" ht="15.75" customHeight="1">
      <c r="A32" s="39"/>
      <c r="B32" s="55"/>
      <c r="C32" s="52" t="s">
        <v>668</v>
      </c>
      <c r="D32" s="52" t="s">
        <v>962</v>
      </c>
      <c r="E32" s="53">
        <f>F32/G32</f>
      </c>
      <c r="F32" s="54">
        <f>SUM(H32:L32)</f>
      </c>
      <c r="G32" s="54">
        <f>SUM(H32:M32)</f>
      </c>
      <c r="H32" s="54">
        <f>COUNTIF('Scopes'!$M$117:$M$125,H$3)</f>
      </c>
      <c r="I32" s="54">
        <f>COUNTIF('Scopes'!$M$117:$M$125,I$3)</f>
      </c>
      <c r="J32" s="54">
        <f>COUNTIF('Scopes'!$M$117:$M$125,J$3)</f>
      </c>
      <c r="K32" s="54">
        <f>COUNTIF('Scopes'!$M$117:$M$125,K$3)</f>
      </c>
      <c r="L32" s="54">
        <f>COUNTIF('Scopes'!$M$117:$M$125,L$3)</f>
      </c>
      <c r="M32" s="54">
        <f>COUNTA('Scopes'!$G$117:$G$125)-SUM(H32:L32)</f>
      </c>
      <c r="N32" s="53">
        <f>O32/P32</f>
      </c>
      <c r="O32" s="54">
        <f>SUM(Q32:U32)</f>
      </c>
      <c r="P32" s="54">
        <f>SUM(Q32:V32)</f>
      </c>
      <c r="Q32" s="54">
        <f>COUNTIF('Scopes'!$R$117:$R$125,Q$3)</f>
      </c>
      <c r="R32" s="54">
        <f>COUNTIF('Scopes'!$R$117:$R$125,R$3)</f>
      </c>
      <c r="S32" s="54">
        <f>COUNTIF('Scopes'!$R$117:$R$125,S$3)</f>
      </c>
      <c r="T32" s="54">
        <f>COUNTIF('Scopes'!$R$117:$R$125,T$3)</f>
      </c>
      <c r="U32" s="54">
        <f>COUNTIF('Scopes'!$R$117:$R$125,U$3)</f>
      </c>
      <c r="V32" s="54">
        <f>COUNTA('Scopes'!$G$117:$G$125)-SUM(Q32:U32)</f>
      </c>
      <c r="W32" s="39"/>
      <c r="X32" s="39"/>
      <c r="Y32" s="39"/>
      <c r="Z32" s="39"/>
      <c r="AA32" s="39"/>
      <c r="AB32" s="39"/>
    </row>
    <row r="33" ht="15.75" customHeight="1">
      <c r="A33" s="39"/>
      <c r="B33" s="55"/>
      <c r="C33" s="52" t="s">
        <v>668</v>
      </c>
      <c r="D33" s="52" t="s">
        <v>1011</v>
      </c>
      <c r="E33" s="53">
        <f>F33/G33</f>
      </c>
      <c r="F33" s="54">
        <f>SUM(H33:L33)</f>
      </c>
      <c r="G33" s="54">
        <f>SUM(H33:M33)</f>
      </c>
      <c r="H33" s="54">
        <f>COUNTIF('Scopes'!$M$126:$M$126,H$3)</f>
      </c>
      <c r="I33" s="54">
        <f>COUNTIF('Scopes'!$M$126:$M$126,I$3)</f>
      </c>
      <c r="J33" s="54">
        <f>COUNTIF('Scopes'!$M$126:$M$126,J$3)</f>
      </c>
      <c r="K33" s="54">
        <f>COUNTIF('Scopes'!$M$126:$M$126,K$3)</f>
      </c>
      <c r="L33" s="54">
        <f>COUNTIF('Scopes'!$M$126:$M$126,L$3)</f>
      </c>
      <c r="M33" s="54">
        <f>COUNTA('Scopes'!$G$126:$G$126)-SUM(H33:L33)</f>
      </c>
      <c r="N33" s="53">
        <f>O33/P33</f>
      </c>
      <c r="O33" s="54">
        <f>SUM(Q33:U33)</f>
      </c>
      <c r="P33" s="54">
        <f>SUM(Q33:V33)</f>
      </c>
      <c r="Q33" s="54">
        <f>COUNTIF('Scopes'!$R$126:$R$126,Q$3)</f>
      </c>
      <c r="R33" s="54">
        <f>COUNTIF('Scopes'!$R$126:$R$126,R$3)</f>
      </c>
      <c r="S33" s="54">
        <f>COUNTIF('Scopes'!$R$126:$R$126,S$3)</f>
      </c>
      <c r="T33" s="54">
        <f>COUNTIF('Scopes'!$R$126:$R$126,T$3)</f>
      </c>
      <c r="U33" s="54">
        <f>COUNTIF('Scopes'!$R$126:$R$126,U$3)</f>
      </c>
      <c r="V33" s="54">
        <f>COUNTA('Scopes'!$G$126:$G$126)-SUM(Q33:U33)</f>
      </c>
      <c r="W33" s="39"/>
      <c r="X33" s="39"/>
      <c r="Y33" s="39"/>
      <c r="Z33" s="39"/>
      <c r="AA33" s="39"/>
      <c r="AB33" s="39"/>
    </row>
    <row r="34" ht="15.75" customHeight="1">
      <c r="A34" s="39"/>
      <c r="B34" s="55"/>
      <c r="C34" s="52" t="s">
        <v>1016</v>
      </c>
      <c r="D34" s="52" t="s">
        <v>1017</v>
      </c>
      <c r="E34" s="53">
        <f>F34/G34</f>
      </c>
      <c r="F34" s="54">
        <f>SUM(H34:L34)</f>
      </c>
      <c r="G34" s="54">
        <f>SUM(H34:M34)</f>
      </c>
      <c r="H34" s="54">
        <f>COUNTIF('Scopes'!$M$127:$M$132,H$3)</f>
      </c>
      <c r="I34" s="54">
        <f>COUNTIF('Scopes'!$M$127:$M$132,I$3)</f>
      </c>
      <c r="J34" s="54">
        <f>COUNTIF('Scopes'!$M$127:$M$132,J$3)</f>
      </c>
      <c r="K34" s="54">
        <f>COUNTIF('Scopes'!$M$127:$M$132,K$3)</f>
      </c>
      <c r="L34" s="54">
        <f>COUNTIF('Scopes'!$M$127:$M$132,L$3)</f>
      </c>
      <c r="M34" s="54">
        <f>COUNTA('Scopes'!$G$127:$G$132)-SUM(H34:L34)</f>
      </c>
      <c r="N34" s="53">
        <f>O34/P34</f>
      </c>
      <c r="O34" s="54">
        <f>SUM(Q34:U34)</f>
      </c>
      <c r="P34" s="54">
        <f>SUM(Q34:V34)</f>
      </c>
      <c r="Q34" s="54">
        <f>COUNTIF('Scopes'!$R$127:$R$132,Q$3)</f>
      </c>
      <c r="R34" s="54">
        <f>COUNTIF('Scopes'!$R$127:$R$132,R$3)</f>
      </c>
      <c r="S34" s="54">
        <f>COUNTIF('Scopes'!$R$127:$R$132,S$3)</f>
      </c>
      <c r="T34" s="54">
        <f>COUNTIF('Scopes'!$R$127:$R$132,T$3)</f>
      </c>
      <c r="U34" s="54">
        <f>COUNTIF('Scopes'!$R$127:$R$132,U$3)</f>
      </c>
      <c r="V34" s="54">
        <f>COUNTA('Scopes'!$G$127:$G$132)-SUM(Q34:U34)</f>
      </c>
      <c r="W34" s="39"/>
      <c r="X34" s="39"/>
      <c r="Y34" s="39"/>
      <c r="Z34" s="39"/>
      <c r="AA34" s="39"/>
      <c r="AB34" s="39"/>
    </row>
    <row r="35" ht="15.75" customHeight="1">
      <c r="A35" s="39"/>
      <c r="B35" s="55"/>
      <c r="C35" s="52" t="s">
        <v>1016</v>
      </c>
      <c r="D35" s="52" t="s">
        <v>1051</v>
      </c>
      <c r="E35" s="53">
        <f>F35/G35</f>
      </c>
      <c r="F35" s="54">
        <f>SUM(H35:L35)</f>
      </c>
      <c r="G35" s="54">
        <f>SUM(H35:M35)</f>
      </c>
      <c r="H35" s="54">
        <f>COUNTIF('Scopes'!$M$133:$M$133,H$3)</f>
      </c>
      <c r="I35" s="54">
        <f>COUNTIF('Scopes'!$M$133:$M$133,I$3)</f>
      </c>
      <c r="J35" s="54">
        <f>COUNTIF('Scopes'!$M$133:$M$133,J$3)</f>
      </c>
      <c r="K35" s="54">
        <f>COUNTIF('Scopes'!$M$133:$M$133,K$3)</f>
      </c>
      <c r="L35" s="54">
        <f>COUNTIF('Scopes'!$M$133:$M$133,L$3)</f>
      </c>
      <c r="M35" s="54">
        <f>COUNTA('Scopes'!$G$133:$G$133)-SUM(H35:L35)</f>
      </c>
      <c r="N35" s="53">
        <f>O35/P35</f>
      </c>
      <c r="O35" s="54">
        <f>SUM(Q35:U35)</f>
      </c>
      <c r="P35" s="54">
        <f>SUM(Q35:V35)</f>
      </c>
      <c r="Q35" s="54">
        <f>COUNTIF('Scopes'!$R$133:$R$133,Q$3)</f>
      </c>
      <c r="R35" s="54">
        <f>COUNTIF('Scopes'!$R$133:$R$133,R$3)</f>
      </c>
      <c r="S35" s="54">
        <f>COUNTIF('Scopes'!$R$133:$R$133,S$3)</f>
      </c>
      <c r="T35" s="54">
        <f>COUNTIF('Scopes'!$R$133:$R$133,T$3)</f>
      </c>
      <c r="U35" s="54">
        <f>COUNTIF('Scopes'!$R$133:$R$133,U$3)</f>
      </c>
      <c r="V35" s="54">
        <f>COUNTA('Scopes'!$G$133:$G$133)-SUM(Q35:U35)</f>
      </c>
      <c r="W35" s="39"/>
      <c r="X35" s="39"/>
      <c r="Y35" s="39"/>
      <c r="Z35" s="39"/>
      <c r="AA35" s="39"/>
      <c r="AB35" s="39"/>
    </row>
    <row r="36" ht="15.75" customHeight="1">
      <c r="A36" s="39"/>
      <c r="B36" s="55"/>
      <c r="C36" s="52" t="s">
        <v>1016</v>
      </c>
      <c r="D36" s="52" t="s">
        <v>1059</v>
      </c>
      <c r="E36" s="53">
        <f>F36/G36</f>
      </c>
      <c r="F36" s="54">
        <f>SUM(H36:L36)</f>
      </c>
      <c r="G36" s="54">
        <f>SUM(H36:M36)</f>
      </c>
      <c r="H36" s="54">
        <f>COUNTIF('Scopes'!$M$134:$M$135,H$3)</f>
      </c>
      <c r="I36" s="54">
        <f>COUNTIF('Scopes'!$M$134:$M$135,I$3)</f>
      </c>
      <c r="J36" s="54">
        <f>COUNTIF('Scopes'!$M$134:$M$135,J$3)</f>
      </c>
      <c r="K36" s="54">
        <f>COUNTIF('Scopes'!$M$134:$M$135,K$3)</f>
      </c>
      <c r="L36" s="54">
        <f>COUNTIF('Scopes'!$M$134:$M$135,L$3)</f>
      </c>
      <c r="M36" s="54">
        <f>COUNTA('Scopes'!$G$134:$G$135)-SUM(H36:L36)</f>
      </c>
      <c r="N36" s="53">
        <f>O36/P36</f>
      </c>
      <c r="O36" s="54">
        <f>SUM(Q36:U36)</f>
      </c>
      <c r="P36" s="54">
        <f>SUM(Q36:V36)</f>
      </c>
      <c r="Q36" s="54">
        <f>COUNTIF('Scopes'!$R$134:$R$135,Q$3)</f>
      </c>
      <c r="R36" s="54">
        <f>COUNTIF('Scopes'!$R$134:$R$135,R$3)</f>
      </c>
      <c r="S36" s="54">
        <f>COUNTIF('Scopes'!$R$134:$R$135,S$3)</f>
      </c>
      <c r="T36" s="54">
        <f>COUNTIF('Scopes'!$R$134:$R$135,T$3)</f>
      </c>
      <c r="U36" s="54">
        <f>COUNTIF('Scopes'!$R$134:$R$135,U$3)</f>
      </c>
      <c r="V36" s="54">
        <f>COUNTA('Scopes'!$G$134:$G$135)-SUM(Q36:U36)</f>
      </c>
      <c r="W36" s="39"/>
      <c r="X36" s="39"/>
      <c r="Y36" s="39"/>
      <c r="Z36" s="39"/>
      <c r="AA36" s="39"/>
      <c r="AB36" s="39"/>
    </row>
    <row r="37" ht="15.75" customHeight="1">
      <c r="A37" s="39"/>
      <c r="B37" s="55"/>
      <c r="C37" s="52" t="s">
        <v>383</v>
      </c>
      <c r="D37" s="52" t="s">
        <v>1075</v>
      </c>
      <c r="E37" s="53">
        <f>F37/G37</f>
      </c>
      <c r="F37" s="54">
        <f>SUM(H37:L37)</f>
      </c>
      <c r="G37" s="54">
        <f>SUM(H37:M37)</f>
      </c>
      <c r="H37" s="54">
        <f>COUNTIF('Scopes'!$M$136:$M$139,H$3)</f>
      </c>
      <c r="I37" s="54">
        <f>COUNTIF('Scopes'!$M$136:$M$139,I$3)</f>
      </c>
      <c r="J37" s="54">
        <f>COUNTIF('Scopes'!$M$136:$M$139,J$3)</f>
      </c>
      <c r="K37" s="54">
        <f>COUNTIF('Scopes'!$M$136:$M$139,K$3)</f>
      </c>
      <c r="L37" s="54">
        <f>COUNTIF('Scopes'!$M$136:$M$139,L$3)</f>
      </c>
      <c r="M37" s="54">
        <f>COUNTA('Scopes'!$G$136:$G$139)-SUM(H37:L37)</f>
      </c>
      <c r="N37" s="53">
        <f>O37/P37</f>
      </c>
      <c r="O37" s="54">
        <f>SUM(Q37:U37)</f>
      </c>
      <c r="P37" s="54">
        <f>SUM(Q37:V37)</f>
      </c>
      <c r="Q37" s="54">
        <f>COUNTIF('Scopes'!$R$136:$R$139,Q$3)</f>
      </c>
      <c r="R37" s="54">
        <f>COUNTIF('Scopes'!$R$136:$R$139,R$3)</f>
      </c>
      <c r="S37" s="54">
        <f>COUNTIF('Scopes'!$R$136:$R$139,S$3)</f>
      </c>
      <c r="T37" s="54">
        <f>COUNTIF('Scopes'!$R$136:$R$139,T$3)</f>
      </c>
      <c r="U37" s="54">
        <f>COUNTIF('Scopes'!$R$136:$R$139,U$3)</f>
      </c>
      <c r="V37" s="54">
        <f>COUNTA('Scopes'!$G$136:$G$139)-SUM(Q37:U37)</f>
      </c>
      <c r="W37" s="39"/>
      <c r="X37" s="39"/>
      <c r="Y37" s="39"/>
      <c r="Z37" s="39"/>
      <c r="AA37" s="39"/>
      <c r="AB37" s="39"/>
    </row>
    <row r="38" ht="15.75" customHeight="1">
      <c r="A38" s="39"/>
      <c r="B38" s="55"/>
      <c r="C38" s="52" t="s">
        <v>383</v>
      </c>
      <c r="D38" s="52" t="s">
        <v>1095</v>
      </c>
      <c r="E38" s="53">
        <f>F38/G38</f>
      </c>
      <c r="F38" s="54">
        <f>SUM(H38:L38)</f>
      </c>
      <c r="G38" s="54">
        <f>SUM(H38:M38)</f>
      </c>
      <c r="H38" s="54">
        <f>COUNTIF('Scopes'!$M$140:$M$140,H$3)</f>
      </c>
      <c r="I38" s="54">
        <f>COUNTIF('Scopes'!$M$140:$M$140,I$3)</f>
      </c>
      <c r="J38" s="54">
        <f>COUNTIF('Scopes'!$M$140:$M$140,J$3)</f>
      </c>
      <c r="K38" s="54">
        <f>COUNTIF('Scopes'!$M$140:$M$140,K$3)</f>
      </c>
      <c r="L38" s="54">
        <f>COUNTIF('Scopes'!$M$140:$M$140,L$3)</f>
      </c>
      <c r="M38" s="54">
        <f>COUNTA('Scopes'!$G$140:$G$140)-SUM(H38:L38)</f>
      </c>
      <c r="N38" s="53">
        <f>O38/P38</f>
      </c>
      <c r="O38" s="54">
        <f>SUM(Q38:U38)</f>
      </c>
      <c r="P38" s="54">
        <f>SUM(Q38:V38)</f>
      </c>
      <c r="Q38" s="54">
        <f>COUNTIF('Scopes'!$R$140:$R$140,Q$3)</f>
      </c>
      <c r="R38" s="54">
        <f>COUNTIF('Scopes'!$R$140:$R$140,R$3)</f>
      </c>
      <c r="S38" s="54">
        <f>COUNTIF('Scopes'!$R$140:$R$140,S$3)</f>
      </c>
      <c r="T38" s="54">
        <f>COUNTIF('Scopes'!$R$140:$R$140,T$3)</f>
      </c>
      <c r="U38" s="54">
        <f>COUNTIF('Scopes'!$R$140:$R$140,U$3)</f>
      </c>
      <c r="V38" s="54">
        <f>COUNTA('Scopes'!$G$140:$G$140)-SUM(Q38:U38)</f>
      </c>
      <c r="W38" s="39"/>
      <c r="X38" s="39"/>
      <c r="Y38" s="39"/>
      <c r="Z38" s="39"/>
      <c r="AA38" s="39"/>
      <c r="AB38" s="39"/>
    </row>
    <row r="39" ht="15.75" customHeight="1">
      <c r="A39" s="39"/>
      <c r="B39" s="55"/>
      <c r="C39" s="52" t="s">
        <v>383</v>
      </c>
      <c r="D39" s="52" t="s">
        <v>1102</v>
      </c>
      <c r="E39" s="53">
        <f>F39/G39</f>
      </c>
      <c r="F39" s="54">
        <f>SUM(H39:L39)</f>
      </c>
      <c r="G39" s="54">
        <f>SUM(H39:M39)</f>
      </c>
      <c r="H39" s="54">
        <f>COUNTIF('Scopes'!$M$141:$M$141,H$3)</f>
      </c>
      <c r="I39" s="54">
        <f>COUNTIF('Scopes'!$M$141:$M$141,I$3)</f>
      </c>
      <c r="J39" s="54">
        <f>COUNTIF('Scopes'!$M$141:$M$141,J$3)</f>
      </c>
      <c r="K39" s="54">
        <f>COUNTIF('Scopes'!$M$141:$M$141,K$3)</f>
      </c>
      <c r="L39" s="54">
        <f>COUNTIF('Scopes'!$M$141:$M$141,L$3)</f>
      </c>
      <c r="M39" s="54">
        <f>COUNTA('Scopes'!$G$141:$G$141)-SUM(H39:L39)</f>
      </c>
      <c r="N39" s="53">
        <f>O39/P39</f>
      </c>
      <c r="O39" s="54">
        <f>SUM(Q39:U39)</f>
      </c>
      <c r="P39" s="54">
        <f>SUM(Q39:V39)</f>
      </c>
      <c r="Q39" s="54">
        <f>COUNTIF('Scopes'!$R$141:$R$141,Q$3)</f>
      </c>
      <c r="R39" s="54">
        <f>COUNTIF('Scopes'!$R$141:$R$141,R$3)</f>
      </c>
      <c r="S39" s="54">
        <f>COUNTIF('Scopes'!$R$141:$R$141,S$3)</f>
      </c>
      <c r="T39" s="54">
        <f>COUNTIF('Scopes'!$R$141:$R$141,T$3)</f>
      </c>
      <c r="U39" s="54">
        <f>COUNTIF('Scopes'!$R$141:$R$141,U$3)</f>
      </c>
      <c r="V39" s="54">
        <f>COUNTA('Scopes'!$G$141:$G$141)-SUM(Q39:U39)</f>
      </c>
      <c r="W39" s="39"/>
      <c r="X39" s="39"/>
      <c r="Y39" s="39"/>
      <c r="Z39" s="39"/>
      <c r="AA39" s="39"/>
      <c r="AB39" s="39"/>
    </row>
    <row r="40" ht="15.75" customHeight="1">
      <c r="A40" s="39"/>
      <c r="B40" s="14"/>
      <c r="C40" s="60" t="s">
        <v>29</v>
      </c>
      <c r="D40" s="60"/>
      <c r="E40" s="61">
        <f>F40/G40</f>
      </c>
      <c r="F40" s="62">
        <f>SUM(H40:L40)</f>
      </c>
      <c r="G40" s="62">
        <f>SUM(H40:M40)</f>
      </c>
      <c r="H40" s="62">
        <f>SUM(H15:H39)</f>
      </c>
      <c r="I40" s="62">
        <f>SUM(I15:I39)</f>
      </c>
      <c r="J40" s="62">
        <f>SUM(J15:J39)</f>
      </c>
      <c r="K40" s="62">
        <f>SUM(K15:K39)</f>
      </c>
      <c r="L40" s="62">
        <f>SUM(L15:L39)</f>
      </c>
      <c r="M40" s="62">
        <f>SUM(M15:M39)</f>
      </c>
      <c r="N40" s="61">
        <f>O40/P40</f>
      </c>
      <c r="O40" s="62">
        <f>SUM(Q40:U40)</f>
      </c>
      <c r="P40" s="62">
        <f>SUM(Q40:V40)</f>
      </c>
      <c r="Q40" s="62">
        <f>SUM(Q15:Q39)</f>
      </c>
      <c r="R40" s="62">
        <f>SUM(R15:R39)</f>
      </c>
      <c r="S40" s="62">
        <f>SUM(S15:S39)</f>
      </c>
      <c r="T40" s="62">
        <f>SUM(T15:T39)</f>
      </c>
      <c r="U40" s="62">
        <f>SUM(U15:U39)</f>
      </c>
      <c r="V40" s="62">
        <f>SUM(V15:V39)</f>
      </c>
      <c r="W40" s="39"/>
      <c r="X40" s="39"/>
      <c r="Y40" s="39"/>
      <c r="Z40" s="39"/>
      <c r="AA40" s="39"/>
      <c r="AB40" s="39"/>
    </row>
    <row r="41" ht="15.75" customHeight="1">
      <c r="A41" s="39"/>
      <c r="B41" s="64" t="s">
        <v>29</v>
      </c>
      <c r="C41" s="65"/>
      <c r="D41" s="65"/>
      <c r="E41" s="66">
        <f>F41/G41</f>
      </c>
      <c r="F41" s="67">
        <f>SUM(F14,F40)</f>
      </c>
      <c r="G41" s="67">
        <f>SUM(G14,G40)</f>
      </c>
      <c r="H41" s="67">
        <f>SUM(H14,H40)</f>
      </c>
      <c r="I41" s="67">
        <f>SUM(I14,I40)</f>
      </c>
      <c r="J41" s="67">
        <f>SUM(J14,J40)</f>
      </c>
      <c r="K41" s="67">
        <f>SUM(K14,K40)</f>
      </c>
      <c r="L41" s="67">
        <f>SUM(L14,L40)</f>
      </c>
      <c r="M41" s="67">
        <f>SUM(M14,M40)</f>
      </c>
      <c r="N41" s="66">
        <f>O41/P41</f>
      </c>
      <c r="O41" s="67">
        <f>SUM(O14,O40)</f>
      </c>
      <c r="P41" s="67">
        <f>SUM(P14,P40)</f>
      </c>
      <c r="Q41" s="67">
        <f>SUM(Q14,Q40)</f>
      </c>
      <c r="R41" s="67">
        <f>SUM(R14,R40)</f>
      </c>
      <c r="S41" s="67">
        <f>SUM(S14,S40)</f>
      </c>
      <c r="T41" s="67">
        <f>SUM(T14,T40)</f>
      </c>
      <c r="U41" s="67">
        <f>SUM(U14,U40)</f>
      </c>
      <c r="V41" s="67">
        <f>SUM(V14,V40)</f>
      </c>
      <c r="W41" s="39"/>
      <c r="X41" s="39"/>
      <c r="Y41" s="39"/>
      <c r="Z41" s="39"/>
      <c r="AA41" s="39"/>
      <c r="AB41" s="39"/>
    </row>
    <row r="42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</row>
    <row r="43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</row>
    <row r="44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</row>
    <row r="45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</row>
    <row r="46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</row>
    <row r="47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</row>
    <row r="48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</row>
    <row r="49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</row>
    <row r="50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</row>
    <row r="51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</row>
    <row r="52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</row>
    <row r="53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</row>
    <row r="54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</row>
    <row r="55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</row>
    <row r="5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</row>
    <row r="5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</row>
    <row r="58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</row>
    <row r="59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</row>
    <row r="60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</row>
    <row r="61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</row>
    <row r="62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</row>
    <row r="63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</row>
    <row r="64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</row>
    <row r="65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</row>
    <row r="66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</row>
    <row r="6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</row>
    <row r="68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</row>
    <row r="69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</row>
    <row r="70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</row>
    <row r="71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</row>
    <row r="72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</row>
    <row r="73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</row>
    <row r="74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</row>
    <row r="75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</row>
    <row r="76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</row>
    <row r="7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</row>
    <row r="78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</row>
    <row r="79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</row>
    <row r="80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</row>
    <row r="81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</row>
    <row r="8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</row>
    <row r="83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</row>
    <row r="99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</row>
    <row r="10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</row>
    <row r="10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</row>
    <row r="108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</row>
    <row r="109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</row>
    <row r="1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</row>
    <row r="1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</row>
    <row r="11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</row>
    <row r="114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</row>
    <row r="115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</row>
    <row r="116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</row>
    <row r="11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</row>
    <row r="118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</row>
    <row r="119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</row>
    <row r="12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</row>
    <row r="12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</row>
    <row r="1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</row>
    <row r="124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</row>
    <row r="125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</row>
    <row r="126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</row>
    <row r="1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</row>
    <row r="18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</row>
    <row r="188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</row>
    <row r="189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</row>
    <row r="190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</row>
    <row r="191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</row>
    <row r="19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</row>
    <row r="193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</row>
    <row r="194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</row>
    <row r="195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</row>
    <row r="196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</row>
    <row r="19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</row>
    <row r="198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</row>
    <row r="199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</row>
    <row r="200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</row>
    <row r="20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</row>
    <row r="20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</row>
    <row r="203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</row>
    <row r="204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</row>
    <row r="205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</row>
    <row r="206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</row>
    <row r="20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</row>
    <row r="208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</row>
    <row r="209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</row>
    <row r="210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</row>
    <row r="211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</row>
    <row r="2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</row>
    <row r="213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</row>
    <row r="214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</row>
    <row r="215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</row>
    <row r="216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</row>
    <row r="217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</row>
    <row r="218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</row>
    <row r="219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</row>
    <row r="220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</row>
    <row r="221" ht="15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</row>
    <row r="222" ht="15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</row>
    <row r="223" ht="15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</row>
    <row r="224" ht="15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</row>
    <row r="225" ht="15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</row>
    <row r="226" ht="15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</row>
    <row r="227" ht="15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</row>
    <row r="228" ht="15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</row>
    <row r="229" ht="15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</row>
    <row r="230" ht="15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</row>
    <row r="231" ht="15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</row>
    <row r="232" ht="15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</row>
    <row r="233" ht="15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</row>
    <row r="234" ht="15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</row>
    <row r="235" ht="15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</row>
    <row r="236" ht="15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</row>
    <row r="237" ht="15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</row>
    <row r="238" ht="15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</row>
    <row r="239" ht="15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</row>
    <row r="240" ht="15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</row>
    <row r="241" ht="15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</row>
    <row r="242" ht="15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</row>
    <row r="243" ht="15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</row>
    <row r="244" ht="15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</row>
    <row r="245" ht="15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</row>
    <row r="246" ht="15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</row>
    <row r="247" ht="15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</row>
    <row r="248" ht="15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</row>
    <row r="249" ht="15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</row>
    <row r="250" ht="15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</row>
    <row r="251" ht="15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</row>
    <row r="252" ht="15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</row>
    <row r="253" ht="15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</row>
    <row r="254" ht="15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</row>
    <row r="255" ht="15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</row>
    <row r="256" ht="15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</row>
    <row r="257" ht="15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</row>
    <row r="258" ht="15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</row>
    <row r="259" ht="15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</row>
    <row r="260" ht="15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</row>
    <row r="261" ht="15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</row>
    <row r="262" ht="15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</row>
    <row r="263" ht="15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</row>
    <row r="264" ht="15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</row>
    <row r="265" ht="15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</row>
    <row r="266" ht="15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</row>
    <row r="267" ht="15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</row>
    <row r="268" ht="15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</row>
    <row r="269" ht="15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</row>
    <row r="270" ht="15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</row>
    <row r="271" ht="15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</row>
    <row r="272" ht="15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</row>
    <row r="273" ht="15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</row>
    <row r="274" ht="15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</row>
    <row r="275" ht="15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</row>
    <row r="276" ht="15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</row>
    <row r="277" ht="15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</row>
    <row r="278" ht="15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</row>
    <row r="279" ht="15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</row>
    <row r="280" ht="15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</row>
    <row r="281" ht="15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</row>
    <row r="282" ht="15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</row>
    <row r="283" ht="15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</row>
    <row r="284" ht="15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</row>
    <row r="285" ht="15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</row>
    <row r="286" ht="15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</row>
    <row r="287" ht="15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</row>
    <row r="288" ht="15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</row>
    <row r="289" ht="15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</row>
    <row r="290" ht="15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</row>
    <row r="291" ht="15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</row>
    <row r="292" ht="15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</row>
    <row r="293" ht="15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</row>
    <row r="294" ht="15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</row>
    <row r="295" ht="15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</row>
    <row r="296" ht="15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</row>
    <row r="297" ht="15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</row>
    <row r="298" ht="15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</row>
    <row r="299" ht="15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</row>
    <row r="300" ht="15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</row>
    <row r="301" ht="15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</row>
    <row r="302" ht="15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</row>
    <row r="303" ht="15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</row>
    <row r="304" ht="15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</row>
    <row r="305" ht="15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</row>
    <row r="306" ht="15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</row>
    <row r="307" ht="15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</row>
    <row r="308" ht="15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</row>
    <row r="309" ht="15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</row>
    <row r="310" ht="15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</row>
    <row r="311" ht="15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</row>
    <row r="312" ht="15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</row>
    <row r="313" ht="15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</row>
    <row r="314" ht="15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</row>
    <row r="315" ht="15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</row>
    <row r="316" ht="15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</row>
    <row r="317" ht="15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</row>
    <row r="318" ht="15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</row>
    <row r="319" ht="15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</row>
    <row r="320" ht="15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</row>
    <row r="321" ht="15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</row>
    <row r="322" ht="15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</row>
    <row r="323" ht="15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</row>
    <row r="324" ht="15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</row>
    <row r="325" ht="15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</row>
    <row r="326" ht="15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</row>
    <row r="327" ht="15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</row>
    <row r="328" ht="15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</row>
    <row r="329" ht="15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</row>
    <row r="330" ht="15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</row>
    <row r="331" ht="15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</row>
    <row r="332" ht="15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</row>
    <row r="333" ht="15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</row>
    <row r="334" ht="15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</row>
    <row r="335" ht="15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</row>
    <row r="336" ht="15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</row>
    <row r="337" ht="15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</row>
    <row r="338" ht="15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</row>
    <row r="339" ht="15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</row>
    <row r="340" ht="15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</row>
    <row r="341" ht="15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</row>
    <row r="342" ht="15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</row>
    <row r="343" ht="15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</row>
    <row r="344" ht="15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</row>
    <row r="345" ht="15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</row>
    <row r="346" ht="15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</row>
    <row r="347" ht="15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</row>
    <row r="348" ht="15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</row>
    <row r="349" ht="15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</row>
    <row r="350" ht="15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</row>
    <row r="351" ht="15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</row>
    <row r="352" ht="15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</row>
    <row r="353" ht="15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</row>
    <row r="354" ht="15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</row>
    <row r="355" ht="15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</row>
    <row r="356" ht="15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</row>
    <row r="357" ht="15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</row>
    <row r="358" ht="15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</row>
    <row r="359" ht="15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</row>
    <row r="360" ht="15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</row>
    <row r="361" ht="15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</row>
    <row r="362" ht="15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</row>
    <row r="363" ht="15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</row>
    <row r="364" ht="15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</row>
    <row r="365" ht="15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</row>
    <row r="366" ht="15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</row>
    <row r="367" ht="15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</row>
    <row r="368" ht="15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</row>
    <row r="369" ht="15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</row>
    <row r="370" ht="15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</row>
    <row r="371" ht="15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</row>
    <row r="372" ht="15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</row>
    <row r="373" ht="15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</row>
    <row r="374" ht="15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</row>
    <row r="375" ht="15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</row>
    <row r="376" ht="15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</row>
    <row r="377" ht="15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</row>
    <row r="378" ht="15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</row>
    <row r="379" ht="15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</row>
    <row r="380" ht="15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</row>
    <row r="381" ht="15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</row>
    <row r="382" ht="15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</row>
    <row r="383" ht="15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</row>
    <row r="384" ht="15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</row>
    <row r="385" ht="15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</row>
    <row r="386" ht="15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</row>
    <row r="387" ht="15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</row>
    <row r="388" ht="15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</row>
    <row r="389" ht="15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</row>
    <row r="390" ht="15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</row>
    <row r="391" ht="15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</row>
    <row r="392" ht="15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</row>
    <row r="393" ht="15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</row>
    <row r="394" ht="15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</row>
    <row r="395" ht="15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</row>
    <row r="396" ht="15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</row>
    <row r="397" ht="15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</row>
    <row r="398" ht="15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</row>
    <row r="399" ht="15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</row>
    <row r="400" ht="15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</row>
    <row r="401" ht="15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</row>
    <row r="402" ht="15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</row>
    <row r="403" ht="15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</row>
    <row r="404" ht="15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</row>
    <row r="405" ht="15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</row>
    <row r="406" ht="15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</row>
    <row r="407" ht="15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</row>
    <row r="408" ht="15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</row>
    <row r="409" ht="15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</row>
    <row r="410" ht="15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</row>
    <row r="411" ht="15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</row>
    <row r="412" ht="15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</row>
    <row r="413" ht="15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</row>
    <row r="414" ht="15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</row>
    <row r="415" ht="15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</row>
    <row r="416" ht="15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</row>
    <row r="417" ht="15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</row>
    <row r="418" ht="15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</row>
    <row r="419" ht="15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</row>
    <row r="420" ht="15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</row>
    <row r="421" ht="15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</row>
    <row r="422" ht="15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</row>
    <row r="423" ht="15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</row>
    <row r="424" ht="15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</row>
    <row r="425" ht="15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</row>
    <row r="426" ht="15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</row>
    <row r="427" ht="15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</row>
    <row r="428" ht="15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</row>
    <row r="429" ht="15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</row>
    <row r="430" ht="15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</row>
    <row r="431" ht="15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</row>
    <row r="432" ht="15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</row>
    <row r="433" ht="15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</row>
    <row r="434" ht="15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</row>
    <row r="435" ht="15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</row>
    <row r="436" ht="15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</row>
    <row r="437" ht="15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</row>
    <row r="438" ht="15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</row>
    <row r="439" ht="15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</row>
    <row r="440" ht="15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</row>
    <row r="441" ht="15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</row>
    <row r="442" ht="15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</row>
    <row r="443" ht="15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</row>
    <row r="444" ht="15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</row>
    <row r="445" ht="15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</row>
    <row r="446" ht="15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</row>
    <row r="447" ht="15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</row>
    <row r="448" ht="15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</row>
    <row r="449" ht="15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</row>
    <row r="450" ht="15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</row>
    <row r="451" ht="15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</row>
    <row r="452" ht="15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</row>
    <row r="453" ht="15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</row>
    <row r="454" ht="15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</row>
    <row r="455" ht="15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</row>
    <row r="456" ht="15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</row>
    <row r="457" ht="15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</row>
    <row r="458" ht="15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</row>
    <row r="459" ht="15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</row>
    <row r="460" ht="15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</row>
    <row r="461" ht="15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</row>
    <row r="462" ht="15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</row>
    <row r="463" ht="15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</row>
    <row r="464" ht="15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</row>
    <row r="465" ht="15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</row>
    <row r="466" ht="15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</row>
    <row r="467" ht="15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</row>
    <row r="468" ht="15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</row>
    <row r="469" ht="15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</row>
    <row r="470" ht="15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</row>
    <row r="471" ht="15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</row>
    <row r="472" ht="15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</row>
    <row r="473" ht="15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</row>
    <row r="474" ht="15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</row>
    <row r="475" ht="15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</row>
    <row r="476" ht="15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</row>
    <row r="477" ht="15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</row>
    <row r="478" ht="15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</row>
    <row r="479" ht="15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</row>
    <row r="480" ht="15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</row>
    <row r="481" ht="15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</row>
    <row r="482" ht="15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</row>
    <row r="483" ht="15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</row>
    <row r="484" ht="15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</row>
    <row r="485" ht="15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</row>
    <row r="486" ht="15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</row>
    <row r="487" ht="15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</row>
    <row r="488" ht="15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</row>
    <row r="489" ht="15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</row>
    <row r="490" ht="15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</row>
    <row r="491" ht="15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</row>
    <row r="492" ht="15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</row>
    <row r="493" ht="15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</row>
    <row r="494" ht="15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</row>
    <row r="495" ht="15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</row>
    <row r="496" ht="15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</row>
    <row r="497" ht="15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</row>
    <row r="498" ht="15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</row>
    <row r="499" ht="15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</row>
    <row r="500" ht="15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</row>
    <row r="501" ht="15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</row>
    <row r="502" ht="15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</row>
    <row r="503" ht="15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</row>
    <row r="504" ht="15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</row>
    <row r="505" ht="15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</row>
    <row r="506" ht="15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</row>
    <row r="507" ht="15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</row>
    <row r="508" ht="15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</row>
    <row r="509" ht="15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</row>
    <row r="510" ht="15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</row>
    <row r="511" ht="15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</row>
    <row r="512" ht="15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</row>
    <row r="513" ht="15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</row>
    <row r="514" ht="15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</row>
    <row r="515" ht="15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</row>
    <row r="516" ht="15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</row>
    <row r="517" ht="15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</row>
    <row r="518" ht="15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</row>
    <row r="519" ht="15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</row>
    <row r="520" ht="15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</row>
    <row r="521" ht="15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</row>
    <row r="522" ht="15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</row>
    <row r="523" ht="15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</row>
    <row r="524" ht="15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</row>
    <row r="525" ht="15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</row>
    <row r="526" ht="15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</row>
    <row r="527" ht="15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</row>
    <row r="528" ht="15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</row>
    <row r="529" ht="15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</row>
    <row r="530" ht="15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</row>
    <row r="531" ht="15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</row>
    <row r="532" ht="15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</row>
    <row r="533" ht="15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</row>
    <row r="534" ht="15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</row>
    <row r="535" ht="15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</row>
    <row r="536" ht="15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</row>
    <row r="537" ht="15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</row>
    <row r="538" ht="15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</row>
    <row r="539" ht="15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</row>
    <row r="540" ht="15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</row>
    <row r="541" ht="15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</row>
    <row r="542" ht="15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</row>
    <row r="543" ht="15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</row>
    <row r="544" ht="15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</row>
    <row r="545" ht="15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</row>
    <row r="546" ht="15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</row>
    <row r="547" ht="15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</row>
    <row r="548" ht="15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</row>
    <row r="549" ht="15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</row>
    <row r="550" ht="15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</row>
    <row r="551" ht="15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</row>
    <row r="552" ht="15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</row>
    <row r="553" ht="15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</row>
    <row r="554" ht="15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</row>
    <row r="555" ht="15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</row>
    <row r="556" ht="15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</row>
    <row r="557" ht="15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</row>
    <row r="558" ht="15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</row>
    <row r="559" ht="15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</row>
    <row r="560" ht="15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</row>
    <row r="561" ht="15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</row>
    <row r="562" ht="15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</row>
    <row r="563" ht="15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</row>
    <row r="564" ht="15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</row>
    <row r="565" ht="15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</row>
    <row r="566" ht="15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</row>
    <row r="567" ht="15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</row>
    <row r="568" ht="15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</row>
    <row r="569" ht="15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</row>
    <row r="570" ht="15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</row>
    <row r="571" ht="15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</row>
    <row r="572" ht="15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</row>
    <row r="573" ht="15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</row>
    <row r="574" ht="15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</row>
    <row r="575" ht="15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</row>
    <row r="576" ht="15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</row>
    <row r="577" ht="15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</row>
    <row r="578" ht="15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</row>
    <row r="579" ht="15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</row>
    <row r="580" ht="15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</row>
    <row r="581" ht="15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</row>
    <row r="582" ht="15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</row>
    <row r="583" ht="15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</row>
    <row r="584" ht="15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</row>
    <row r="585" ht="15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</row>
    <row r="586" ht="15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</row>
    <row r="587" ht="15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</row>
    <row r="588" ht="15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</row>
    <row r="589" ht="15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</row>
    <row r="590" ht="15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</row>
    <row r="591" ht="15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</row>
    <row r="592" ht="15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</row>
    <row r="593" ht="15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</row>
    <row r="594" ht="15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</row>
    <row r="595" ht="15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</row>
    <row r="596" ht="15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</row>
    <row r="597" ht="15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</row>
    <row r="598" ht="15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</row>
    <row r="599" ht="15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</row>
    <row r="600" ht="15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</row>
    <row r="601" ht="15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</row>
    <row r="602" ht="15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</row>
    <row r="603" ht="15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</row>
    <row r="604" ht="15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</row>
    <row r="605" ht="15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</row>
    <row r="606" ht="15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</row>
    <row r="607" ht="15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</row>
    <row r="608" ht="15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</row>
    <row r="609" ht="15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</row>
    <row r="610" ht="15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</row>
    <row r="611" ht="15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</row>
    <row r="612" ht="15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</row>
    <row r="613" ht="15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</row>
    <row r="614" ht="15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</row>
    <row r="615" ht="15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</row>
    <row r="616" ht="15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</row>
    <row r="617" ht="15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</row>
    <row r="618" ht="15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</row>
    <row r="619" ht="15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</row>
    <row r="620" ht="15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</row>
    <row r="621" ht="15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</row>
    <row r="622" ht="15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</row>
    <row r="623" ht="15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</row>
    <row r="624" ht="15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</row>
    <row r="625" ht="15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</row>
    <row r="626" ht="15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</row>
    <row r="627" ht="15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</row>
    <row r="628" ht="15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</row>
    <row r="629" ht="15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</row>
    <row r="630" ht="15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</row>
    <row r="631" ht="15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</row>
    <row r="632" ht="15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</row>
    <row r="633" ht="15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</row>
    <row r="634" ht="15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</row>
    <row r="635" ht="15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</row>
    <row r="636" ht="15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</row>
    <row r="637" ht="15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</row>
    <row r="638" ht="15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</row>
    <row r="639" ht="15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</row>
    <row r="640" ht="15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</row>
    <row r="641" ht="15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</row>
    <row r="642" ht="15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</row>
    <row r="643" ht="15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</row>
    <row r="644" ht="15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</row>
    <row r="645" ht="15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</row>
    <row r="646" ht="15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</row>
    <row r="647" ht="15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</row>
    <row r="648" ht="15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</row>
    <row r="649" ht="15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</row>
    <row r="650" ht="15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</row>
    <row r="651" ht="15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</row>
    <row r="652" ht="15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</row>
    <row r="653" ht="15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</row>
    <row r="654" ht="15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</row>
    <row r="655" ht="15.7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</row>
    <row r="656" ht="15.7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</row>
    <row r="657" ht="15.7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</row>
    <row r="658" ht="15.7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</row>
    <row r="659" ht="15.7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</row>
    <row r="660" ht="15.7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</row>
    <row r="661" ht="15.7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</row>
    <row r="662" ht="15.7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</row>
    <row r="663" ht="15.7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</row>
    <row r="664" ht="15.7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</row>
    <row r="665" ht="15.7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</row>
    <row r="666" ht="15.7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</row>
    <row r="667" ht="15.7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</row>
    <row r="668" ht="15.7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</row>
    <row r="669" ht="15.7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</row>
    <row r="670" ht="15.7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</row>
    <row r="671" ht="15.7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</row>
    <row r="672" ht="15.7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</row>
    <row r="673" ht="15.7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</row>
    <row r="674" ht="15.7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</row>
    <row r="675" ht="15.7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</row>
    <row r="676" ht="15.7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</row>
    <row r="677" ht="15.7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</row>
    <row r="678" ht="15.7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</row>
    <row r="679" ht="15.7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</row>
    <row r="680" ht="15.7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</row>
    <row r="681" ht="15.7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</row>
    <row r="682" ht="15.7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</row>
    <row r="683" ht="15.7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</row>
    <row r="684" ht="15.7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</row>
    <row r="685" ht="15.7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</row>
    <row r="686" ht="15.7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</row>
    <row r="687" ht="15.7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</row>
    <row r="688" ht="15.7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</row>
    <row r="689" ht="15.7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</row>
    <row r="690" ht="15.7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</row>
    <row r="691" ht="15.7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</row>
    <row r="692" ht="15.7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</row>
    <row r="693" ht="15.7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</row>
    <row r="694" ht="15.7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</row>
    <row r="695" ht="15.7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</row>
    <row r="696" ht="15.7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</row>
    <row r="697" ht="15.7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</row>
    <row r="698" ht="15.7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</row>
    <row r="699" ht="15.7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</row>
    <row r="700" ht="15.7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</row>
    <row r="701" ht="15.7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</row>
    <row r="702" ht="15.7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</row>
    <row r="703" ht="15.7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</row>
    <row r="704" ht="15.7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</row>
    <row r="705" ht="15.7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</row>
    <row r="706" ht="15.7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</row>
    <row r="707" ht="15.7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</row>
    <row r="708" ht="15.7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</row>
    <row r="709" ht="15.7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</row>
    <row r="710" ht="15.7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</row>
    <row r="711" ht="15.7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</row>
    <row r="712" ht="15.7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</row>
    <row r="713" ht="15.7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</row>
    <row r="714" ht="15.7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</row>
    <row r="715" ht="15.7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</row>
    <row r="716" ht="15.7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</row>
    <row r="717" ht="15.7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</row>
    <row r="718" ht="15.7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</row>
    <row r="719" ht="15.7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</row>
    <row r="720" ht="15.7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</row>
    <row r="721" ht="15.7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</row>
    <row r="722" ht="15.7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</row>
    <row r="723" ht="15.7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</row>
    <row r="724" ht="15.7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</row>
    <row r="725" ht="15.7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</row>
    <row r="726" ht="15.7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</row>
    <row r="727" ht="15.7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</row>
    <row r="728" ht="15.7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</row>
    <row r="729" ht="15.7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</row>
    <row r="730" ht="15.7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</row>
    <row r="731" ht="15.7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</row>
    <row r="732" ht="15.7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</row>
    <row r="733" ht="15.7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</row>
    <row r="734" ht="15.7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</row>
    <row r="735" ht="15.7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</row>
    <row r="736" ht="15.7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</row>
    <row r="737" ht="15.7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</row>
    <row r="738" ht="15.7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</row>
    <row r="739" ht="15.7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</row>
    <row r="740" ht="15.7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</row>
    <row r="741" ht="15.7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</row>
    <row r="742" ht="15.7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</row>
    <row r="743" ht="15.7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</row>
    <row r="744" ht="15.7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</row>
    <row r="745" ht="15.7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</row>
    <row r="746" ht="15.7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</row>
    <row r="747" ht="15.7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</row>
    <row r="748" ht="15.7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</row>
    <row r="749" ht="15.7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</row>
    <row r="750" ht="15.7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</row>
    <row r="751" ht="15.7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</row>
    <row r="752" ht="15.7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</row>
    <row r="753" ht="15.7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</row>
    <row r="754" ht="15.7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</row>
    <row r="755" ht="15.7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</row>
    <row r="756" ht="15.7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</row>
    <row r="757" ht="15.7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</row>
    <row r="758" ht="15.7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</row>
    <row r="759" ht="15.7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</row>
    <row r="760" ht="15.7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</row>
    <row r="761" ht="15.7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</row>
    <row r="762" ht="15.7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</row>
    <row r="763" ht="15.7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</row>
    <row r="764" ht="15.7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</row>
    <row r="765" ht="15.7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</row>
    <row r="766" ht="15.7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</row>
    <row r="767" ht="15.7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</row>
    <row r="768" ht="15.7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</row>
    <row r="769" ht="15.7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</row>
    <row r="770" ht="15.7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</row>
    <row r="771" ht="15.7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</row>
    <row r="772" ht="15.7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</row>
    <row r="773" ht="15.7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</row>
    <row r="774" ht="15.7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</row>
    <row r="775" ht="15.7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</row>
    <row r="776" ht="15.7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</row>
    <row r="777" ht="15.7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</row>
    <row r="778" ht="15.7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</row>
    <row r="779" ht="15.7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</row>
    <row r="780" ht="15.7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</row>
    <row r="781" ht="15.7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</row>
    <row r="782" ht="15.7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</row>
    <row r="783" ht="15.7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</row>
    <row r="784" ht="15.7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</row>
    <row r="785" ht="15.7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</row>
    <row r="786" ht="15.7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</row>
    <row r="787" ht="15.7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</row>
    <row r="788" ht="15.7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</row>
    <row r="789" ht="15.7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</row>
    <row r="790" ht="15.7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</row>
    <row r="791" ht="15.7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</row>
    <row r="792" ht="15.7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</row>
    <row r="793" ht="15.7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</row>
    <row r="794" ht="15.7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</row>
    <row r="795" ht="15.7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</row>
    <row r="796" ht="15.7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</row>
    <row r="797" ht="15.7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</row>
    <row r="798" ht="15.7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</row>
    <row r="799" ht="15.7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</row>
    <row r="800" ht="15.7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</row>
    <row r="801" ht="15.7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</row>
    <row r="802" ht="15.7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</row>
    <row r="803" ht="15.7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</row>
    <row r="804" ht="15.7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</row>
    <row r="805" ht="15.7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</row>
    <row r="806" ht="15.7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</row>
    <row r="807" ht="15.7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</row>
    <row r="808" ht="15.7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</row>
    <row r="809" ht="15.7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</row>
    <row r="810" ht="15.7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</row>
    <row r="811" ht="15.7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</row>
    <row r="812" ht="15.7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</row>
    <row r="813" ht="15.7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</row>
    <row r="814" ht="15.7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</row>
    <row r="815" ht="15.7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</row>
    <row r="816" ht="15.7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</row>
    <row r="817" ht="15.7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</row>
    <row r="818" ht="15.7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</row>
    <row r="819" ht="15.7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</row>
    <row r="820" ht="15.7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</row>
    <row r="821" ht="15.7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</row>
    <row r="822" ht="15.7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</row>
    <row r="823" ht="15.7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</row>
    <row r="824" ht="15.7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</row>
    <row r="825" ht="15.7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</row>
    <row r="826" ht="15.7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</row>
    <row r="827" ht="15.7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</row>
    <row r="828" ht="15.7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</row>
    <row r="829" ht="15.7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</row>
    <row r="830" ht="15.7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</row>
    <row r="831" ht="15.7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</row>
    <row r="832" ht="15.7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</row>
    <row r="833" ht="15.7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</row>
    <row r="834" ht="15.7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</row>
    <row r="835" ht="15.7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</row>
    <row r="836" ht="15.7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</row>
    <row r="837" ht="15.7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</row>
    <row r="838" ht="15.7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</row>
    <row r="839" ht="15.7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</row>
    <row r="840" ht="15.7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</row>
    <row r="841" ht="15.7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</row>
    <row r="842" ht="15.7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</row>
    <row r="843" ht="15.7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</row>
    <row r="844" ht="15.7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</row>
    <row r="845" ht="15.7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</row>
    <row r="846" ht="15.7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</row>
    <row r="847" ht="15.7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</row>
    <row r="848" ht="15.7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</row>
    <row r="849" ht="15.7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</row>
    <row r="850" ht="15.7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</row>
    <row r="851" ht="15.7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</row>
    <row r="852" ht="15.7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</row>
    <row r="853" ht="15.7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</row>
    <row r="854" ht="15.7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</row>
    <row r="855" ht="15.7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</row>
    <row r="856" ht="15.7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</row>
    <row r="857" ht="15.7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</row>
    <row r="858" ht="15.7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</row>
    <row r="859" ht="15.7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</row>
    <row r="860" ht="15.7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</row>
    <row r="861" ht="15.7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</row>
    <row r="862" ht="15.7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</row>
    <row r="863" ht="15.7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</row>
    <row r="864" ht="15.7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</row>
    <row r="865" ht="15.7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</row>
    <row r="866" ht="15.7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</row>
    <row r="867" ht="15.7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</row>
    <row r="868" ht="15.7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</row>
    <row r="869" ht="15.7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</row>
    <row r="870" ht="15.7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</row>
    <row r="871" ht="15.7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</row>
    <row r="872" ht="15.7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</row>
    <row r="873" ht="15.7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</row>
    <row r="874" ht="15.7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</row>
    <row r="875" ht="15.7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</row>
    <row r="876" ht="15.7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</row>
    <row r="877" ht="15.7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</row>
    <row r="878" ht="15.7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</row>
    <row r="879" ht="15.7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</row>
    <row r="880" ht="15.7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</row>
    <row r="881" ht="15.7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</row>
    <row r="882" ht="15.7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</row>
    <row r="883" ht="15.7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</row>
    <row r="884" ht="15.7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</row>
    <row r="885" ht="15.7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</row>
    <row r="886" ht="15.7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</row>
    <row r="887" ht="15.7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</row>
    <row r="888" ht="15.7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</row>
    <row r="889" ht="15.7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</row>
    <row r="890" ht="15.7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</row>
    <row r="891" ht="15.7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</row>
    <row r="892" ht="15.7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</row>
    <row r="893" ht="15.7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</row>
    <row r="894" ht="15.7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</row>
    <row r="895" ht="15.7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</row>
    <row r="896" ht="15.7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</row>
    <row r="897" ht="15.7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</row>
    <row r="898" ht="15.7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</row>
    <row r="899" ht="15.7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</row>
    <row r="900" ht="15.7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</row>
    <row r="901" ht="15.7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</row>
    <row r="902" ht="15.7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</row>
    <row r="903" ht="15.7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</row>
    <row r="904" ht="15.7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</row>
    <row r="905" ht="15.7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</row>
    <row r="906" ht="15.7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</row>
    <row r="907" ht="15.7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</row>
    <row r="908" ht="15.7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</row>
    <row r="909" ht="15.7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</row>
    <row r="910" ht="15.7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</row>
    <row r="911" ht="15.7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</row>
    <row r="912" ht="15.7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</row>
    <row r="913" ht="15.7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</row>
    <row r="914" ht="15.7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</row>
    <row r="915" ht="15.7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</row>
    <row r="916" ht="15.7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</row>
    <row r="917" ht="15.7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</row>
    <row r="918" ht="15.7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</row>
    <row r="919" ht="15.7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</row>
    <row r="920" ht="15.7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</row>
    <row r="921" ht="15.7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</row>
    <row r="922" ht="15.7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</row>
    <row r="923" ht="15.7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</row>
    <row r="924" ht="15.7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</row>
    <row r="925" ht="15.7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</row>
    <row r="926" ht="15.7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</row>
    <row r="927" ht="15.7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</row>
    <row r="928" ht="15.7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</row>
    <row r="929" ht="15.7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</row>
    <row r="930" ht="15.7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</row>
    <row r="931" ht="15.7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</row>
    <row r="932" ht="15.7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</row>
    <row r="933" ht="15.7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</row>
    <row r="934" ht="15.7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</row>
    <row r="935" ht="15.7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</row>
    <row r="936" ht="15.7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</row>
    <row r="937" ht="15.7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</row>
    <row r="938" ht="15.7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</row>
    <row r="939" ht="15.7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</row>
    <row r="940" ht="15.7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</row>
    <row r="941" ht="15.7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</row>
    <row r="942" ht="15.7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</row>
    <row r="943" ht="15.7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</row>
    <row r="944" ht="15.7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</row>
    <row r="945" ht="15.7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</row>
    <row r="946" ht="15.7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</row>
    <row r="947" ht="15.7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</row>
    <row r="948" ht="15.7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</row>
    <row r="949" ht="15.7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</row>
    <row r="950" ht="15.7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</row>
    <row r="951" ht="15.7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</row>
    <row r="952" ht="15.7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</row>
    <row r="953" ht="15.7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</row>
    <row r="954" ht="15.7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</row>
    <row r="955" ht="15.7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</row>
    <row r="956" ht="15.7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</row>
    <row r="957" ht="15.7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</row>
    <row r="958" ht="15.7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</row>
    <row r="959" ht="15.7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</row>
    <row r="960" ht="15.7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</row>
    <row r="961" ht="15.7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</row>
    <row r="962" ht="15.7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</row>
    <row r="963" ht="15.7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</row>
    <row r="964" ht="15.7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</row>
    <row r="965" ht="15.7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</row>
    <row r="966" ht="15.7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</row>
    <row r="967" ht="15.7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</row>
    <row r="968" ht="15.7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</row>
    <row r="969" ht="15.7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</row>
    <row r="970" ht="15.7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</row>
    <row r="971" ht="15.7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</row>
    <row r="972" ht="15.7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</row>
    <row r="973" ht="15.7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</row>
    <row r="974" ht="15.7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</row>
    <row r="975" ht="15.7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</row>
    <row r="976" ht="15.7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</row>
    <row r="977" ht="15.7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</row>
    <row r="978" ht="15.7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</row>
    <row r="979" ht="15.7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</row>
    <row r="980" ht="15.7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</row>
    <row r="981" ht="15.7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</row>
    <row r="982" ht="15.7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</row>
    <row r="983" ht="15.7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</row>
    <row r="984" ht="15.7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</row>
    <row r="985" ht="15.7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</row>
    <row r="986" ht="15.7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</row>
    <row r="987" ht="15.7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</row>
    <row r="988" ht="15.7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</row>
    <row r="989" ht="15.7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</row>
    <row r="990" ht="15.7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</row>
    <row r="991" ht="15.7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</row>
    <row r="992" ht="15.7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</row>
    <row r="993" ht="15.7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</row>
    <row r="994" ht="15.7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</row>
    <row r="995" ht="15.7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</row>
    <row r="996" ht="15.7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</row>
    <row r="997" ht="15.7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</row>
    <row r="998" ht="15.7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</row>
    <row r="999" ht="15.7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</row>
    <row r="1000" ht="15.7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</row>
    <row r="1001" ht="15.75" customHeight="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  <c r="AA1001" s="39"/>
      <c r="AB1001" s="39"/>
    </row>
    <row r="1002" ht="15.75" customHeight="1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  <c r="AB1002" s="39"/>
    </row>
    <row r="1003" ht="15.75" customHeight="1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  <c r="AA1003" s="39"/>
      <c r="AB1003" s="39"/>
    </row>
    <row r="1004" ht="15.75" customHeight="1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  <c r="AA1004" s="39"/>
      <c r="AB1004" s="39"/>
    </row>
  </sheetData>
  <mergeCells count="4">
    <mergeCell ref="E2:M2"/>
    <mergeCell ref="N2:V2"/>
    <mergeCell ref="B4:B14"/>
    <mergeCell ref="B15:B40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26" zoomScale="100" workbookViewId="0">
      <selection activeCell="D76" activeCellId="0" sqref="D76"/>
    </sheetView>
  </sheetViews>
  <sheetFormatPr baseColWidth="8" defaultColWidth="12.5703125" defaultRowHeight="15" customHeight="1"/>
  <cols>
    <col customWidth="1" min="1" max="1" style="69" width="4.140625"/>
    <col customWidth="1" min="2" max="3" style="68" width="22.85546875"/>
    <col customWidth="1" min="4" max="4" style="68" width="14.42578125"/>
    <col customWidth="1" min="5" max="5" style="68" width="21.7109375"/>
    <col customWidth="1" min="6" max="6" style="68" width="9.5703125"/>
    <col customWidth="1" min="7" max="7" style="68" width="9.421875"/>
    <col customWidth="1" min="8" max="8" style="68" width="31.85546875"/>
    <col customWidth="1" min="9" max="9" style="68" width="21.5703125"/>
    <col customWidth="1" min="10" max="10" style="68" width="46.42578125"/>
    <col customWidth="1" min="11" max="11" style="68" width="34.42578125"/>
    <col customWidth="1" min="12" max="12" style="68" width="10.28515625"/>
    <col customWidth="1" min="13" max="16" style="68" width="9.5703125"/>
    <col customWidth="1" min="17" max="17" style="68" width="13.42578125"/>
    <col customWidth="1" min="18" max="19" style="68" width="9.5703125"/>
    <col customWidth="1" min="20" max="20" style="68" width="11.7109375"/>
    <col customWidth="1" min="21" max="21" style="68" width="9.5703125"/>
    <col customWidth="1" min="22" max="22" style="68" width="17.7109375"/>
    <col customWidth="1" min="23" max="23" style="68" width="34"/>
    <col customWidth="1" min="24" max="24" style="68" width="22.7109375"/>
    <col customWidth="1" min="25" max="29" style="68" width="34"/>
    <col min="30" max="16384" style="68" width="12.5703125"/>
  </cols>
  <sheetData>
    <row r="1" ht="15.75" customHeight="1">
      <c r="A1" s="70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2"/>
      <c r="Q1" s="71"/>
      <c r="R1" s="71"/>
      <c r="S1" s="71"/>
      <c r="T1" s="71"/>
      <c r="U1" s="71"/>
      <c r="V1" s="71"/>
      <c r="W1" s="73"/>
      <c r="X1" s="73"/>
      <c r="Y1" s="73"/>
      <c r="Z1" s="73"/>
      <c r="AA1" s="73"/>
      <c r="AB1" s="73"/>
      <c r="AC1" s="73"/>
    </row>
    <row r="2" ht="15.75" customHeight="1">
      <c r="A2" s="70"/>
      <c r="B2" s="71"/>
      <c r="C2" s="71"/>
      <c r="D2" s="71"/>
      <c r="E2" s="71"/>
      <c r="F2" s="71"/>
      <c r="G2" s="71"/>
      <c r="H2" s="71"/>
      <c r="I2" s="71"/>
      <c r="J2" s="71"/>
      <c r="K2" s="71"/>
      <c r="T2" s="71"/>
      <c r="U2" s="71"/>
      <c r="V2" s="71"/>
      <c r="W2" s="73"/>
      <c r="X2" s="73"/>
      <c r="Y2" s="73"/>
      <c r="Z2" s="73"/>
      <c r="AA2" s="73"/>
      <c r="AB2" s="73"/>
      <c r="AC2" s="73"/>
    </row>
    <row r="3" ht="15.75" customHeight="1">
      <c r="A3" s="70"/>
      <c r="B3" s="74" t="s">
        <v>76</v>
      </c>
      <c r="C3" s="75" t="s">
        <v>77</v>
      </c>
      <c r="D3" s="76"/>
      <c r="E3" s="77"/>
      <c r="F3" s="71"/>
      <c r="G3" s="71"/>
      <c r="H3" s="71"/>
      <c r="I3" s="71"/>
      <c r="J3" s="71"/>
      <c r="K3" s="74" t="s">
        <v>78</v>
      </c>
      <c r="L3" s="78" t="s">
        <v>29</v>
      </c>
      <c r="M3" s="78" t="s">
        <v>30</v>
      </c>
      <c r="N3" s="78" t="s">
        <v>31</v>
      </c>
      <c r="O3" s="78" t="s">
        <v>32</v>
      </c>
      <c r="P3" s="79" t="s">
        <v>33</v>
      </c>
      <c r="Q3" s="78" t="s">
        <v>34</v>
      </c>
      <c r="R3" s="78" t="s">
        <v>35</v>
      </c>
      <c r="S3" s="71"/>
      <c r="T3" s="71"/>
      <c r="U3" s="71"/>
      <c r="V3" s="71"/>
      <c r="W3" s="73"/>
      <c r="X3" s="73"/>
      <c r="Y3" s="73"/>
      <c r="Z3" s="73"/>
      <c r="AA3" s="73"/>
      <c r="AB3" s="73"/>
      <c r="AC3" s="73"/>
    </row>
    <row r="4" ht="15.75" customHeight="1">
      <c r="A4" s="70"/>
      <c r="B4" s="74" t="s">
        <v>79</v>
      </c>
      <c r="C4" s="80" t="s">
        <v>80</v>
      </c>
      <c r="D4" s="81"/>
      <c r="E4" s="77"/>
      <c r="F4" s="71"/>
      <c r="G4" s="71"/>
      <c r="H4" s="71"/>
      <c r="I4" s="71"/>
      <c r="J4" s="71"/>
      <c r="K4" s="74" t="s">
        <v>81</v>
      </c>
      <c r="L4" s="82">
        <f>COUNTA($G$13:$G$112)</f>
      </c>
      <c r="M4" s="83">
        <f>COUNTIF($M$13:$M941,M3)</f>
      </c>
      <c r="N4" s="83">
        <f>COUNTIF($M$13:$M941,N3)</f>
      </c>
      <c r="O4" s="83">
        <f>COUNTIF($M$13:$M941,O3)</f>
      </c>
      <c r="P4" s="84">
        <f>COUNTIF($M$13:$M941,P3)</f>
      </c>
      <c r="Q4" s="83">
        <f>COUNTIF($M$13:$M941,Q3)</f>
      </c>
      <c r="R4" s="83">
        <f>L4-SUM(M4:Q4)</f>
      </c>
      <c r="S4" s="85"/>
      <c r="T4" s="71"/>
      <c r="U4" s="71"/>
      <c r="V4" s="71"/>
      <c r="W4" s="73"/>
      <c r="X4" s="73"/>
      <c r="Y4" s="73"/>
      <c r="Z4" s="73"/>
      <c r="AA4" s="73"/>
      <c r="AB4" s="73"/>
      <c r="AC4" s="73"/>
    </row>
    <row r="5" ht="15.75" customHeight="1">
      <c r="A5" s="70"/>
      <c r="B5" s="74" t="s">
        <v>3</v>
      </c>
      <c r="C5" s="80" t="s">
        <v>82</v>
      </c>
      <c r="D5" s="81"/>
      <c r="E5" s="77"/>
      <c r="F5" s="71"/>
      <c r="G5" s="71"/>
      <c r="H5" s="71"/>
      <c r="I5" s="71"/>
      <c r="J5" s="71"/>
      <c r="K5" s="86"/>
      <c r="L5" s="86"/>
      <c r="M5" s="87">
        <f>M4/$L$4</f>
      </c>
      <c r="N5" s="87">
        <f>N4/$L$4</f>
      </c>
      <c r="O5" s="87">
        <f>O4/$L$4</f>
      </c>
      <c r="P5" s="88">
        <f>P4/$L$4</f>
      </c>
      <c r="Q5" s="87">
        <f>Q4/$L$4</f>
      </c>
      <c r="R5" s="87">
        <f>R4/$L$4</f>
      </c>
      <c r="S5" s="71"/>
      <c r="T5" s="71"/>
      <c r="U5" s="71"/>
      <c r="V5" s="71"/>
      <c r="W5" s="73"/>
      <c r="X5" s="73"/>
      <c r="Y5" s="73"/>
      <c r="Z5" s="73"/>
      <c r="AA5" s="73"/>
      <c r="AB5" s="73"/>
      <c r="AC5" s="73"/>
    </row>
    <row r="6" ht="15.75" customHeight="1">
      <c r="A6" s="70"/>
      <c r="B6" s="74" t="s">
        <v>83</v>
      </c>
      <c r="C6" s="89" t="s">
        <v>84</v>
      </c>
      <c r="D6" s="81"/>
      <c r="E6" s="77"/>
      <c r="F6" s="71"/>
      <c r="G6" s="71"/>
      <c r="H6" s="71"/>
      <c r="I6" s="71"/>
      <c r="J6" s="71"/>
      <c r="K6" s="90" t="s">
        <v>85</v>
      </c>
      <c r="L6" s="91">
        <f>COUNTA($G$13:$G$112)</f>
      </c>
      <c r="M6" s="92">
        <f>COUNTIF($R$13:$R$115,M3)</f>
      </c>
      <c r="N6" s="92">
        <f>COUNTIF($R$13:$R$115,N3)</f>
      </c>
      <c r="O6" s="92">
        <f>COUNTIF($R$13:$R$115,O3)</f>
      </c>
      <c r="P6" s="93">
        <f>COUNTIF($R$13:$R$115,P3)</f>
      </c>
      <c r="Q6" s="92">
        <f>COUNTIF($R$13:$R$115,Q3)</f>
      </c>
      <c r="R6" s="92">
        <f>L6-SUM(M6:Q6)</f>
      </c>
      <c r="S6" s="85"/>
      <c r="T6" s="71"/>
      <c r="U6" s="71"/>
      <c r="V6" s="71"/>
      <c r="W6" s="73"/>
      <c r="X6" s="73"/>
      <c r="Y6" s="73"/>
      <c r="Z6" s="73"/>
      <c r="AA6" s="73"/>
      <c r="AB6" s="73"/>
      <c r="AC6" s="73"/>
    </row>
    <row r="7" ht="15.75" customHeight="1">
      <c r="A7" s="70"/>
      <c r="B7" s="74" t="s">
        <v>17</v>
      </c>
      <c r="C7" s="94" t="s">
        <v>86</v>
      </c>
      <c r="D7" s="95"/>
      <c r="E7" s="77"/>
      <c r="F7" s="71"/>
      <c r="G7" s="71"/>
      <c r="H7" s="71"/>
      <c r="I7" s="71"/>
      <c r="J7" s="71"/>
      <c r="K7" s="86"/>
      <c r="L7" s="86"/>
      <c r="M7" s="96">
        <f>M6/$L$6</f>
      </c>
      <c r="N7" s="96">
        <f>N6/$L$6</f>
      </c>
      <c r="O7" s="96">
        <f>O6/$L$6</f>
      </c>
      <c r="P7" s="97">
        <f>P6/$L$6</f>
      </c>
      <c r="Q7" s="96">
        <f>Q6/$L$6</f>
      </c>
      <c r="R7" s="96">
        <f>R6/$L$6</f>
      </c>
      <c r="S7" s="71"/>
      <c r="T7" s="71"/>
      <c r="U7" s="71"/>
      <c r="V7" s="71"/>
      <c r="W7" s="73"/>
      <c r="X7" s="73"/>
      <c r="Y7" s="73"/>
      <c r="Z7" s="73"/>
      <c r="AA7" s="73"/>
      <c r="AB7" s="73"/>
      <c r="AC7" s="73"/>
    </row>
    <row r="8" ht="15.75" customHeight="1">
      <c r="A8" s="70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2"/>
      <c r="Q8" s="71"/>
      <c r="R8" s="71"/>
      <c r="S8" s="71"/>
      <c r="T8" s="71"/>
      <c r="U8" s="71"/>
      <c r="V8" s="71"/>
      <c r="W8" s="73"/>
      <c r="X8" s="73"/>
      <c r="Y8" s="73"/>
      <c r="Z8" s="73"/>
      <c r="AA8" s="73"/>
      <c r="AB8" s="73"/>
      <c r="AC8" s="73"/>
    </row>
    <row r="9" ht="15.75" customHeight="1">
      <c r="A9" s="70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2"/>
      <c r="Q9" s="71"/>
      <c r="R9" s="71"/>
      <c r="S9" s="71"/>
      <c r="T9" s="71"/>
      <c r="U9" s="71"/>
      <c r="V9" s="71"/>
      <c r="W9" s="73"/>
      <c r="X9" s="73"/>
      <c r="Y9" s="73"/>
      <c r="Z9" s="73"/>
      <c r="AA9" s="73"/>
      <c r="AB9" s="73"/>
      <c r="AC9" s="73"/>
    </row>
    <row r="10" ht="15.75" customHeight="1">
      <c r="A10" s="70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4" t="s">
        <v>81</v>
      </c>
      <c r="N10" s="98"/>
      <c r="O10" s="98"/>
      <c r="P10" s="98"/>
      <c r="Q10" s="99"/>
      <c r="R10" s="90" t="s">
        <v>85</v>
      </c>
      <c r="S10" s="98"/>
      <c r="T10" s="98"/>
      <c r="U10" s="98"/>
      <c r="V10" s="99"/>
      <c r="W10" s="73"/>
      <c r="X10" s="73"/>
      <c r="Y10" s="73"/>
      <c r="Z10" s="73"/>
      <c r="AA10" s="73"/>
      <c r="AB10" s="73"/>
      <c r="AC10" s="73"/>
    </row>
    <row r="11" ht="15.75" customHeight="1">
      <c r="A11" s="100"/>
      <c r="B11" s="78" t="s">
        <v>87</v>
      </c>
      <c r="C11" s="98"/>
      <c r="D11" s="99"/>
      <c r="E11" s="78"/>
      <c r="F11" s="101" t="s">
        <v>88</v>
      </c>
      <c r="G11" s="101" t="s">
        <v>89</v>
      </c>
      <c r="H11" s="101" t="s">
        <v>90</v>
      </c>
      <c r="I11" s="101" t="s">
        <v>91</v>
      </c>
      <c r="J11" s="101" t="s">
        <v>92</v>
      </c>
      <c r="K11" s="101" t="s">
        <v>93</v>
      </c>
      <c r="L11" s="101" t="s">
        <v>94</v>
      </c>
      <c r="M11" s="101" t="s">
        <v>95</v>
      </c>
      <c r="N11" s="101" t="s">
        <v>96</v>
      </c>
      <c r="O11" s="101" t="s">
        <v>97</v>
      </c>
      <c r="P11" s="102" t="s">
        <v>98</v>
      </c>
      <c r="Q11" s="101" t="s">
        <v>99</v>
      </c>
      <c r="R11" s="103" t="s">
        <v>95</v>
      </c>
      <c r="S11" s="103" t="s">
        <v>96</v>
      </c>
      <c r="T11" s="103" t="s">
        <v>97</v>
      </c>
      <c r="U11" s="103" t="s">
        <v>98</v>
      </c>
      <c r="V11" s="103" t="s">
        <v>99</v>
      </c>
      <c r="W11" s="101" t="s">
        <v>1117</v>
      </c>
      <c r="X11" s="101" t="s">
        <v>101</v>
      </c>
      <c r="Y11" s="73"/>
      <c r="Z11" s="73"/>
      <c r="AA11" s="73"/>
      <c r="AB11" s="73"/>
      <c r="AC11" s="73"/>
    </row>
    <row r="12" ht="15.75" customHeight="1">
      <c r="A12" s="100" t="s">
        <v>102</v>
      </c>
      <c r="B12" s="101" t="s">
        <v>103</v>
      </c>
      <c r="C12" s="101" t="s">
        <v>104</v>
      </c>
      <c r="D12" s="101" t="s">
        <v>105</v>
      </c>
      <c r="E12" s="101" t="s">
        <v>106</v>
      </c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73"/>
      <c r="Z12" s="73"/>
      <c r="AA12" s="73"/>
      <c r="AB12" s="73"/>
      <c r="AC12" s="73"/>
    </row>
    <row r="13" ht="34" customHeight="1">
      <c r="A13" s="107">
        <v>1</v>
      </c>
      <c r="B13" s="108" t="s">
        <v>107</v>
      </c>
      <c r="C13" s="108" t="s">
        <v>108</v>
      </c>
      <c r="D13" s="108" t="s">
        <v>109</v>
      </c>
      <c r="E13" s="80" t="s">
        <v>110</v>
      </c>
      <c r="F13" s="80" t="s">
        <v>111</v>
      </c>
      <c r="G13" s="80" t="s">
        <v>112</v>
      </c>
      <c r="H13" s="80" t="s">
        <v>113</v>
      </c>
      <c r="I13" s="80" t="s">
        <v>110</v>
      </c>
      <c r="J13" s="80" t="s">
        <v>114</v>
      </c>
      <c r="K13" s="80" t="s">
        <v>115</v>
      </c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 t="s">
        <v>116</v>
      </c>
      <c r="Y13" s="77"/>
      <c r="Z13" s="77"/>
      <c r="AA13" s="77"/>
      <c r="AB13" s="77"/>
      <c r="AC13" s="73"/>
    </row>
    <row r="14" ht="34" customHeight="1">
      <c r="A14" s="107">
        <v>2</v>
      </c>
      <c r="B14" s="108"/>
      <c r="C14" s="108"/>
      <c r="D14" s="108"/>
      <c r="E14" s="80" t="s">
        <v>117</v>
      </c>
      <c r="F14" s="80" t="s">
        <v>118</v>
      </c>
      <c r="G14" s="80" t="s">
        <v>119</v>
      </c>
      <c r="H14" s="80" t="s">
        <v>120</v>
      </c>
      <c r="I14" s="80" t="s">
        <v>121</v>
      </c>
      <c r="J14" s="80" t="s">
        <v>122</v>
      </c>
      <c r="K14" s="113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112" t="s">
        <v>123</v>
      </c>
      <c r="X14" s="80" t="s">
        <v>116</v>
      </c>
      <c r="Y14" s="77"/>
      <c r="Z14" s="77"/>
      <c r="AA14" s="77"/>
      <c r="AB14" s="77"/>
      <c r="AC14" s="73"/>
    </row>
    <row r="15" ht="34" customHeight="1">
      <c r="A15" s="107">
        <v>3</v>
      </c>
      <c r="B15" s="108"/>
      <c r="C15" s="109"/>
      <c r="D15" s="109"/>
      <c r="E15" s="80" t="s">
        <v>124</v>
      </c>
      <c r="F15" s="80" t="s">
        <v>111</v>
      </c>
      <c r="G15" s="80" t="s">
        <v>125</v>
      </c>
      <c r="H15" s="80" t="s">
        <v>126</v>
      </c>
      <c r="I15" s="80" t="s">
        <v>110</v>
      </c>
      <c r="J15" s="80" t="s">
        <v>127</v>
      </c>
      <c r="K15" s="80" t="s">
        <v>128</v>
      </c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112" t="s">
        <v>129</v>
      </c>
      <c r="X15" s="80" t="s">
        <v>130</v>
      </c>
      <c r="Y15" s="77"/>
      <c r="Z15" s="77"/>
      <c r="AA15" s="77"/>
      <c r="AB15" s="77"/>
      <c r="AC15" s="73"/>
    </row>
    <row r="16" ht="34" customHeight="1">
      <c r="A16" s="107">
        <v>4</v>
      </c>
      <c r="B16" s="108"/>
      <c r="C16" s="108" t="s">
        <v>131</v>
      </c>
      <c r="D16" s="80" t="s">
        <v>132</v>
      </c>
      <c r="E16" s="80" t="s">
        <v>133</v>
      </c>
      <c r="F16" s="80" t="s">
        <v>134</v>
      </c>
      <c r="G16" s="80" t="s">
        <v>135</v>
      </c>
      <c r="H16" s="80" t="s">
        <v>136</v>
      </c>
      <c r="I16" s="80" t="s">
        <v>137</v>
      </c>
      <c r="J16" s="80" t="s">
        <v>138</v>
      </c>
      <c r="K16" s="80" t="s">
        <v>139</v>
      </c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 t="s">
        <v>116</v>
      </c>
      <c r="Y16" s="77"/>
      <c r="Z16" s="77"/>
      <c r="AA16" s="77"/>
      <c r="AB16" s="77"/>
      <c r="AC16" s="73"/>
    </row>
    <row r="17" ht="34" customHeight="1">
      <c r="A17" s="107">
        <v>5</v>
      </c>
      <c r="B17" s="108"/>
      <c r="C17" s="108"/>
      <c r="D17" s="108" t="s">
        <v>140</v>
      </c>
      <c r="E17" s="80" t="s">
        <v>141</v>
      </c>
      <c r="F17" s="80" t="s">
        <v>134</v>
      </c>
      <c r="G17" s="80" t="s">
        <v>142</v>
      </c>
      <c r="H17" s="80" t="s">
        <v>143</v>
      </c>
      <c r="I17" s="80" t="s">
        <v>137</v>
      </c>
      <c r="J17" s="80" t="s">
        <v>144</v>
      </c>
      <c r="K17" s="80" t="s">
        <v>145</v>
      </c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 t="s">
        <v>116</v>
      </c>
      <c r="Y17" s="77"/>
      <c r="Z17" s="77"/>
      <c r="AA17" s="77"/>
      <c r="AB17" s="77"/>
      <c r="AC17" s="73"/>
    </row>
    <row r="18" ht="34" customHeight="1">
      <c r="A18" s="107">
        <v>6</v>
      </c>
      <c r="B18" s="108"/>
      <c r="C18" s="108"/>
      <c r="D18" s="108"/>
      <c r="E18" s="80" t="s">
        <v>146</v>
      </c>
      <c r="F18" s="80" t="s">
        <v>134</v>
      </c>
      <c r="G18" s="80" t="s">
        <v>147</v>
      </c>
      <c r="H18" s="80" t="s">
        <v>148</v>
      </c>
      <c r="I18" s="80" t="s">
        <v>137</v>
      </c>
      <c r="J18" s="80" t="s">
        <v>149</v>
      </c>
      <c r="K18" s="113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112" t="s">
        <v>150</v>
      </c>
      <c r="X18" s="80" t="s">
        <v>116</v>
      </c>
      <c r="Y18" s="77"/>
      <c r="Z18" s="77"/>
      <c r="AA18" s="77"/>
      <c r="AB18" s="77"/>
      <c r="AC18" s="73"/>
    </row>
    <row r="19" ht="34" customHeight="1">
      <c r="A19" s="107">
        <v>7</v>
      </c>
      <c r="B19" s="108"/>
      <c r="C19" s="109"/>
      <c r="D19" s="109"/>
      <c r="E19" s="80" t="s">
        <v>151</v>
      </c>
      <c r="F19" s="80" t="s">
        <v>134</v>
      </c>
      <c r="G19" s="80" t="s">
        <v>152</v>
      </c>
      <c r="H19" s="80" t="s">
        <v>153</v>
      </c>
      <c r="I19" s="80" t="s">
        <v>137</v>
      </c>
      <c r="J19" s="80" t="s">
        <v>154</v>
      </c>
      <c r="K19" s="113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112" t="s">
        <v>155</v>
      </c>
      <c r="X19" s="80" t="s">
        <v>116</v>
      </c>
      <c r="Y19" s="77"/>
      <c r="Z19" s="77"/>
      <c r="AA19" s="77"/>
      <c r="AB19" s="77"/>
      <c r="AC19" s="73"/>
    </row>
    <row r="20" ht="34" customHeight="1">
      <c r="A20" s="107">
        <v>8</v>
      </c>
      <c r="B20" s="108"/>
      <c r="C20" s="108" t="s">
        <v>156</v>
      </c>
      <c r="D20" s="108" t="s">
        <v>157</v>
      </c>
      <c r="E20" s="80" t="s">
        <v>158</v>
      </c>
      <c r="F20" s="80" t="s">
        <v>118</v>
      </c>
      <c r="G20" s="80" t="s">
        <v>159</v>
      </c>
      <c r="H20" s="80" t="s">
        <v>160</v>
      </c>
      <c r="I20" s="80" t="s">
        <v>137</v>
      </c>
      <c r="J20" s="80" t="s">
        <v>161</v>
      </c>
      <c r="K20" s="80" t="s">
        <v>162</v>
      </c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112" t="s">
        <v>163</v>
      </c>
      <c r="X20" s="80" t="s">
        <v>116</v>
      </c>
      <c r="Y20" s="77"/>
      <c r="Z20" s="77"/>
      <c r="AA20" s="77"/>
      <c r="AB20" s="77"/>
      <c r="AC20" s="73"/>
    </row>
    <row r="21" ht="34" customHeight="1">
      <c r="A21" s="107">
        <v>9</v>
      </c>
      <c r="B21" s="108"/>
      <c r="C21" s="108"/>
      <c r="D21" s="108"/>
      <c r="E21" s="80" t="s">
        <v>164</v>
      </c>
      <c r="F21" s="80" t="s">
        <v>118</v>
      </c>
      <c r="G21" s="80" t="s">
        <v>165</v>
      </c>
      <c r="H21" s="80" t="s">
        <v>166</v>
      </c>
      <c r="I21" s="80" t="s">
        <v>137</v>
      </c>
      <c r="J21" s="80" t="s">
        <v>167</v>
      </c>
      <c r="K21" s="113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112" t="s">
        <v>168</v>
      </c>
      <c r="X21" s="80" t="s">
        <v>116</v>
      </c>
      <c r="Y21" s="77"/>
      <c r="Z21" s="77"/>
      <c r="AA21" s="77"/>
      <c r="AB21" s="77"/>
      <c r="AC21" s="73"/>
    </row>
    <row r="22" ht="34" customHeight="1">
      <c r="A22" s="107">
        <v>10</v>
      </c>
      <c r="B22" s="108"/>
      <c r="C22" s="108"/>
      <c r="D22" s="108"/>
      <c r="E22" s="80" t="s">
        <v>169</v>
      </c>
      <c r="F22" s="80" t="s">
        <v>118</v>
      </c>
      <c r="G22" s="80" t="s">
        <v>170</v>
      </c>
      <c r="H22" s="80" t="s">
        <v>171</v>
      </c>
      <c r="I22" s="80" t="s">
        <v>137</v>
      </c>
      <c r="J22" s="80" t="s">
        <v>172</v>
      </c>
      <c r="K22" s="113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112" t="s">
        <v>173</v>
      </c>
      <c r="X22" s="80" t="s">
        <v>116</v>
      </c>
      <c r="Y22" s="77"/>
      <c r="Z22" s="77"/>
      <c r="AA22" s="77"/>
      <c r="AB22" s="77"/>
      <c r="AC22" s="73"/>
    </row>
    <row r="23" ht="34" customHeight="1">
      <c r="A23" s="107">
        <v>11</v>
      </c>
      <c r="B23" s="108"/>
      <c r="C23" s="109"/>
      <c r="D23" s="109"/>
      <c r="E23" s="80" t="s">
        <v>174</v>
      </c>
      <c r="F23" s="80" t="s">
        <v>134</v>
      </c>
      <c r="G23" s="80" t="s">
        <v>175</v>
      </c>
      <c r="H23" s="80" t="s">
        <v>176</v>
      </c>
      <c r="I23" s="80" t="s">
        <v>137</v>
      </c>
      <c r="J23" s="80" t="s">
        <v>177</v>
      </c>
      <c r="K23" s="113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112" t="s">
        <v>178</v>
      </c>
      <c r="X23" s="80" t="s">
        <v>116</v>
      </c>
      <c r="Y23" s="77"/>
      <c r="Z23" s="77"/>
      <c r="AA23" s="77"/>
      <c r="AB23" s="77"/>
      <c r="AC23" s="73"/>
    </row>
    <row r="24" ht="34" customHeight="1">
      <c r="A24" s="107">
        <v>12</v>
      </c>
      <c r="B24" s="108"/>
      <c r="C24" s="108" t="s">
        <v>179</v>
      </c>
      <c r="D24" s="108" t="s">
        <v>180</v>
      </c>
      <c r="E24" s="80" t="s">
        <v>181</v>
      </c>
      <c r="F24" s="80" t="s">
        <v>111</v>
      </c>
      <c r="G24" s="80" t="s">
        <v>182</v>
      </c>
      <c r="H24" s="80" t="s">
        <v>183</v>
      </c>
      <c r="I24" s="80" t="s">
        <v>137</v>
      </c>
      <c r="J24" s="80" t="s">
        <v>184</v>
      </c>
      <c r="K24" s="80" t="s">
        <v>185</v>
      </c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 t="s">
        <v>116</v>
      </c>
      <c r="Y24" s="77"/>
      <c r="Z24" s="77"/>
      <c r="AA24" s="77"/>
      <c r="AB24" s="77"/>
      <c r="AC24" s="73"/>
    </row>
    <row r="25" ht="34" customHeight="1">
      <c r="A25" s="107">
        <v>13</v>
      </c>
      <c r="B25" s="108"/>
      <c r="C25" s="108"/>
      <c r="D25" s="109"/>
      <c r="E25" s="80" t="s">
        <v>186</v>
      </c>
      <c r="F25" s="80" t="s">
        <v>134</v>
      </c>
      <c r="G25" s="80" t="s">
        <v>187</v>
      </c>
      <c r="H25" s="80" t="s">
        <v>188</v>
      </c>
      <c r="I25" s="80" t="s">
        <v>137</v>
      </c>
      <c r="J25" s="80" t="s">
        <v>189</v>
      </c>
      <c r="K25" s="80" t="s">
        <v>190</v>
      </c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 t="s">
        <v>116</v>
      </c>
      <c r="Y25" s="77"/>
      <c r="Z25" s="77"/>
      <c r="AA25" s="77"/>
      <c r="AB25" s="77"/>
      <c r="AC25" s="73"/>
    </row>
    <row r="26" ht="34" customHeight="1">
      <c r="A26" s="107">
        <v>14</v>
      </c>
      <c r="B26" s="108"/>
      <c r="C26" s="108"/>
      <c r="D26" s="108" t="s">
        <v>191</v>
      </c>
      <c r="E26" s="80" t="s">
        <v>192</v>
      </c>
      <c r="F26" s="80" t="s">
        <v>111</v>
      </c>
      <c r="G26" s="80" t="s">
        <v>193</v>
      </c>
      <c r="H26" s="80" t="s">
        <v>194</v>
      </c>
      <c r="I26" s="80" t="s">
        <v>137</v>
      </c>
      <c r="J26" s="80" t="s">
        <v>195</v>
      </c>
      <c r="K26" s="80" t="s">
        <v>196</v>
      </c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 t="s">
        <v>116</v>
      </c>
      <c r="Y26" s="77"/>
      <c r="Z26" s="77"/>
      <c r="AA26" s="77"/>
      <c r="AB26" s="77"/>
      <c r="AC26" s="73"/>
    </row>
    <row r="27" ht="34" customHeight="1">
      <c r="A27" s="107">
        <v>15</v>
      </c>
      <c r="B27" s="108"/>
      <c r="C27" s="108"/>
      <c r="D27" s="108"/>
      <c r="E27" s="80" t="s">
        <v>197</v>
      </c>
      <c r="F27" s="80" t="s">
        <v>118</v>
      </c>
      <c r="G27" s="80" t="s">
        <v>198</v>
      </c>
      <c r="H27" s="80" t="s">
        <v>199</v>
      </c>
      <c r="I27" s="80" t="s">
        <v>137</v>
      </c>
      <c r="J27" s="80" t="s">
        <v>200</v>
      </c>
      <c r="K27" s="113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112" t="s">
        <v>201</v>
      </c>
      <c r="X27" s="80" t="s">
        <v>116</v>
      </c>
      <c r="Y27" s="73"/>
      <c r="Z27" s="73"/>
      <c r="AA27" s="73"/>
      <c r="AB27" s="73"/>
      <c r="AC27" s="73"/>
    </row>
    <row r="28" ht="34" customHeight="1">
      <c r="A28" s="107">
        <v>16</v>
      </c>
      <c r="B28" s="108"/>
      <c r="C28" s="108"/>
      <c r="D28" s="108"/>
      <c r="E28" s="80" t="s">
        <v>202</v>
      </c>
      <c r="F28" s="80" t="s">
        <v>111</v>
      </c>
      <c r="G28" s="80" t="s">
        <v>203</v>
      </c>
      <c r="H28" s="80" t="s">
        <v>204</v>
      </c>
      <c r="I28" s="80" t="s">
        <v>137</v>
      </c>
      <c r="J28" s="80" t="s">
        <v>205</v>
      </c>
      <c r="K28" s="80" t="s">
        <v>206</v>
      </c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112" t="s">
        <v>207</v>
      </c>
      <c r="X28" s="80" t="s">
        <v>130</v>
      </c>
      <c r="Y28" s="73"/>
      <c r="Z28" s="73"/>
      <c r="AA28" s="73"/>
      <c r="AB28" s="73"/>
      <c r="AC28" s="73"/>
    </row>
    <row r="29" ht="34" customHeight="1">
      <c r="A29" s="107">
        <v>17</v>
      </c>
      <c r="B29" s="108"/>
      <c r="C29" s="108"/>
      <c r="D29" s="108"/>
      <c r="E29" s="80" t="s">
        <v>208</v>
      </c>
      <c r="F29" s="80" t="s">
        <v>134</v>
      </c>
      <c r="G29" s="80" t="s">
        <v>209</v>
      </c>
      <c r="H29" s="80" t="s">
        <v>210</v>
      </c>
      <c r="I29" s="80" t="s">
        <v>137</v>
      </c>
      <c r="J29" s="80" t="s">
        <v>211</v>
      </c>
      <c r="K29" s="113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112" t="s">
        <v>212</v>
      </c>
      <c r="X29" s="80" t="s">
        <v>116</v>
      </c>
      <c r="Y29" s="73"/>
      <c r="Z29" s="73"/>
      <c r="AA29" s="73"/>
      <c r="AB29" s="73"/>
      <c r="AC29" s="73"/>
    </row>
    <row r="30" ht="34" customHeight="1">
      <c r="A30" s="107">
        <v>18</v>
      </c>
      <c r="B30" s="108"/>
      <c r="C30" s="108"/>
      <c r="D30" s="109"/>
      <c r="E30" s="80" t="s">
        <v>213</v>
      </c>
      <c r="F30" s="80" t="s">
        <v>134</v>
      </c>
      <c r="G30" s="80" t="s">
        <v>214</v>
      </c>
      <c r="H30" s="80" t="s">
        <v>215</v>
      </c>
      <c r="I30" s="80" t="s">
        <v>137</v>
      </c>
      <c r="J30" s="80" t="s">
        <v>216</v>
      </c>
      <c r="K30" s="113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112" t="s">
        <v>217</v>
      </c>
      <c r="X30" s="80" t="s">
        <v>116</v>
      </c>
      <c r="Y30" s="73"/>
      <c r="Z30" s="73"/>
      <c r="AA30" s="73"/>
      <c r="AB30" s="73"/>
      <c r="AC30" s="73"/>
    </row>
    <row r="31" ht="34" customHeight="1">
      <c r="A31" s="107">
        <v>19</v>
      </c>
      <c r="B31" s="108"/>
      <c r="C31" s="108"/>
      <c r="D31" s="108" t="s">
        <v>218</v>
      </c>
      <c r="E31" s="80" t="s">
        <v>219</v>
      </c>
      <c r="F31" s="80" t="s">
        <v>111</v>
      </c>
      <c r="G31" s="80" t="s">
        <v>220</v>
      </c>
      <c r="H31" s="80" t="s">
        <v>221</v>
      </c>
      <c r="I31" s="80" t="s">
        <v>137</v>
      </c>
      <c r="J31" s="80" t="s">
        <v>222</v>
      </c>
      <c r="K31" s="80" t="s">
        <v>223</v>
      </c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112" t="s">
        <v>224</v>
      </c>
      <c r="X31" s="80" t="s">
        <v>116</v>
      </c>
      <c r="Y31" s="73"/>
      <c r="Z31" s="73"/>
      <c r="AA31" s="73"/>
      <c r="AB31" s="73"/>
      <c r="AC31" s="73"/>
    </row>
    <row r="32" ht="34" customHeight="1">
      <c r="A32" s="107">
        <v>20</v>
      </c>
      <c r="B32" s="108"/>
      <c r="C32" s="109"/>
      <c r="D32" s="109"/>
      <c r="E32" s="80" t="s">
        <v>225</v>
      </c>
      <c r="F32" s="80" t="s">
        <v>111</v>
      </c>
      <c r="G32" s="80" t="s">
        <v>226</v>
      </c>
      <c r="H32" s="80" t="s">
        <v>227</v>
      </c>
      <c r="I32" s="80" t="s">
        <v>137</v>
      </c>
      <c r="J32" s="80" t="s">
        <v>228</v>
      </c>
      <c r="K32" s="80" t="s">
        <v>223</v>
      </c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112" t="s">
        <v>229</v>
      </c>
      <c r="X32" s="80" t="s">
        <v>116</v>
      </c>
      <c r="Y32" s="73"/>
      <c r="Z32" s="73"/>
      <c r="AA32" s="73"/>
      <c r="AB32" s="73"/>
      <c r="AC32" s="73"/>
    </row>
    <row r="33" ht="34" customHeight="1">
      <c r="A33" s="107">
        <v>21</v>
      </c>
      <c r="B33" s="108"/>
      <c r="C33" s="108" t="s">
        <v>230</v>
      </c>
      <c r="D33" s="108" t="s">
        <v>180</v>
      </c>
      <c r="E33" s="80" t="s">
        <v>181</v>
      </c>
      <c r="F33" s="80" t="s">
        <v>111</v>
      </c>
      <c r="G33" s="80" t="s">
        <v>231</v>
      </c>
      <c r="H33" s="80" t="s">
        <v>232</v>
      </c>
      <c r="I33" s="80" t="s">
        <v>137</v>
      </c>
      <c r="J33" s="80" t="s">
        <v>233</v>
      </c>
      <c r="K33" s="80" t="s">
        <v>234</v>
      </c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 t="s">
        <v>116</v>
      </c>
      <c r="Y33" s="73"/>
      <c r="Z33" s="73"/>
      <c r="AA33" s="73"/>
      <c r="AB33" s="73"/>
      <c r="AC33" s="73"/>
    </row>
    <row r="34" ht="34" customHeight="1">
      <c r="A34" s="107">
        <v>22</v>
      </c>
      <c r="B34" s="108"/>
      <c r="C34" s="108"/>
      <c r="D34" s="108"/>
      <c r="E34" s="80" t="s">
        <v>235</v>
      </c>
      <c r="F34" s="80" t="s">
        <v>111</v>
      </c>
      <c r="G34" s="80" t="s">
        <v>236</v>
      </c>
      <c r="H34" s="80" t="s">
        <v>237</v>
      </c>
      <c r="I34" s="80" t="s">
        <v>137</v>
      </c>
      <c r="J34" s="80" t="s">
        <v>238</v>
      </c>
      <c r="K34" s="80" t="s">
        <v>239</v>
      </c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 t="s">
        <v>116</v>
      </c>
      <c r="Y34" s="73"/>
      <c r="Z34" s="73"/>
      <c r="AA34" s="73"/>
      <c r="AB34" s="73"/>
      <c r="AC34" s="73"/>
    </row>
    <row r="35" ht="34" customHeight="1">
      <c r="A35" s="107">
        <v>23</v>
      </c>
      <c r="B35" s="108"/>
      <c r="C35" s="108"/>
      <c r="D35" s="109"/>
      <c r="E35" s="80" t="s">
        <v>240</v>
      </c>
      <c r="F35" s="80" t="s">
        <v>118</v>
      </c>
      <c r="G35" s="80" t="s">
        <v>241</v>
      </c>
      <c r="H35" s="80" t="s">
        <v>242</v>
      </c>
      <c r="I35" s="80" t="s">
        <v>137</v>
      </c>
      <c r="J35" s="80" t="s">
        <v>243</v>
      </c>
      <c r="K35" s="113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112" t="s">
        <v>244</v>
      </c>
      <c r="X35" s="80" t="s">
        <v>116</v>
      </c>
      <c r="Y35" s="73"/>
      <c r="Z35" s="73"/>
      <c r="AA35" s="73"/>
      <c r="AB35" s="73"/>
      <c r="AC35" s="73"/>
    </row>
    <row r="36" ht="34" customHeight="1">
      <c r="A36" s="107">
        <v>24</v>
      </c>
      <c r="B36" s="108"/>
      <c r="C36" s="108"/>
      <c r="D36" s="108" t="s">
        <v>191</v>
      </c>
      <c r="E36" s="80" t="s">
        <v>197</v>
      </c>
      <c r="F36" s="80" t="s">
        <v>118</v>
      </c>
      <c r="G36" s="80" t="s">
        <v>245</v>
      </c>
      <c r="H36" s="80" t="s">
        <v>199</v>
      </c>
      <c r="I36" s="80" t="s">
        <v>137</v>
      </c>
      <c r="J36" s="80" t="s">
        <v>200</v>
      </c>
      <c r="K36" s="113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112" t="s">
        <v>246</v>
      </c>
      <c r="X36" s="80" t="s">
        <v>116</v>
      </c>
      <c r="Y36" s="73"/>
      <c r="Z36" s="73"/>
      <c r="AA36" s="73"/>
      <c r="AB36" s="73"/>
      <c r="AC36" s="73"/>
    </row>
    <row r="37" ht="34" customHeight="1">
      <c r="A37" s="107">
        <v>25</v>
      </c>
      <c r="B37" s="108"/>
      <c r="C37" s="108"/>
      <c r="D37" s="109"/>
      <c r="E37" s="80" t="s">
        <v>247</v>
      </c>
      <c r="F37" s="80" t="s">
        <v>134</v>
      </c>
      <c r="G37" s="80" t="s">
        <v>248</v>
      </c>
      <c r="H37" s="80" t="s">
        <v>249</v>
      </c>
      <c r="I37" s="80" t="s">
        <v>137</v>
      </c>
      <c r="J37" s="80" t="s">
        <v>250</v>
      </c>
      <c r="K37" s="80" t="s">
        <v>251</v>
      </c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 t="s">
        <v>116</v>
      </c>
      <c r="Y37" s="73"/>
      <c r="Z37" s="73"/>
      <c r="AA37" s="73"/>
      <c r="AB37" s="73"/>
      <c r="AC37" s="73"/>
    </row>
    <row r="38" ht="34" customHeight="1">
      <c r="A38" s="107">
        <v>26</v>
      </c>
      <c r="B38" s="108"/>
      <c r="C38" s="108"/>
      <c r="D38" s="108" t="s">
        <v>218</v>
      </c>
      <c r="E38" s="80" t="s">
        <v>219</v>
      </c>
      <c r="F38" s="80" t="s">
        <v>111</v>
      </c>
      <c r="G38" s="80" t="s">
        <v>252</v>
      </c>
      <c r="H38" s="80" t="s">
        <v>253</v>
      </c>
      <c r="I38" s="80" t="s">
        <v>137</v>
      </c>
      <c r="J38" s="80" t="s">
        <v>254</v>
      </c>
      <c r="K38" s="80" t="s">
        <v>255</v>
      </c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112" t="s">
        <v>224</v>
      </c>
      <c r="X38" s="80" t="s">
        <v>116</v>
      </c>
      <c r="Y38" s="73"/>
      <c r="Z38" s="73"/>
      <c r="AA38" s="73"/>
      <c r="AB38" s="73"/>
      <c r="AC38" s="73"/>
    </row>
    <row r="39" ht="34" customHeight="1">
      <c r="A39" s="107">
        <v>27</v>
      </c>
      <c r="B39" s="108"/>
      <c r="C39" s="109"/>
      <c r="D39" s="109"/>
      <c r="E39" s="80" t="s">
        <v>256</v>
      </c>
      <c r="F39" s="80" t="s">
        <v>111</v>
      </c>
      <c r="G39" s="80" t="s">
        <v>257</v>
      </c>
      <c r="H39" s="80" t="s">
        <v>258</v>
      </c>
      <c r="I39" s="80" t="s">
        <v>137</v>
      </c>
      <c r="J39" s="80" t="s">
        <v>259</v>
      </c>
      <c r="K39" s="80" t="s">
        <v>260</v>
      </c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112" t="s">
        <v>224</v>
      </c>
      <c r="X39" s="80" t="s">
        <v>116</v>
      </c>
      <c r="Y39" s="73"/>
      <c r="Z39" s="73"/>
      <c r="AA39" s="73"/>
      <c r="AB39" s="73"/>
      <c r="AC39" s="73"/>
    </row>
    <row r="40" ht="34" customHeight="1">
      <c r="A40" s="107">
        <v>28</v>
      </c>
      <c r="B40" s="108"/>
      <c r="C40" s="108" t="s">
        <v>261</v>
      </c>
      <c r="D40" s="108" t="s">
        <v>262</v>
      </c>
      <c r="E40" s="80" t="s">
        <v>181</v>
      </c>
      <c r="F40" s="80" t="s">
        <v>118</v>
      </c>
      <c r="G40" s="80" t="s">
        <v>263</v>
      </c>
      <c r="H40" s="80" t="s">
        <v>264</v>
      </c>
      <c r="I40" s="80" t="s">
        <v>137</v>
      </c>
      <c r="J40" s="80" t="s">
        <v>265</v>
      </c>
      <c r="K40" s="80" t="s">
        <v>266</v>
      </c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 t="s">
        <v>116</v>
      </c>
      <c r="Y40" s="73"/>
      <c r="Z40" s="73"/>
      <c r="AA40" s="73"/>
      <c r="AB40" s="73"/>
      <c r="AC40" s="73"/>
    </row>
    <row r="41" ht="34" customHeight="1">
      <c r="A41" s="107">
        <v>29</v>
      </c>
      <c r="B41" s="108"/>
      <c r="C41" s="108"/>
      <c r="D41" s="109"/>
      <c r="E41" s="80" t="s">
        <v>267</v>
      </c>
      <c r="F41" s="80" t="s">
        <v>134</v>
      </c>
      <c r="G41" s="80" t="s">
        <v>268</v>
      </c>
      <c r="H41" s="80" t="s">
        <v>269</v>
      </c>
      <c r="I41" s="80" t="s">
        <v>137</v>
      </c>
      <c r="J41" s="80" t="s">
        <v>270</v>
      </c>
      <c r="K41" s="80" t="s">
        <v>271</v>
      </c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 t="s">
        <v>116</v>
      </c>
      <c r="Y41" s="73"/>
      <c r="Z41" s="73"/>
      <c r="AA41" s="73"/>
      <c r="AB41" s="73"/>
      <c r="AC41" s="73"/>
    </row>
    <row r="42" ht="34" customHeight="1">
      <c r="A42" s="107">
        <v>30</v>
      </c>
      <c r="B42" s="108"/>
      <c r="C42" s="108"/>
      <c r="D42" s="108" t="s">
        <v>272</v>
      </c>
      <c r="E42" s="80" t="s">
        <v>273</v>
      </c>
      <c r="F42" s="80" t="s">
        <v>118</v>
      </c>
      <c r="G42" s="80" t="s">
        <v>274</v>
      </c>
      <c r="H42" s="80" t="s">
        <v>275</v>
      </c>
      <c r="I42" s="80" t="s">
        <v>137</v>
      </c>
      <c r="J42" s="80" t="s">
        <v>276</v>
      </c>
      <c r="K42" s="113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112" t="s">
        <v>277</v>
      </c>
      <c r="X42" s="80" t="s">
        <v>116</v>
      </c>
      <c r="Y42" s="73"/>
      <c r="Z42" s="73"/>
      <c r="AA42" s="73"/>
      <c r="AB42" s="73"/>
      <c r="AC42" s="73"/>
    </row>
    <row r="43" ht="34" customHeight="1">
      <c r="A43" s="107">
        <v>31</v>
      </c>
      <c r="B43" s="108"/>
      <c r="C43" s="109"/>
      <c r="D43" s="109"/>
      <c r="E43" s="80" t="s">
        <v>278</v>
      </c>
      <c r="F43" s="80" t="s">
        <v>118</v>
      </c>
      <c r="G43" s="80" t="s">
        <v>279</v>
      </c>
      <c r="H43" s="80" t="s">
        <v>280</v>
      </c>
      <c r="I43" s="80" t="s">
        <v>137</v>
      </c>
      <c r="J43" s="80" t="s">
        <v>281</v>
      </c>
      <c r="K43" s="113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112" t="s">
        <v>282</v>
      </c>
      <c r="X43" s="80" t="s">
        <v>116</v>
      </c>
      <c r="Y43" s="73"/>
      <c r="Z43" s="73"/>
      <c r="AA43" s="73"/>
      <c r="AB43" s="73"/>
      <c r="AC43" s="73"/>
    </row>
    <row r="44" ht="34" customHeight="1">
      <c r="A44" s="107">
        <v>32</v>
      </c>
      <c r="B44" s="108"/>
      <c r="C44" s="108" t="s">
        <v>283</v>
      </c>
      <c r="D44" s="108" t="s">
        <v>284</v>
      </c>
      <c r="E44" s="80" t="s">
        <v>285</v>
      </c>
      <c r="F44" s="80" t="s">
        <v>111</v>
      </c>
      <c r="G44" s="80" t="s">
        <v>286</v>
      </c>
      <c r="H44" s="80" t="s">
        <v>287</v>
      </c>
      <c r="I44" s="80" t="s">
        <v>288</v>
      </c>
      <c r="J44" s="80" t="s">
        <v>289</v>
      </c>
      <c r="K44" s="80" t="s">
        <v>290</v>
      </c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 t="s">
        <v>116</v>
      </c>
      <c r="Y44" s="73"/>
      <c r="Z44" s="73"/>
      <c r="AA44" s="73"/>
      <c r="AB44" s="73"/>
      <c r="AC44" s="73"/>
    </row>
    <row r="45" ht="34" customHeight="1">
      <c r="A45" s="107">
        <v>33</v>
      </c>
      <c r="B45" s="108"/>
      <c r="C45" s="108"/>
      <c r="D45" s="108"/>
      <c r="E45" s="80" t="s">
        <v>291</v>
      </c>
      <c r="F45" s="80" t="s">
        <v>111</v>
      </c>
      <c r="G45" s="80" t="s">
        <v>292</v>
      </c>
      <c r="H45" s="80" t="s">
        <v>293</v>
      </c>
      <c r="I45" s="80" t="s">
        <v>288</v>
      </c>
      <c r="J45" s="80" t="s">
        <v>294</v>
      </c>
      <c r="K45" s="80" t="s">
        <v>295</v>
      </c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112" t="s">
        <v>296</v>
      </c>
      <c r="X45" s="80" t="s">
        <v>116</v>
      </c>
      <c r="Y45" s="73"/>
      <c r="Z45" s="73"/>
      <c r="AA45" s="73"/>
      <c r="AB45" s="73"/>
      <c r="AC45" s="73"/>
    </row>
    <row r="46" ht="34" customHeight="1">
      <c r="A46" s="107">
        <v>34</v>
      </c>
      <c r="B46" s="108"/>
      <c r="C46" s="108"/>
      <c r="D46" s="108"/>
      <c r="E46" s="80" t="s">
        <v>297</v>
      </c>
      <c r="F46" s="80" t="s">
        <v>134</v>
      </c>
      <c r="G46" s="80" t="s">
        <v>298</v>
      </c>
      <c r="H46" s="80" t="s">
        <v>299</v>
      </c>
      <c r="I46" s="80" t="s">
        <v>288</v>
      </c>
      <c r="J46" s="80" t="s">
        <v>300</v>
      </c>
      <c r="K46" s="80" t="s">
        <v>301</v>
      </c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 t="s">
        <v>116</v>
      </c>
      <c r="Y46" s="73"/>
      <c r="Z46" s="73"/>
      <c r="AA46" s="73"/>
      <c r="AB46" s="73"/>
      <c r="AC46" s="73"/>
    </row>
    <row r="47" ht="34" customHeight="1">
      <c r="A47" s="107">
        <v>35</v>
      </c>
      <c r="B47" s="108"/>
      <c r="C47" s="108"/>
      <c r="D47" s="109"/>
      <c r="E47" s="80" t="s">
        <v>302</v>
      </c>
      <c r="F47" s="80" t="s">
        <v>118</v>
      </c>
      <c r="G47" s="80" t="s">
        <v>303</v>
      </c>
      <c r="H47" s="80" t="s">
        <v>304</v>
      </c>
      <c r="I47" s="80" t="s">
        <v>305</v>
      </c>
      <c r="J47" s="80" t="s">
        <v>306</v>
      </c>
      <c r="K47" s="80" t="s">
        <v>307</v>
      </c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 t="s">
        <v>130</v>
      </c>
      <c r="Y47" s="73"/>
      <c r="Z47" s="73"/>
      <c r="AA47" s="73"/>
      <c r="AB47" s="73"/>
      <c r="AC47" s="73"/>
    </row>
    <row r="48" ht="34" customHeight="1">
      <c r="A48" s="107">
        <v>36</v>
      </c>
      <c r="B48" s="108"/>
      <c r="C48" s="108"/>
      <c r="D48" s="108" t="s">
        <v>308</v>
      </c>
      <c r="E48" s="80" t="s">
        <v>309</v>
      </c>
      <c r="F48" s="80" t="s">
        <v>111</v>
      </c>
      <c r="G48" s="80" t="s">
        <v>310</v>
      </c>
      <c r="H48" s="80" t="s">
        <v>311</v>
      </c>
      <c r="I48" s="80" t="s">
        <v>288</v>
      </c>
      <c r="J48" s="80" t="s">
        <v>312</v>
      </c>
      <c r="K48" s="80" t="s">
        <v>313</v>
      </c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112" t="s">
        <v>314</v>
      </c>
      <c r="X48" s="80" t="s">
        <v>116</v>
      </c>
      <c r="Y48" s="73"/>
      <c r="Z48" s="73"/>
      <c r="AA48" s="73"/>
      <c r="AB48" s="73"/>
      <c r="AC48" s="73"/>
    </row>
    <row r="49" ht="34" customHeight="1">
      <c r="A49" s="107">
        <v>37</v>
      </c>
      <c r="B49" s="108"/>
      <c r="C49" s="108"/>
      <c r="D49" s="108"/>
      <c r="E49" s="80" t="s">
        <v>315</v>
      </c>
      <c r="F49" s="80" t="s">
        <v>111</v>
      </c>
      <c r="G49" s="80" t="s">
        <v>316</v>
      </c>
      <c r="H49" s="80" t="s">
        <v>317</v>
      </c>
      <c r="I49" s="80" t="s">
        <v>137</v>
      </c>
      <c r="J49" s="80" t="s">
        <v>318</v>
      </c>
      <c r="K49" s="80" t="s">
        <v>319</v>
      </c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112" t="s">
        <v>320</v>
      </c>
      <c r="X49" s="80" t="s">
        <v>116</v>
      </c>
      <c r="Y49" s="73"/>
      <c r="Z49" s="73"/>
      <c r="AA49" s="73"/>
      <c r="AB49" s="73"/>
      <c r="AC49" s="73"/>
    </row>
    <row r="50" ht="34" customHeight="1">
      <c r="A50" s="107">
        <v>38</v>
      </c>
      <c r="B50" s="108"/>
      <c r="C50" s="108"/>
      <c r="D50" s="108"/>
      <c r="E50" s="80" t="s">
        <v>321</v>
      </c>
      <c r="F50" s="80" t="s">
        <v>111</v>
      </c>
      <c r="G50" s="80" t="s">
        <v>322</v>
      </c>
      <c r="H50" s="80" t="s">
        <v>323</v>
      </c>
      <c r="I50" s="80" t="s">
        <v>324</v>
      </c>
      <c r="J50" s="80" t="s">
        <v>325</v>
      </c>
      <c r="K50" s="80" t="s">
        <v>326</v>
      </c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112" t="s">
        <v>327</v>
      </c>
      <c r="X50" s="80" t="s">
        <v>328</v>
      </c>
      <c r="Y50" s="73"/>
      <c r="Z50" s="73"/>
      <c r="AA50" s="73"/>
      <c r="AB50" s="73"/>
      <c r="AC50" s="73"/>
    </row>
    <row r="51" ht="34" customHeight="1">
      <c r="A51" s="107">
        <v>39</v>
      </c>
      <c r="B51" s="108"/>
      <c r="C51" s="108"/>
      <c r="D51" s="108"/>
      <c r="E51" s="80" t="s">
        <v>329</v>
      </c>
      <c r="F51" s="80" t="s">
        <v>111</v>
      </c>
      <c r="G51" s="80" t="s">
        <v>330</v>
      </c>
      <c r="H51" s="80" t="s">
        <v>331</v>
      </c>
      <c r="I51" s="80" t="s">
        <v>332</v>
      </c>
      <c r="J51" s="80" t="s">
        <v>333</v>
      </c>
      <c r="K51" s="80" t="s">
        <v>326</v>
      </c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112" t="s">
        <v>334</v>
      </c>
      <c r="X51" s="80" t="s">
        <v>116</v>
      </c>
      <c r="Y51" s="73"/>
      <c r="Z51" s="73"/>
      <c r="AA51" s="73"/>
      <c r="AB51" s="73"/>
      <c r="AC51" s="73"/>
    </row>
    <row r="52" ht="34" customHeight="1">
      <c r="A52" s="107">
        <v>40</v>
      </c>
      <c r="B52" s="108"/>
      <c r="C52" s="108"/>
      <c r="D52" s="108"/>
      <c r="E52" s="80" t="s">
        <v>335</v>
      </c>
      <c r="F52" s="80" t="s">
        <v>111</v>
      </c>
      <c r="G52" s="80" t="s">
        <v>336</v>
      </c>
      <c r="H52" s="80" t="s">
        <v>337</v>
      </c>
      <c r="I52" s="80" t="s">
        <v>288</v>
      </c>
      <c r="J52" s="80" t="s">
        <v>338</v>
      </c>
      <c r="K52" s="113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112" t="s">
        <v>339</v>
      </c>
      <c r="X52" s="80" t="s">
        <v>116</v>
      </c>
      <c r="Y52" s="73"/>
      <c r="Z52" s="73"/>
      <c r="AA52" s="73"/>
      <c r="AB52" s="73"/>
      <c r="AC52" s="73"/>
    </row>
    <row r="53" ht="34" customHeight="1">
      <c r="A53" s="107">
        <v>41</v>
      </c>
      <c r="B53" s="108"/>
      <c r="C53" s="109"/>
      <c r="D53" s="109"/>
      <c r="E53" s="80" t="s">
        <v>340</v>
      </c>
      <c r="F53" s="80" t="s">
        <v>118</v>
      </c>
      <c r="G53" s="80" t="s">
        <v>341</v>
      </c>
      <c r="H53" s="80" t="s">
        <v>342</v>
      </c>
      <c r="I53" s="80" t="s">
        <v>343</v>
      </c>
      <c r="J53" s="80" t="s">
        <v>344</v>
      </c>
      <c r="K53" s="80" t="s">
        <v>345</v>
      </c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112" t="s">
        <v>346</v>
      </c>
      <c r="X53" s="80" t="s">
        <v>347</v>
      </c>
      <c r="Y53" s="73"/>
      <c r="Z53" s="73"/>
      <c r="AA53" s="73"/>
      <c r="AB53" s="73"/>
      <c r="AC53" s="73"/>
    </row>
    <row r="54" ht="34" customHeight="1">
      <c r="A54" s="107">
        <v>42</v>
      </c>
      <c r="B54" s="108"/>
      <c r="C54" s="108" t="s">
        <v>348</v>
      </c>
      <c r="D54" s="108" t="s">
        <v>349</v>
      </c>
      <c r="E54" s="80" t="s">
        <v>181</v>
      </c>
      <c r="F54" s="80" t="s">
        <v>118</v>
      </c>
      <c r="G54" s="80" t="s">
        <v>350</v>
      </c>
      <c r="H54" s="80" t="s">
        <v>351</v>
      </c>
      <c r="I54" s="80" t="s">
        <v>137</v>
      </c>
      <c r="J54" s="80" t="s">
        <v>352</v>
      </c>
      <c r="K54" s="113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112" t="s">
        <v>353</v>
      </c>
      <c r="X54" s="80" t="s">
        <v>116</v>
      </c>
      <c r="Y54" s="73"/>
      <c r="Z54" s="73"/>
      <c r="AA54" s="73"/>
      <c r="AB54" s="73"/>
      <c r="AC54" s="73"/>
    </row>
    <row r="55" ht="34" customHeight="1">
      <c r="A55" s="107">
        <v>43</v>
      </c>
      <c r="B55" s="108"/>
      <c r="C55" s="108"/>
      <c r="D55" s="108"/>
      <c r="E55" s="80" t="s">
        <v>354</v>
      </c>
      <c r="F55" s="80" t="s">
        <v>118</v>
      </c>
      <c r="G55" s="80" t="s">
        <v>355</v>
      </c>
      <c r="H55" s="80" t="s">
        <v>356</v>
      </c>
      <c r="I55" s="80" t="s">
        <v>288</v>
      </c>
      <c r="J55" s="80" t="s">
        <v>357</v>
      </c>
      <c r="K55" s="113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112" t="s">
        <v>358</v>
      </c>
      <c r="X55" s="80" t="s">
        <v>116</v>
      </c>
      <c r="Y55" s="73"/>
      <c r="Z55" s="73"/>
      <c r="AA55" s="73"/>
      <c r="AB55" s="73"/>
      <c r="AC55" s="73"/>
    </row>
    <row r="56" ht="34" customHeight="1">
      <c r="A56" s="107">
        <v>44</v>
      </c>
      <c r="B56" s="108"/>
      <c r="C56" s="109"/>
      <c r="D56" s="109"/>
      <c r="E56" s="80" t="s">
        <v>359</v>
      </c>
      <c r="F56" s="80" t="s">
        <v>118</v>
      </c>
      <c r="G56" s="80" t="s">
        <v>360</v>
      </c>
      <c r="H56" s="80" t="s">
        <v>361</v>
      </c>
      <c r="I56" s="80" t="s">
        <v>288</v>
      </c>
      <c r="J56" s="80" t="s">
        <v>362</v>
      </c>
      <c r="K56" s="80" t="s">
        <v>363</v>
      </c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 t="s">
        <v>116</v>
      </c>
      <c r="Y56" s="73"/>
      <c r="Z56" s="73"/>
      <c r="AA56" s="73"/>
      <c r="AB56" s="73"/>
      <c r="AC56" s="73"/>
    </row>
    <row r="57" ht="34" customHeight="1">
      <c r="A57" s="107">
        <v>45</v>
      </c>
      <c r="B57" s="108"/>
      <c r="C57" s="108" t="s">
        <v>364</v>
      </c>
      <c r="D57" s="108" t="s">
        <v>365</v>
      </c>
      <c r="E57" s="80" t="s">
        <v>366</v>
      </c>
      <c r="F57" s="80" t="s">
        <v>118</v>
      </c>
      <c r="G57" s="80" t="s">
        <v>367</v>
      </c>
      <c r="H57" s="80" t="s">
        <v>368</v>
      </c>
      <c r="I57" s="80" t="s">
        <v>137</v>
      </c>
      <c r="J57" s="80" t="s">
        <v>369</v>
      </c>
      <c r="K57" s="80" t="s">
        <v>370</v>
      </c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 t="s">
        <v>116</v>
      </c>
      <c r="Y57" s="73"/>
      <c r="Z57" s="73"/>
      <c r="AA57" s="73"/>
      <c r="AB57" s="73"/>
      <c r="AC57" s="73"/>
    </row>
    <row r="58" ht="34" customHeight="1">
      <c r="A58" s="107">
        <v>46</v>
      </c>
      <c r="B58" s="108"/>
      <c r="C58" s="108"/>
      <c r="D58" s="109"/>
      <c r="E58" s="80" t="s">
        <v>371</v>
      </c>
      <c r="F58" s="80" t="s">
        <v>118</v>
      </c>
      <c r="G58" s="80" t="s">
        <v>372</v>
      </c>
      <c r="H58" s="80" t="s">
        <v>373</v>
      </c>
      <c r="I58" s="80" t="s">
        <v>137</v>
      </c>
      <c r="J58" s="80" t="s">
        <v>374</v>
      </c>
      <c r="K58" s="113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112" t="s">
        <v>375</v>
      </c>
      <c r="X58" s="80" t="s">
        <v>116</v>
      </c>
      <c r="Y58" s="73"/>
      <c r="Z58" s="73"/>
      <c r="AA58" s="73"/>
      <c r="AB58" s="73"/>
      <c r="AC58" s="73"/>
    </row>
    <row r="59" ht="34" customHeight="1">
      <c r="A59" s="107">
        <v>47</v>
      </c>
      <c r="B59" s="108"/>
      <c r="C59" s="109"/>
      <c r="D59" s="80" t="s">
        <v>376</v>
      </c>
      <c r="E59" s="80" t="s">
        <v>377</v>
      </c>
      <c r="F59" s="80" t="s">
        <v>111</v>
      </c>
      <c r="G59" s="80" t="s">
        <v>378</v>
      </c>
      <c r="H59" s="80" t="s">
        <v>379</v>
      </c>
      <c r="I59" s="80" t="s">
        <v>137</v>
      </c>
      <c r="J59" s="80" t="s">
        <v>380</v>
      </c>
      <c r="K59" s="113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112" t="s">
        <v>381</v>
      </c>
      <c r="X59" s="80" t="s">
        <v>382</v>
      </c>
      <c r="Y59" s="73"/>
      <c r="Z59" s="73"/>
      <c r="AA59" s="73"/>
      <c r="AB59" s="73"/>
      <c r="AC59" s="73"/>
    </row>
    <row r="60" ht="34" customHeight="1">
      <c r="A60" s="107">
        <v>48</v>
      </c>
      <c r="B60" s="108"/>
      <c r="C60" s="108" t="s">
        <v>383</v>
      </c>
      <c r="D60" s="108" t="s">
        <v>384</v>
      </c>
      <c r="E60" s="80" t="s">
        <v>385</v>
      </c>
      <c r="F60" s="80" t="s">
        <v>111</v>
      </c>
      <c r="G60" s="80" t="s">
        <v>386</v>
      </c>
      <c r="H60" s="80" t="s">
        <v>387</v>
      </c>
      <c r="I60" s="80" t="s">
        <v>137</v>
      </c>
      <c r="J60" s="80" t="s">
        <v>388</v>
      </c>
      <c r="K60" s="80" t="s">
        <v>389</v>
      </c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 t="s">
        <v>130</v>
      </c>
      <c r="Y60" s="73"/>
      <c r="Z60" s="73"/>
      <c r="AA60" s="73"/>
      <c r="AB60" s="73"/>
      <c r="AC60" s="73"/>
    </row>
    <row r="61" ht="34" customHeight="1">
      <c r="A61" s="107">
        <v>49</v>
      </c>
      <c r="B61" s="108"/>
      <c r="C61" s="108"/>
      <c r="D61" s="109"/>
      <c r="E61" s="80" t="s">
        <v>390</v>
      </c>
      <c r="F61" s="80" t="s">
        <v>111</v>
      </c>
      <c r="G61" s="80" t="s">
        <v>391</v>
      </c>
      <c r="H61" s="80" t="s">
        <v>392</v>
      </c>
      <c r="I61" s="80" t="s">
        <v>137</v>
      </c>
      <c r="J61" s="80" t="s">
        <v>393</v>
      </c>
      <c r="K61" s="80" t="s">
        <v>394</v>
      </c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 t="s">
        <v>130</v>
      </c>
      <c r="Y61" s="73"/>
      <c r="Z61" s="73"/>
      <c r="AA61" s="73"/>
      <c r="AB61" s="73"/>
      <c r="AC61" s="73"/>
    </row>
    <row r="62" ht="34" customHeight="1">
      <c r="A62" s="107">
        <v>50</v>
      </c>
      <c r="B62" s="108"/>
      <c r="C62" s="108"/>
      <c r="D62" s="108" t="s">
        <v>395</v>
      </c>
      <c r="E62" s="80" t="s">
        <v>396</v>
      </c>
      <c r="F62" s="80" t="s">
        <v>111</v>
      </c>
      <c r="G62" s="80" t="s">
        <v>397</v>
      </c>
      <c r="H62" s="80" t="s">
        <v>398</v>
      </c>
      <c r="I62" s="80" t="s">
        <v>399</v>
      </c>
      <c r="J62" s="80" t="s">
        <v>400</v>
      </c>
      <c r="K62" s="80" t="s">
        <v>401</v>
      </c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 t="s">
        <v>130</v>
      </c>
      <c r="Y62" s="73"/>
      <c r="Z62" s="73"/>
      <c r="AA62" s="73"/>
      <c r="AB62" s="73"/>
      <c r="AC62" s="73"/>
    </row>
    <row r="63" ht="34" customHeight="1">
      <c r="A63" s="107">
        <v>51</v>
      </c>
      <c r="B63" s="108"/>
      <c r="C63" s="108"/>
      <c r="D63" s="109"/>
      <c r="E63" s="80" t="s">
        <v>402</v>
      </c>
      <c r="F63" s="80" t="s">
        <v>111</v>
      </c>
      <c r="G63" s="80" t="s">
        <v>403</v>
      </c>
      <c r="H63" s="80" t="s">
        <v>404</v>
      </c>
      <c r="I63" s="80" t="s">
        <v>110</v>
      </c>
      <c r="J63" s="80" t="s">
        <v>405</v>
      </c>
      <c r="K63" s="80" t="s">
        <v>406</v>
      </c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 t="s">
        <v>130</v>
      </c>
      <c r="Y63" s="73"/>
      <c r="Z63" s="73"/>
      <c r="AA63" s="73"/>
      <c r="AB63" s="73"/>
      <c r="AC63" s="73"/>
    </row>
    <row r="64" ht="34" customHeight="1">
      <c r="A64" s="107">
        <v>52</v>
      </c>
      <c r="B64" s="109"/>
      <c r="C64" s="109"/>
      <c r="D64" s="80" t="s">
        <v>407</v>
      </c>
      <c r="E64" s="80" t="s">
        <v>408</v>
      </c>
      <c r="F64" s="80" t="s">
        <v>118</v>
      </c>
      <c r="G64" s="80" t="s">
        <v>409</v>
      </c>
      <c r="H64" s="80" t="s">
        <v>410</v>
      </c>
      <c r="I64" s="80" t="s">
        <v>288</v>
      </c>
      <c r="J64" s="80" t="s">
        <v>411</v>
      </c>
      <c r="K64" s="80" t="s">
        <v>412</v>
      </c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112" t="s">
        <v>413</v>
      </c>
      <c r="X64" s="80" t="s">
        <v>414</v>
      </c>
      <c r="Y64" s="73"/>
      <c r="Z64" s="73"/>
      <c r="AA64" s="73"/>
      <c r="AB64" s="73"/>
      <c r="AC64" s="73"/>
    </row>
    <row r="65" s="110" customFormat="1" ht="61.5" customHeight="1">
      <c r="A65" s="111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</row>
    <row r="66" s="110" customFormat="1" ht="61.5" customHeight="1">
      <c r="A66" s="111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</row>
    <row r="67" s="110" customFormat="1" ht="61.5" customHeight="1">
      <c r="A67" s="111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</row>
    <row r="68" s="110" customFormat="1" ht="61.5" customHeight="1">
      <c r="A68" s="111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</row>
    <row r="69" s="110" customFormat="1" ht="61.5" customHeight="1">
      <c r="A69" s="111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</row>
    <row r="70" s="110" customFormat="1" ht="84.75" customHeight="1">
      <c r="A70" s="111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</row>
    <row r="71" s="110" customFormat="1" ht="74.25" customHeight="1">
      <c r="A71" s="11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</row>
    <row r="72" s="110" customFormat="1" ht="45" customHeight="1">
      <c r="A72" s="111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</row>
    <row r="73" s="110" customFormat="1" ht="45" customHeight="1">
      <c r="A73" s="111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</row>
    <row r="74" s="110" customFormat="1" ht="50.25" customHeight="1">
      <c r="A74" s="111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</row>
    <row r="75" s="110" customFormat="1" ht="45" customHeight="1">
      <c r="A75" s="111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</row>
    <row r="76" s="110" customFormat="1" ht="45" customHeight="1">
      <c r="A76" s="111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</row>
    <row r="77" s="110" customFormat="1" ht="61.5" customHeight="1">
      <c r="A77" s="111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</row>
    <row r="78" s="110" customFormat="1" ht="64.5" customHeight="1">
      <c r="A78" s="111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</row>
    <row r="79" s="110" customFormat="1" ht="94.5" customHeight="1">
      <c r="A79" s="111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</row>
    <row r="80" s="110" customFormat="1" ht="65.25" customHeight="1">
      <c r="A80" s="111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</row>
    <row r="81" s="110" customFormat="1" ht="65.25" customHeight="1">
      <c r="A81" s="11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</row>
    <row r="82" s="110" customFormat="1" ht="65.25" customHeight="1">
      <c r="A82" s="111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</row>
    <row r="83" s="110" customFormat="1" ht="65.25" customHeight="1">
      <c r="A83" s="111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</row>
    <row r="84" s="110" customFormat="1" ht="65.25" customHeight="1">
      <c r="A84" s="111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</row>
    <row r="85" s="110" customFormat="1" ht="65.25" customHeight="1">
      <c r="A85" s="111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</row>
    <row r="86" s="110" customFormat="1" ht="65.25" customHeight="1">
      <c r="A86" s="111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</row>
    <row r="87" s="110" customFormat="1" ht="84.75" customHeight="1">
      <c r="A87" s="111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</row>
    <row r="88" s="110" customFormat="1" ht="65.25" customHeight="1">
      <c r="A88" s="111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</row>
    <row r="89" s="110" customFormat="1" ht="65.25" customHeight="1">
      <c r="A89" s="111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</row>
    <row r="90" s="110" customFormat="1" ht="65.25" customHeight="1">
      <c r="A90" s="111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</row>
    <row r="91" s="110" customFormat="1" ht="65.25" customHeight="1">
      <c r="A91" s="11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</row>
    <row r="92" s="110" customFormat="1" ht="65.25" customHeight="1">
      <c r="A92" s="111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</row>
    <row r="93" s="110" customFormat="1" ht="90.75" customHeight="1">
      <c r="A93" s="111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</row>
    <row r="94" s="110" customFormat="1" ht="65.25" customHeight="1">
      <c r="A94" s="111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</row>
    <row r="95" s="110" customFormat="1" ht="65.25" customHeight="1">
      <c r="A95" s="111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</row>
    <row r="96" s="110" customFormat="1" ht="65.25" customHeight="1">
      <c r="A96" s="111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</row>
    <row r="97" s="110" customFormat="1" ht="65.25" customHeight="1">
      <c r="A97" s="111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</row>
    <row r="98" s="110" customFormat="1" ht="45" customHeight="1">
      <c r="A98" s="111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="110" customFormat="1" ht="45" customHeight="1">
      <c r="A99" s="111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="110" customFormat="1" ht="45" customHeight="1">
      <c r="A100" s="111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="110" customFormat="1" ht="45" customHeight="1">
      <c r="A101" s="11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="110" customFormat="1" ht="45" customHeight="1">
      <c r="A102" s="111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="110" customFormat="1" ht="45" customHeight="1">
      <c r="A103" s="111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="110" customFormat="1" ht="45" customHeight="1">
      <c r="A104" s="111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="110" customFormat="1" ht="45" customHeight="1">
      <c r="A105" s="111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="110" customFormat="1" ht="35.25" customHeight="1">
      <c r="A106" s="111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="110" customFormat="1" ht="35.25" customHeight="1">
      <c r="A107" s="111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="110" customFormat="1" ht="35.25" customHeight="1">
      <c r="A108" s="111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="110" customFormat="1" ht="35.25" customHeight="1">
      <c r="A109" s="111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="110" customFormat="1" ht="15.75" customHeight="1">
      <c r="A110" s="111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="110" customFormat="1" ht="15.75" customHeight="1">
      <c r="A111" s="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</row>
    <row r="112" s="110" customFormat="1" ht="15.75" customHeight="1">
      <c r="A112" s="111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</row>
    <row r="113" s="110" customFormat="1" ht="15.75" customHeight="1">
      <c r="A113" s="111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</row>
    <row r="114" s="110" customFormat="1" ht="15.75" customHeight="1">
      <c r="A114" s="111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</row>
    <row r="115" s="110" customFormat="1" ht="15.75" customHeight="1">
      <c r="A115" s="111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</row>
    <row r="116" s="110" customFormat="1" ht="15.75" customHeight="1">
      <c r="A116" s="111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</row>
    <row r="117" s="110" customFormat="1" ht="15.75" customHeight="1">
      <c r="A117" s="111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</row>
    <row r="118" ht="15.75" customHeight="1">
      <c r="F118"/>
      <c r="G118"/>
    </row>
    <row r="119" ht="15.75" customHeight="1">
      <c r="F119"/>
      <c r="G119"/>
    </row>
    <row r="120" ht="15.75" customHeight="1">
      <c r="F120"/>
      <c r="G120"/>
    </row>
    <row r="121" ht="15.75" customHeight="1">
      <c r="F121"/>
      <c r="G121"/>
    </row>
    <row r="122" ht="15.75" customHeight="1">
      <c r="F122"/>
      <c r="G122"/>
    </row>
    <row r="123" ht="15.75" customHeight="1">
      <c r="F123"/>
      <c r="G123"/>
    </row>
    <row r="124" ht="15.75" customHeight="1">
      <c r="F124"/>
      <c r="G124"/>
    </row>
    <row r="125" ht="15.75" customHeight="1">
      <c r="F125"/>
      <c r="G125"/>
    </row>
    <row r="126" ht="15.75" customHeight="1">
      <c r="F126"/>
      <c r="G126"/>
    </row>
    <row r="127" ht="15.75" customHeight="1">
      <c r="F127"/>
      <c r="G127"/>
    </row>
    <row r="128" ht="15.75" customHeight="1">
      <c r="F128"/>
      <c r="G128"/>
    </row>
    <row r="129" ht="15.75" customHeight="1">
      <c r="F129"/>
      <c r="G129"/>
    </row>
    <row r="130" ht="15.75" customHeight="1">
      <c r="F130"/>
      <c r="G130"/>
    </row>
    <row r="131" ht="15.75" customHeight="1">
      <c r="F131"/>
      <c r="G131"/>
    </row>
    <row r="132" ht="15.75" customHeight="1">
      <c r="F132"/>
      <c r="G132"/>
    </row>
    <row r="133" ht="15.75" customHeight="1">
      <c r="F133"/>
      <c r="G133"/>
    </row>
    <row r="134" ht="15.75" customHeight="1">
      <c r="F134"/>
      <c r="G134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55">
    <mergeCell ref="K2:S2"/>
    <mergeCell ref="K4:K5"/>
    <mergeCell ref="L4:L5"/>
    <mergeCell ref="K6:K7"/>
    <mergeCell ref="L6:L7"/>
    <mergeCell ref="M10:Q10"/>
    <mergeCell ref="R10:V10"/>
    <mergeCell ref="B11:D11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B13:B64"/>
    <mergeCell ref="C13:C15"/>
    <mergeCell ref="D13:D15"/>
    <mergeCell ref="C16:C19"/>
    <mergeCell ref="D17:D19"/>
    <mergeCell ref="C20:C23"/>
    <mergeCell ref="D20:D23"/>
    <mergeCell ref="C24:C32"/>
    <mergeCell ref="D24:D25"/>
    <mergeCell ref="D26:D30"/>
    <mergeCell ref="D31:D32"/>
    <mergeCell ref="C33:C39"/>
    <mergeCell ref="D33:D35"/>
    <mergeCell ref="D36:D37"/>
    <mergeCell ref="D38:D39"/>
    <mergeCell ref="C40:C43"/>
    <mergeCell ref="D40:D41"/>
    <mergeCell ref="D42:D43"/>
    <mergeCell ref="C44:C53"/>
    <mergeCell ref="D44:D47"/>
    <mergeCell ref="D48:D53"/>
    <mergeCell ref="C54:C56"/>
    <mergeCell ref="D54:D56"/>
    <mergeCell ref="C57:C59"/>
    <mergeCell ref="D57:D58"/>
    <mergeCell ref="C60:C64"/>
    <mergeCell ref="D60:D61"/>
    <mergeCell ref="D62:D63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ECBB343F-7E58-4A2E-B7D1-7131A5249448}" type="list" allowBlank="1" errorStyle="stop" imeMode="noControl" operator="between" showDropDown="0" showErrorMessage="0" showInputMessage="0">
          <x14:formula1>
            <xm:f>"High,Medium,Low,Critical"</xm:f>
          </x14:formula1>
          <xm:sqref>F13:F109</xm:sqref>
        </x14:dataValidation>
        <x14:dataValidation xr:uid="{258A8771-C7CF-4FBB-9C67-3D799A907365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M13:M109 R13:R109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 tabSelected="1">
      <selection activeCell="A13" activeCellId="0" sqref="A13"/>
    </sheetView>
  </sheetViews>
  <sheetFormatPr baseColWidth="8" defaultColWidth="12.5703125" defaultRowHeight="15" customHeight="1"/>
  <cols>
    <col customWidth="1" min="1" max="1" style="69" width="4.140625"/>
    <col customWidth="1" min="2" max="3" style="68" width="22.85546875"/>
    <col customWidth="1" min="4" max="4" style="68" width="14.42578125"/>
    <col customWidth="1" min="5" max="5" style="68" width="21.7109375"/>
    <col customWidth="1" min="6" max="6" style="68" width="9.5703125"/>
    <col customWidth="1" min="7" max="7" style="68" width="9.421875"/>
    <col customWidth="1" min="8" max="8" style="68" width="31.85546875"/>
    <col customWidth="1" min="9" max="9" style="68" width="21.5703125"/>
    <col customWidth="1" min="10" max="10" style="68" width="46.42578125"/>
    <col customWidth="1" min="11" max="11" style="68" width="34.42578125"/>
    <col customWidth="1" min="12" max="12" style="68" width="10.28515625"/>
    <col customWidth="1" min="13" max="16" style="68" width="9.5703125"/>
    <col customWidth="1" min="17" max="17" style="68" width="13.42578125"/>
    <col customWidth="1" min="18" max="19" style="68" width="9.5703125"/>
    <col customWidth="1" min="20" max="20" style="68" width="11.7109375"/>
    <col customWidth="1" min="21" max="21" style="68" width="9.5703125"/>
    <col customWidth="1" min="22" max="22" style="68" width="17.7109375"/>
    <col customWidth="1" min="23" max="23" style="68" width="34"/>
    <col customWidth="1" min="24" max="24" style="68" width="22.7109375"/>
    <col customWidth="1" min="25" max="29" style="68" width="34"/>
    <col min="30" max="16384" style="68" width="12.5703125"/>
  </cols>
  <sheetData>
    <row r="1" ht="15.75" customHeight="1">
      <c r="A1" s="70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2"/>
      <c r="Q1" s="71"/>
      <c r="R1" s="71"/>
      <c r="S1" s="71"/>
      <c r="T1" s="71"/>
      <c r="U1" s="71"/>
      <c r="V1" s="71"/>
      <c r="W1" s="73"/>
      <c r="X1" s="73"/>
      <c r="Y1" s="73"/>
      <c r="Z1" s="73"/>
      <c r="AA1" s="73"/>
      <c r="AB1" s="73"/>
      <c r="AC1" s="73"/>
    </row>
    <row r="2" ht="15.75" customHeight="1">
      <c r="A2" s="70"/>
      <c r="B2" s="71"/>
      <c r="C2" s="71"/>
      <c r="D2" s="71"/>
      <c r="E2" s="71"/>
      <c r="F2" s="71"/>
      <c r="G2" s="71"/>
      <c r="H2" s="71"/>
      <c r="I2" s="71"/>
      <c r="J2" s="71"/>
      <c r="K2" s="71"/>
      <c r="T2" s="71"/>
      <c r="U2" s="71"/>
      <c r="V2" s="71"/>
      <c r="W2" s="73"/>
      <c r="X2" s="73"/>
      <c r="Y2" s="73"/>
      <c r="Z2" s="73"/>
      <c r="AA2" s="73"/>
      <c r="AB2" s="73"/>
      <c r="AC2" s="73"/>
    </row>
    <row r="3" ht="15.75" customHeight="1">
      <c r="A3" s="70"/>
      <c r="B3" s="74" t="s">
        <v>76</v>
      </c>
      <c r="C3" s="75" t="s">
        <v>1109</v>
      </c>
      <c r="D3" s="76"/>
      <c r="E3" s="77"/>
      <c r="F3" s="71"/>
      <c r="G3" s="71"/>
      <c r="H3" s="71"/>
      <c r="I3" s="71"/>
      <c r="J3" s="71"/>
      <c r="K3" s="74" t="s">
        <v>78</v>
      </c>
      <c r="L3" s="78" t="s">
        <v>29</v>
      </c>
      <c r="M3" s="78" t="s">
        <v>30</v>
      </c>
      <c r="N3" s="78" t="s">
        <v>31</v>
      </c>
      <c r="O3" s="78" t="s">
        <v>32</v>
      </c>
      <c r="P3" s="79" t="s">
        <v>33</v>
      </c>
      <c r="Q3" s="78" t="s">
        <v>34</v>
      </c>
      <c r="R3" s="78" t="s">
        <v>35</v>
      </c>
      <c r="S3" s="71"/>
      <c r="T3" s="71"/>
      <c r="U3" s="71"/>
      <c r="V3" s="71"/>
      <c r="W3" s="73"/>
      <c r="X3" s="73"/>
      <c r="Y3" s="73"/>
      <c r="Z3" s="73"/>
      <c r="AA3" s="73"/>
      <c r="AB3" s="73"/>
      <c r="AC3" s="73"/>
    </row>
    <row r="4" ht="15.75" customHeight="1">
      <c r="A4" s="70"/>
      <c r="B4" s="74" t="s">
        <v>79</v>
      </c>
      <c r="C4" s="80" t="s">
        <v>1110</v>
      </c>
      <c r="D4" s="81"/>
      <c r="E4" s="77"/>
      <c r="F4" s="71"/>
      <c r="G4" s="71"/>
      <c r="H4" s="71"/>
      <c r="I4" s="71"/>
      <c r="J4" s="71"/>
      <c r="K4" s="74" t="s">
        <v>81</v>
      </c>
      <c r="L4" s="82">
        <f>COUNTA($G$13:$G$141)</f>
      </c>
      <c r="M4" s="83">
        <f>COUNTIF($M$13:$M$141,M3)</f>
      </c>
      <c r="N4" s="83">
        <f>COUNTIF($M$13:$M$141,N3)</f>
      </c>
      <c r="O4" s="83">
        <f>COUNTIF($M$13:$M$141,O3)</f>
      </c>
      <c r="P4" s="84">
        <f>COUNTIF($M$13:$M$141,P3)</f>
      </c>
      <c r="Q4" s="83">
        <f>COUNTIF($M$13:$M$141,Q3)</f>
      </c>
      <c r="R4" s="83">
        <f>L4-SUM(M4:Q4)</f>
      </c>
      <c r="S4" s="85"/>
      <c r="T4" s="71"/>
      <c r="U4" s="71"/>
      <c r="V4" s="71"/>
      <c r="W4" s="73"/>
      <c r="X4" s="73"/>
      <c r="Y4" s="73"/>
      <c r="Z4" s="73"/>
      <c r="AA4" s="73"/>
      <c r="AB4" s="73"/>
      <c r="AC4" s="73"/>
    </row>
    <row r="5" ht="15.75" customHeight="1">
      <c r="A5" s="70"/>
      <c r="B5" s="74" t="s">
        <v>3</v>
      </c>
      <c r="C5" s="80" t="s">
        <v>82</v>
      </c>
      <c r="D5" s="81"/>
      <c r="E5" s="77"/>
      <c r="F5" s="71"/>
      <c r="G5" s="71"/>
      <c r="H5" s="71"/>
      <c r="I5" s="71"/>
      <c r="J5" s="71"/>
      <c r="K5" s="86"/>
      <c r="L5" s="86"/>
      <c r="M5" s="87">
        <f>M4/$L$4</f>
      </c>
      <c r="N5" s="87">
        <f>N4/$L$4</f>
      </c>
      <c r="O5" s="87">
        <f>O4/$L$4</f>
      </c>
      <c r="P5" s="88">
        <f>P4/$L$4</f>
      </c>
      <c r="Q5" s="87">
        <f>Q4/$L$4</f>
      </c>
      <c r="R5" s="87">
        <f>R4/$L$4</f>
      </c>
      <c r="S5" s="71"/>
      <c r="T5" s="71"/>
      <c r="U5" s="71"/>
      <c r="V5" s="71"/>
      <c r="W5" s="73"/>
      <c r="X5" s="73"/>
      <c r="Y5" s="73"/>
      <c r="Z5" s="73"/>
      <c r="AA5" s="73"/>
      <c r="AB5" s="73"/>
      <c r="AC5" s="73"/>
    </row>
    <row r="6" ht="15.75" customHeight="1">
      <c r="A6" s="70"/>
      <c r="B6" s="74" t="s">
        <v>83</v>
      </c>
      <c r="C6" s="89" t="s">
        <v>84</v>
      </c>
      <c r="D6" s="81"/>
      <c r="E6" s="77"/>
      <c r="F6" s="71"/>
      <c r="G6" s="71"/>
      <c r="H6" s="71"/>
      <c r="I6" s="71"/>
      <c r="J6" s="71"/>
      <c r="K6" s="90" t="s">
        <v>85</v>
      </c>
      <c r="L6" s="91">
        <f>COUNTA($G$13:$G$141)</f>
      </c>
      <c r="M6" s="92">
        <f>COUNTIF($R$13:$R$141,M3)</f>
      </c>
      <c r="N6" s="92">
        <f>COUNTIF($R$13:$R$141,N3)</f>
      </c>
      <c r="O6" s="92">
        <f>COUNTIF($R$13:$R$141,O3)</f>
      </c>
      <c r="P6" s="93">
        <f>COUNTIF($R$13:$R$141,P3)</f>
      </c>
      <c r="Q6" s="92">
        <f>COUNTIF($R$13:$R$141,Q3)</f>
      </c>
      <c r="R6" s="92">
        <f>L6-SUM(M6:Q6)</f>
      </c>
      <c r="S6" s="85"/>
      <c r="T6" s="71"/>
      <c r="U6" s="71"/>
      <c r="V6" s="71"/>
      <c r="W6" s="73"/>
      <c r="X6" s="73"/>
      <c r="Y6" s="73"/>
      <c r="Z6" s="73"/>
      <c r="AA6" s="73"/>
      <c r="AB6" s="73"/>
      <c r="AC6" s="73"/>
    </row>
    <row r="7" ht="15.75" customHeight="1">
      <c r="A7" s="70"/>
      <c r="B7" s="74" t="s">
        <v>17</v>
      </c>
      <c r="C7" s="94" t="s">
        <v>1111</v>
      </c>
      <c r="D7" s="95"/>
      <c r="E7" s="77"/>
      <c r="F7" s="71"/>
      <c r="G7" s="71"/>
      <c r="H7" s="71"/>
      <c r="I7" s="71"/>
      <c r="J7" s="71"/>
      <c r="K7" s="86"/>
      <c r="L7" s="86"/>
      <c r="M7" s="96">
        <f>M6/$L$6</f>
      </c>
      <c r="N7" s="96">
        <f>N6/$L$6</f>
      </c>
      <c r="O7" s="96">
        <f>O6/$L$6</f>
      </c>
      <c r="P7" s="97">
        <f>P6/$L$6</f>
      </c>
      <c r="Q7" s="96">
        <f>Q6/$L$6</f>
      </c>
      <c r="R7" s="96">
        <f>R6/$L$6</f>
      </c>
      <c r="S7" s="71"/>
      <c r="T7" s="71"/>
      <c r="U7" s="71"/>
      <c r="V7" s="71"/>
      <c r="W7" s="73"/>
      <c r="X7" s="73"/>
      <c r="Y7" s="73"/>
      <c r="Z7" s="73"/>
      <c r="AA7" s="73"/>
      <c r="AB7" s="73"/>
      <c r="AC7" s="73"/>
    </row>
    <row r="8" ht="15.75" customHeight="1">
      <c r="A8" s="70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2"/>
      <c r="Q8" s="71"/>
      <c r="R8" s="71"/>
      <c r="S8" s="71"/>
      <c r="T8" s="71"/>
      <c r="U8" s="71"/>
      <c r="V8" s="71"/>
      <c r="W8" s="73"/>
      <c r="X8" s="73"/>
      <c r="Y8" s="73"/>
      <c r="Z8" s="73"/>
      <c r="AA8" s="73"/>
      <c r="AB8" s="73"/>
      <c r="AC8" s="73"/>
    </row>
    <row r="9" ht="15.75" customHeight="1">
      <c r="A9" s="70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2"/>
      <c r="Q9" s="71"/>
      <c r="R9" s="71"/>
      <c r="S9" s="71"/>
      <c r="T9" s="71"/>
      <c r="U9" s="71"/>
      <c r="V9" s="71"/>
      <c r="W9" s="73"/>
      <c r="X9" s="73"/>
      <c r="Y9" s="73"/>
      <c r="Z9" s="73"/>
      <c r="AA9" s="73"/>
      <c r="AB9" s="73"/>
      <c r="AC9" s="73"/>
    </row>
    <row r="10" ht="15.75" customHeight="1">
      <c r="A10" s="70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4" t="s">
        <v>81</v>
      </c>
      <c r="N10" s="98"/>
      <c r="O10" s="98"/>
      <c r="P10" s="98"/>
      <c r="Q10" s="99"/>
      <c r="R10" s="90" t="s">
        <v>85</v>
      </c>
      <c r="S10" s="98"/>
      <c r="T10" s="98"/>
      <c r="U10" s="98"/>
      <c r="V10" s="99"/>
      <c r="W10" s="73"/>
      <c r="X10" s="73"/>
      <c r="Y10" s="73"/>
      <c r="Z10" s="73"/>
      <c r="AA10" s="73"/>
      <c r="AB10" s="73"/>
      <c r="AC10" s="73"/>
    </row>
    <row r="11" ht="15.75" customHeight="1">
      <c r="A11" s="100"/>
      <c r="B11" s="78" t="s">
        <v>87</v>
      </c>
      <c r="C11" s="98"/>
      <c r="D11" s="99"/>
      <c r="E11" s="78"/>
      <c r="F11" s="101" t="s">
        <v>88</v>
      </c>
      <c r="G11" s="101" t="s">
        <v>89</v>
      </c>
      <c r="H11" s="101" t="s">
        <v>90</v>
      </c>
      <c r="I11" s="101" t="s">
        <v>91</v>
      </c>
      <c r="J11" s="101" t="s">
        <v>92</v>
      </c>
      <c r="K11" s="101" t="s">
        <v>93</v>
      </c>
      <c r="L11" s="101" t="s">
        <v>94</v>
      </c>
      <c r="M11" s="101" t="s">
        <v>95</v>
      </c>
      <c r="N11" s="101" t="s">
        <v>96</v>
      </c>
      <c r="O11" s="101" t="s">
        <v>97</v>
      </c>
      <c r="P11" s="102" t="s">
        <v>98</v>
      </c>
      <c r="Q11" s="101" t="s">
        <v>99</v>
      </c>
      <c r="R11" s="103" t="s">
        <v>95</v>
      </c>
      <c r="S11" s="103" t="s">
        <v>96</v>
      </c>
      <c r="T11" s="103" t="s">
        <v>97</v>
      </c>
      <c r="U11" s="103" t="s">
        <v>98</v>
      </c>
      <c r="V11" s="103" t="s">
        <v>99</v>
      </c>
      <c r="W11" s="101" t="s">
        <v>1117</v>
      </c>
      <c r="X11" s="101" t="s">
        <v>101</v>
      </c>
      <c r="Y11" s="73"/>
      <c r="Z11" s="73"/>
      <c r="AA11" s="73"/>
      <c r="AB11" s="73"/>
      <c r="AC11" s="73"/>
    </row>
    <row r="12" ht="15.75" customHeight="1">
      <c r="A12" s="100" t="s">
        <v>102</v>
      </c>
      <c r="B12" s="101" t="s">
        <v>103</v>
      </c>
      <c r="C12" s="101" t="s">
        <v>104</v>
      </c>
      <c r="D12" s="101" t="s">
        <v>105</v>
      </c>
      <c r="E12" s="101" t="s">
        <v>106</v>
      </c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73"/>
      <c r="Z12" s="73"/>
      <c r="AA12" s="73"/>
      <c r="AB12" s="73"/>
      <c r="AC12" s="73"/>
    </row>
    <row r="13" customHeight="1" ht="60.0">
      <c r="A13" s="107">
        <v>1</v>
      </c>
      <c r="B13" s="108" t="s">
        <v>108</v>
      </c>
      <c r="C13" s="108" t="s">
        <v>415</v>
      </c>
      <c r="D13" s="80" t="s">
        <v>416</v>
      </c>
      <c r="E13" s="80" t="s">
        <v>417</v>
      </c>
      <c r="F13" s="80" t="s">
        <v>111</v>
      </c>
      <c r="G13" s="80" t="s">
        <v>112</v>
      </c>
      <c r="H13" s="80" t="s">
        <v>418</v>
      </c>
      <c r="I13" s="80" t="s">
        <v>419</v>
      </c>
      <c r="J13" s="80" t="s">
        <v>420</v>
      </c>
      <c r="K13" s="80" t="s">
        <v>421</v>
      </c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 t="s">
        <v>422</v>
      </c>
      <c r="Y13" s="77"/>
      <c r="Z13" s="77"/>
      <c r="AA13" s="77"/>
      <c r="AB13" s="77"/>
      <c r="AC13" s="73"/>
    </row>
    <row r="14" customHeight="1" ht="34.0">
      <c r="A14" s="107">
        <v>2</v>
      </c>
      <c r="B14" s="108"/>
      <c r="C14" s="109"/>
      <c r="D14" s="80" t="s">
        <v>423</v>
      </c>
      <c r="E14" s="80" t="s">
        <v>117</v>
      </c>
      <c r="F14" s="80" t="s">
        <v>118</v>
      </c>
      <c r="G14" s="80" t="s">
        <v>119</v>
      </c>
      <c r="H14" s="80" t="s">
        <v>424</v>
      </c>
      <c r="I14" s="80" t="s">
        <v>425</v>
      </c>
      <c r="J14" s="80" t="s">
        <v>426</v>
      </c>
      <c r="K14" s="80" t="s">
        <v>427</v>
      </c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 t="s">
        <v>422</v>
      </c>
      <c r="Y14" s="77"/>
      <c r="Z14" s="77"/>
      <c r="AA14" s="77"/>
      <c r="AB14" s="77"/>
      <c r="AC14" s="73"/>
    </row>
    <row r="15" customHeight="1" ht="46.5">
      <c r="A15" s="107">
        <v>3</v>
      </c>
      <c r="B15" s="108"/>
      <c r="C15" s="108" t="s">
        <v>428</v>
      </c>
      <c r="D15" s="80" t="s">
        <v>429</v>
      </c>
      <c r="E15" s="80" t="s">
        <v>430</v>
      </c>
      <c r="F15" s="80" t="s">
        <v>111</v>
      </c>
      <c r="G15" s="80" t="s">
        <v>125</v>
      </c>
      <c r="H15" s="80" t="s">
        <v>431</v>
      </c>
      <c r="I15" s="80" t="s">
        <v>432</v>
      </c>
      <c r="J15" s="80" t="s">
        <v>433</v>
      </c>
      <c r="K15" s="80" t="s">
        <v>434</v>
      </c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 t="s">
        <v>435</v>
      </c>
      <c r="Y15" s="77"/>
      <c r="Z15" s="77"/>
      <c r="AA15" s="77"/>
      <c r="AB15" s="77"/>
      <c r="AC15" s="73"/>
    </row>
    <row r="16" customHeight="1" ht="34.0">
      <c r="A16" s="107">
        <v>4</v>
      </c>
      <c r="B16" s="108"/>
      <c r="C16" s="108"/>
      <c r="D16" s="108" t="s">
        <v>423</v>
      </c>
      <c r="E16" s="80" t="s">
        <v>436</v>
      </c>
      <c r="F16" s="80" t="s">
        <v>118</v>
      </c>
      <c r="G16" s="80" t="s">
        <v>135</v>
      </c>
      <c r="H16" s="80" t="s">
        <v>437</v>
      </c>
      <c r="I16" s="80" t="s">
        <v>425</v>
      </c>
      <c r="J16" s="80" t="s">
        <v>438</v>
      </c>
      <c r="K16" s="80" t="s">
        <v>439</v>
      </c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 t="s">
        <v>435</v>
      </c>
      <c r="Y16" s="77"/>
      <c r="Z16" s="77"/>
      <c r="AA16" s="77"/>
      <c r="AB16" s="77"/>
      <c r="AC16" s="73"/>
    </row>
    <row r="17" customHeight="1" ht="34.0">
      <c r="A17" s="107">
        <v>5</v>
      </c>
      <c r="B17" s="109"/>
      <c r="C17" s="109"/>
      <c r="D17" s="109"/>
      <c r="E17" s="80" t="s">
        <v>440</v>
      </c>
      <c r="F17" s="80" t="s">
        <v>118</v>
      </c>
      <c r="G17" s="80" t="s">
        <v>142</v>
      </c>
      <c r="H17" s="80" t="s">
        <v>441</v>
      </c>
      <c r="I17" s="80" t="s">
        <v>425</v>
      </c>
      <c r="J17" s="80" t="s">
        <v>442</v>
      </c>
      <c r="K17" s="113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112" t="s">
        <v>443</v>
      </c>
      <c r="X17" s="80" t="s">
        <v>435</v>
      </c>
      <c r="Y17" s="77"/>
      <c r="Z17" s="77"/>
      <c r="AA17" s="77"/>
      <c r="AB17" s="77"/>
      <c r="AC17" s="73"/>
    </row>
    <row r="18" customHeight="1" ht="73.5">
      <c r="A18" s="107">
        <v>6</v>
      </c>
      <c r="B18" s="108" t="s">
        <v>444</v>
      </c>
      <c r="C18" s="109" t="s">
        <v>445</v>
      </c>
      <c r="D18" s="80" t="s">
        <v>180</v>
      </c>
      <c r="E18" s="80" t="s">
        <v>446</v>
      </c>
      <c r="F18" s="80" t="s">
        <v>118</v>
      </c>
      <c r="G18" s="80" t="s">
        <v>147</v>
      </c>
      <c r="H18" s="80" t="s">
        <v>447</v>
      </c>
      <c r="I18" s="80" t="s">
        <v>432</v>
      </c>
      <c r="J18" s="80" t="s">
        <v>448</v>
      </c>
      <c r="K18" s="80" t="s">
        <v>449</v>
      </c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112" t="s">
        <v>450</v>
      </c>
      <c r="X18" s="80" t="s">
        <v>422</v>
      </c>
      <c r="Y18" s="77"/>
      <c r="Z18" s="77"/>
      <c r="AA18" s="77"/>
      <c r="AB18" s="77"/>
      <c r="AC18" s="73"/>
    </row>
    <row r="19" customHeight="1" ht="34.0">
      <c r="A19" s="107">
        <v>7</v>
      </c>
      <c r="B19" s="108"/>
      <c r="C19" s="108" t="s">
        <v>451</v>
      </c>
      <c r="D19" s="80" t="s">
        <v>180</v>
      </c>
      <c r="E19" s="80" t="s">
        <v>452</v>
      </c>
      <c r="F19" s="80" t="s">
        <v>111</v>
      </c>
      <c r="G19" s="80" t="s">
        <v>152</v>
      </c>
      <c r="H19" s="80" t="s">
        <v>453</v>
      </c>
      <c r="I19" s="80" t="s">
        <v>432</v>
      </c>
      <c r="J19" s="80" t="s">
        <v>161</v>
      </c>
      <c r="K19" s="80" t="s">
        <v>454</v>
      </c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112" t="s">
        <v>455</v>
      </c>
      <c r="X19" s="80" t="s">
        <v>456</v>
      </c>
      <c r="Y19" s="77"/>
      <c r="Z19" s="77"/>
      <c r="AA19" s="77"/>
      <c r="AB19" s="77"/>
      <c r="AC19" s="73"/>
    </row>
    <row r="20" customHeight="1" ht="46.5">
      <c r="A20" s="107">
        <v>8</v>
      </c>
      <c r="B20" s="108"/>
      <c r="C20" s="108"/>
      <c r="D20" s="108" t="s">
        <v>457</v>
      </c>
      <c r="E20" s="80" t="s">
        <v>458</v>
      </c>
      <c r="F20" s="80" t="s">
        <v>111</v>
      </c>
      <c r="G20" s="80" t="s">
        <v>159</v>
      </c>
      <c r="H20" s="80" t="s">
        <v>459</v>
      </c>
      <c r="I20" s="80" t="s">
        <v>432</v>
      </c>
      <c r="J20" s="80" t="s">
        <v>460</v>
      </c>
      <c r="K20" s="80" t="s">
        <v>461</v>
      </c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 t="s">
        <v>456</v>
      </c>
      <c r="Y20" s="77"/>
      <c r="Z20" s="77"/>
      <c r="AA20" s="77"/>
      <c r="AB20" s="77"/>
      <c r="AC20" s="73"/>
    </row>
    <row r="21" customHeight="1" ht="181.5">
      <c r="A21" s="107">
        <v>9</v>
      </c>
      <c r="B21" s="108"/>
      <c r="C21" s="108"/>
      <c r="D21" s="109"/>
      <c r="E21" s="80" t="s">
        <v>462</v>
      </c>
      <c r="F21" s="80" t="s">
        <v>111</v>
      </c>
      <c r="G21" s="80" t="s">
        <v>165</v>
      </c>
      <c r="H21" s="80" t="s">
        <v>463</v>
      </c>
      <c r="I21" s="80" t="s">
        <v>432</v>
      </c>
      <c r="J21" s="80" t="s">
        <v>464</v>
      </c>
      <c r="K21" s="80" t="s">
        <v>465</v>
      </c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 t="s">
        <v>456</v>
      </c>
      <c r="Y21" s="77"/>
      <c r="Z21" s="77"/>
      <c r="AA21" s="77"/>
      <c r="AB21" s="77"/>
      <c r="AC21" s="73"/>
    </row>
    <row r="22" customHeight="1" ht="60.0">
      <c r="A22" s="107">
        <v>10</v>
      </c>
      <c r="B22" s="108"/>
      <c r="C22" s="108"/>
      <c r="D22" s="108" t="s">
        <v>466</v>
      </c>
      <c r="E22" s="80" t="s">
        <v>467</v>
      </c>
      <c r="F22" s="80" t="s">
        <v>111</v>
      </c>
      <c r="G22" s="80" t="s">
        <v>170</v>
      </c>
      <c r="H22" s="80" t="s">
        <v>468</v>
      </c>
      <c r="I22" s="80" t="s">
        <v>432</v>
      </c>
      <c r="J22" s="80" t="s">
        <v>469</v>
      </c>
      <c r="K22" s="80" t="s">
        <v>470</v>
      </c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112" t="s">
        <v>471</v>
      </c>
      <c r="X22" s="80" t="s">
        <v>456</v>
      </c>
      <c r="Y22" s="77"/>
      <c r="Z22" s="77"/>
      <c r="AA22" s="77"/>
      <c r="AB22" s="77"/>
      <c r="AC22" s="73"/>
    </row>
    <row r="23" customHeight="1" ht="60.0">
      <c r="A23" s="107">
        <v>11</v>
      </c>
      <c r="B23" s="108"/>
      <c r="C23" s="108"/>
      <c r="D23" s="109"/>
      <c r="E23" s="80" t="s">
        <v>472</v>
      </c>
      <c r="F23" s="80" t="s">
        <v>118</v>
      </c>
      <c r="G23" s="80" t="s">
        <v>175</v>
      </c>
      <c r="H23" s="80" t="s">
        <v>473</v>
      </c>
      <c r="I23" s="80" t="s">
        <v>432</v>
      </c>
      <c r="J23" s="80" t="s">
        <v>474</v>
      </c>
      <c r="K23" s="80" t="s">
        <v>475</v>
      </c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112" t="s">
        <v>476</v>
      </c>
      <c r="X23" s="80" t="s">
        <v>456</v>
      </c>
      <c r="Y23" s="77"/>
      <c r="Z23" s="77"/>
      <c r="AA23" s="77"/>
      <c r="AB23" s="77"/>
      <c r="AC23" s="73"/>
    </row>
    <row r="24" customHeight="1" ht="46.5">
      <c r="A24" s="107">
        <v>12</v>
      </c>
      <c r="B24" s="108"/>
      <c r="C24" s="108"/>
      <c r="D24" s="108" t="s">
        <v>477</v>
      </c>
      <c r="E24" s="80" t="s">
        <v>478</v>
      </c>
      <c r="F24" s="80" t="s">
        <v>118</v>
      </c>
      <c r="G24" s="80" t="s">
        <v>182</v>
      </c>
      <c r="H24" s="80" t="s">
        <v>479</v>
      </c>
      <c r="I24" s="80" t="s">
        <v>432</v>
      </c>
      <c r="J24" s="80" t="s">
        <v>480</v>
      </c>
      <c r="K24" s="80" t="s">
        <v>481</v>
      </c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 t="s">
        <v>456</v>
      </c>
      <c r="Y24" s="77"/>
      <c r="Z24" s="77"/>
      <c r="AA24" s="77"/>
      <c r="AB24" s="77"/>
      <c r="AC24" s="73"/>
    </row>
    <row r="25" customHeight="1" ht="87.0">
      <c r="A25" s="107">
        <v>13</v>
      </c>
      <c r="B25" s="108"/>
      <c r="C25" s="108"/>
      <c r="D25" s="109"/>
      <c r="E25" s="80" t="s">
        <v>482</v>
      </c>
      <c r="F25" s="80" t="s">
        <v>118</v>
      </c>
      <c r="G25" s="80" t="s">
        <v>187</v>
      </c>
      <c r="H25" s="80" t="s">
        <v>483</v>
      </c>
      <c r="I25" s="80" t="s">
        <v>432</v>
      </c>
      <c r="J25" s="80" t="s">
        <v>484</v>
      </c>
      <c r="K25" s="80" t="s">
        <v>485</v>
      </c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 t="s">
        <v>456</v>
      </c>
      <c r="Y25" s="77"/>
      <c r="Z25" s="77"/>
      <c r="AA25" s="77"/>
      <c r="AB25" s="77"/>
      <c r="AC25" s="73"/>
    </row>
    <row r="26" customHeight="1" ht="46.5">
      <c r="A26" s="107">
        <v>14</v>
      </c>
      <c r="B26" s="108"/>
      <c r="C26" s="108"/>
      <c r="D26" s="108" t="s">
        <v>218</v>
      </c>
      <c r="E26" s="80" t="s">
        <v>486</v>
      </c>
      <c r="F26" s="80" t="s">
        <v>111</v>
      </c>
      <c r="G26" s="80" t="s">
        <v>193</v>
      </c>
      <c r="H26" s="80" t="s">
        <v>487</v>
      </c>
      <c r="I26" s="80" t="s">
        <v>432</v>
      </c>
      <c r="J26" s="80" t="s">
        <v>488</v>
      </c>
      <c r="K26" s="80" t="s">
        <v>489</v>
      </c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112" t="s">
        <v>490</v>
      </c>
      <c r="X26" s="80" t="s">
        <v>456</v>
      </c>
      <c r="Y26" s="77"/>
      <c r="Z26" s="77"/>
      <c r="AA26" s="77"/>
      <c r="AB26" s="77"/>
      <c r="AC26" s="73"/>
    </row>
    <row r="27" customHeight="1" ht="60.0">
      <c r="A27" s="107">
        <v>15</v>
      </c>
      <c r="B27" s="108"/>
      <c r="C27" s="108"/>
      <c r="D27" s="108"/>
      <c r="E27" s="80" t="s">
        <v>491</v>
      </c>
      <c r="F27" s="80" t="s">
        <v>111</v>
      </c>
      <c r="G27" s="80" t="s">
        <v>198</v>
      </c>
      <c r="H27" s="80" t="s">
        <v>492</v>
      </c>
      <c r="I27" s="80" t="s">
        <v>432</v>
      </c>
      <c r="J27" s="80" t="s">
        <v>493</v>
      </c>
      <c r="K27" s="80" t="s">
        <v>494</v>
      </c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112" t="s">
        <v>490</v>
      </c>
      <c r="X27" s="80" t="s">
        <v>456</v>
      </c>
      <c r="Y27" s="77"/>
      <c r="Z27" s="77"/>
      <c r="AA27" s="77"/>
      <c r="AB27" s="77"/>
      <c r="AC27" s="73"/>
    </row>
    <row r="28" customHeight="1" ht="60.0">
      <c r="A28" s="107">
        <v>16</v>
      </c>
      <c r="B28" s="108"/>
      <c r="C28" s="108"/>
      <c r="D28" s="108"/>
      <c r="E28" s="80" t="s">
        <v>495</v>
      </c>
      <c r="F28" s="80" t="s">
        <v>118</v>
      </c>
      <c r="G28" s="80" t="s">
        <v>203</v>
      </c>
      <c r="H28" s="80" t="s">
        <v>496</v>
      </c>
      <c r="I28" s="80" t="s">
        <v>432</v>
      </c>
      <c r="J28" s="80" t="s">
        <v>497</v>
      </c>
      <c r="K28" s="113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112" t="s">
        <v>498</v>
      </c>
      <c r="X28" s="80" t="s">
        <v>456</v>
      </c>
      <c r="Y28" s="77"/>
      <c r="Z28" s="77"/>
      <c r="AA28" s="77"/>
      <c r="AB28" s="77"/>
      <c r="AC28" s="73"/>
    </row>
    <row r="29" customHeight="1" ht="60.0">
      <c r="A29" s="107">
        <v>17</v>
      </c>
      <c r="B29" s="108"/>
      <c r="C29" s="108"/>
      <c r="D29" s="108"/>
      <c r="E29" s="80" t="s">
        <v>499</v>
      </c>
      <c r="F29" s="80" t="s">
        <v>111</v>
      </c>
      <c r="G29" s="80" t="s">
        <v>209</v>
      </c>
      <c r="H29" s="80" t="s">
        <v>500</v>
      </c>
      <c r="I29" s="80" t="s">
        <v>432</v>
      </c>
      <c r="J29" s="80" t="s">
        <v>501</v>
      </c>
      <c r="K29" s="80" t="s">
        <v>502</v>
      </c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112" t="s">
        <v>490</v>
      </c>
      <c r="X29" s="80" t="s">
        <v>456</v>
      </c>
      <c r="Y29" s="77"/>
      <c r="Z29" s="77"/>
      <c r="AA29" s="77"/>
      <c r="AB29" s="77"/>
      <c r="AC29" s="73"/>
    </row>
    <row r="30" customHeight="1" ht="60.0">
      <c r="A30" s="107">
        <v>18</v>
      </c>
      <c r="B30" s="108"/>
      <c r="C30" s="108"/>
      <c r="D30" s="108"/>
      <c r="E30" s="80" t="s">
        <v>503</v>
      </c>
      <c r="F30" s="80" t="s">
        <v>118</v>
      </c>
      <c r="G30" s="80" t="s">
        <v>214</v>
      </c>
      <c r="H30" s="80" t="s">
        <v>504</v>
      </c>
      <c r="I30" s="80" t="s">
        <v>432</v>
      </c>
      <c r="J30" s="80" t="s">
        <v>505</v>
      </c>
      <c r="K30" s="113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112" t="s">
        <v>506</v>
      </c>
      <c r="X30" s="80" t="s">
        <v>456</v>
      </c>
      <c r="Y30" s="77"/>
      <c r="Z30" s="77"/>
      <c r="AA30" s="77"/>
      <c r="AB30" s="77"/>
      <c r="AC30" s="73"/>
    </row>
    <row r="31" customHeight="1" ht="60.0">
      <c r="A31" s="107">
        <v>19</v>
      </c>
      <c r="B31" s="108"/>
      <c r="C31" s="108"/>
      <c r="D31" s="108"/>
      <c r="E31" s="80" t="s">
        <v>507</v>
      </c>
      <c r="F31" s="80" t="s">
        <v>111</v>
      </c>
      <c r="G31" s="80" t="s">
        <v>220</v>
      </c>
      <c r="H31" s="80" t="s">
        <v>508</v>
      </c>
      <c r="I31" s="80" t="s">
        <v>432</v>
      </c>
      <c r="J31" s="80" t="s">
        <v>509</v>
      </c>
      <c r="K31" s="113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112" t="s">
        <v>510</v>
      </c>
      <c r="X31" s="80" t="s">
        <v>456</v>
      </c>
      <c r="Y31" s="77"/>
      <c r="Z31" s="77"/>
      <c r="AA31" s="77"/>
      <c r="AB31" s="77"/>
      <c r="AC31" s="73"/>
    </row>
    <row r="32" customHeight="1" ht="34.0">
      <c r="A32" s="107">
        <v>20</v>
      </c>
      <c r="B32" s="108"/>
      <c r="C32" s="108"/>
      <c r="D32" s="109"/>
      <c r="E32" s="80" t="s">
        <v>511</v>
      </c>
      <c r="F32" s="80" t="s">
        <v>118</v>
      </c>
      <c r="G32" s="80" t="s">
        <v>226</v>
      </c>
      <c r="H32" s="80" t="s">
        <v>199</v>
      </c>
      <c r="I32" s="80" t="s">
        <v>432</v>
      </c>
      <c r="J32" s="80" t="s">
        <v>512</v>
      </c>
      <c r="K32" s="113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112" t="s">
        <v>513</v>
      </c>
      <c r="X32" s="80" t="s">
        <v>456</v>
      </c>
      <c r="Y32" s="77"/>
      <c r="Z32" s="77"/>
      <c r="AA32" s="77"/>
      <c r="AB32" s="77"/>
      <c r="AC32" s="73"/>
    </row>
    <row r="33" customHeight="1" ht="73.5">
      <c r="A33" s="107">
        <v>21</v>
      </c>
      <c r="B33" s="108"/>
      <c r="C33" s="108"/>
      <c r="D33" s="108" t="s">
        <v>284</v>
      </c>
      <c r="E33" s="80" t="s">
        <v>514</v>
      </c>
      <c r="F33" s="80" t="s">
        <v>111</v>
      </c>
      <c r="G33" s="80" t="s">
        <v>231</v>
      </c>
      <c r="H33" s="80" t="s">
        <v>515</v>
      </c>
      <c r="I33" s="80" t="s">
        <v>432</v>
      </c>
      <c r="J33" s="80" t="s">
        <v>516</v>
      </c>
      <c r="K33" s="80" t="s">
        <v>517</v>
      </c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 t="s">
        <v>456</v>
      </c>
      <c r="Y33" s="77"/>
      <c r="Z33" s="77"/>
      <c r="AA33" s="77"/>
      <c r="AB33" s="77"/>
      <c r="AC33" s="73"/>
    </row>
    <row r="34" customHeight="1" ht="127.5">
      <c r="A34" s="107">
        <v>22</v>
      </c>
      <c r="B34" s="108"/>
      <c r="C34" s="108"/>
      <c r="D34" s="108"/>
      <c r="E34" s="80" t="s">
        <v>518</v>
      </c>
      <c r="F34" s="80" t="s">
        <v>111</v>
      </c>
      <c r="G34" s="80" t="s">
        <v>236</v>
      </c>
      <c r="H34" s="80" t="s">
        <v>519</v>
      </c>
      <c r="I34" s="80" t="s">
        <v>520</v>
      </c>
      <c r="J34" s="80" t="s">
        <v>521</v>
      </c>
      <c r="K34" s="80" t="s">
        <v>522</v>
      </c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112" t="s">
        <v>523</v>
      </c>
      <c r="X34" s="80" t="s">
        <v>456</v>
      </c>
      <c r="Y34" s="77"/>
      <c r="Z34" s="77"/>
      <c r="AA34" s="77"/>
      <c r="AB34" s="77"/>
      <c r="AC34" s="73"/>
    </row>
    <row r="35" customHeight="1" ht="46.5">
      <c r="A35" s="107">
        <v>23</v>
      </c>
      <c r="B35" s="108"/>
      <c r="C35" s="108"/>
      <c r="D35" s="108"/>
      <c r="E35" s="80" t="s">
        <v>524</v>
      </c>
      <c r="F35" s="80" t="s">
        <v>118</v>
      </c>
      <c r="G35" s="80" t="s">
        <v>241</v>
      </c>
      <c r="H35" s="80" t="s">
        <v>525</v>
      </c>
      <c r="I35" s="80" t="s">
        <v>526</v>
      </c>
      <c r="J35" s="80" t="s">
        <v>527</v>
      </c>
      <c r="K35" s="80" t="s">
        <v>528</v>
      </c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 t="s">
        <v>456</v>
      </c>
      <c r="Y35" s="77"/>
      <c r="Z35" s="77"/>
      <c r="AA35" s="77"/>
      <c r="AB35" s="77"/>
      <c r="AC35" s="73"/>
    </row>
    <row r="36" customHeight="1" ht="34.0">
      <c r="A36" s="107">
        <v>24</v>
      </c>
      <c r="B36" s="108"/>
      <c r="C36" s="108"/>
      <c r="D36" s="108"/>
      <c r="E36" s="80" t="s">
        <v>529</v>
      </c>
      <c r="F36" s="80" t="s">
        <v>118</v>
      </c>
      <c r="G36" s="80" t="s">
        <v>245</v>
      </c>
      <c r="H36" s="80" t="s">
        <v>530</v>
      </c>
      <c r="I36" s="80" t="s">
        <v>531</v>
      </c>
      <c r="J36" s="80" t="s">
        <v>532</v>
      </c>
      <c r="K36" s="80" t="s">
        <v>533</v>
      </c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 t="s">
        <v>456</v>
      </c>
      <c r="Y36" s="77"/>
      <c r="Z36" s="77"/>
      <c r="AA36" s="77"/>
      <c r="AB36" s="77"/>
      <c r="AC36" s="73"/>
    </row>
    <row r="37" customHeight="1" ht="73.5">
      <c r="A37" s="107">
        <v>25</v>
      </c>
      <c r="B37" s="108"/>
      <c r="C37" s="108"/>
      <c r="D37" s="108"/>
      <c r="E37" s="80" t="s">
        <v>534</v>
      </c>
      <c r="F37" s="80" t="s">
        <v>111</v>
      </c>
      <c r="G37" s="80" t="s">
        <v>248</v>
      </c>
      <c r="H37" s="80" t="s">
        <v>535</v>
      </c>
      <c r="I37" s="80" t="s">
        <v>432</v>
      </c>
      <c r="J37" s="80" t="s">
        <v>536</v>
      </c>
      <c r="K37" s="80" t="s">
        <v>537</v>
      </c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 t="s">
        <v>456</v>
      </c>
      <c r="Y37" s="77"/>
      <c r="Z37" s="77"/>
      <c r="AA37" s="77"/>
      <c r="AB37" s="77"/>
      <c r="AC37" s="73"/>
    </row>
    <row r="38" customHeight="1" ht="60.0">
      <c r="A38" s="107">
        <v>26</v>
      </c>
      <c r="B38" s="108"/>
      <c r="C38" s="108"/>
      <c r="D38" s="108"/>
      <c r="E38" s="80" t="s">
        <v>538</v>
      </c>
      <c r="F38" s="80" t="s">
        <v>118</v>
      </c>
      <c r="G38" s="80" t="s">
        <v>252</v>
      </c>
      <c r="H38" s="80" t="s">
        <v>539</v>
      </c>
      <c r="I38" s="80" t="s">
        <v>540</v>
      </c>
      <c r="J38" s="80" t="s">
        <v>541</v>
      </c>
      <c r="K38" s="80" t="s">
        <v>542</v>
      </c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 t="s">
        <v>456</v>
      </c>
      <c r="Y38" s="77"/>
      <c r="Z38" s="77"/>
      <c r="AA38" s="77"/>
      <c r="AB38" s="77"/>
      <c r="AC38" s="73"/>
    </row>
    <row r="39" customHeight="1" ht="46.5">
      <c r="A39" s="107">
        <v>27</v>
      </c>
      <c r="B39" s="108"/>
      <c r="C39" s="108"/>
      <c r="D39" s="109"/>
      <c r="E39" s="80" t="s">
        <v>543</v>
      </c>
      <c r="F39" s="80" t="s">
        <v>111</v>
      </c>
      <c r="G39" s="80" t="s">
        <v>257</v>
      </c>
      <c r="H39" s="80" t="s">
        <v>544</v>
      </c>
      <c r="I39" s="80" t="s">
        <v>540</v>
      </c>
      <c r="J39" s="80" t="s">
        <v>545</v>
      </c>
      <c r="K39" s="80" t="s">
        <v>546</v>
      </c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 t="s">
        <v>456</v>
      </c>
      <c r="Y39" s="77"/>
      <c r="Z39" s="77"/>
      <c r="AA39" s="77"/>
      <c r="AB39" s="77"/>
      <c r="AC39" s="73"/>
    </row>
    <row r="40" customHeight="1" ht="46.5">
      <c r="A40" s="107">
        <v>28</v>
      </c>
      <c r="B40" s="108"/>
      <c r="C40" s="108"/>
      <c r="D40" s="108" t="s">
        <v>308</v>
      </c>
      <c r="E40" s="80" t="s">
        <v>547</v>
      </c>
      <c r="F40" s="80" t="s">
        <v>118</v>
      </c>
      <c r="G40" s="80" t="s">
        <v>263</v>
      </c>
      <c r="H40" s="80" t="s">
        <v>548</v>
      </c>
      <c r="I40" s="80" t="s">
        <v>432</v>
      </c>
      <c r="J40" s="80" t="s">
        <v>549</v>
      </c>
      <c r="K40" s="80" t="s">
        <v>550</v>
      </c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112" t="s">
        <v>551</v>
      </c>
      <c r="X40" s="80" t="s">
        <v>456</v>
      </c>
      <c r="Y40" s="77"/>
      <c r="Z40" s="77"/>
      <c r="AA40" s="77"/>
      <c r="AB40" s="77"/>
      <c r="AC40" s="73"/>
    </row>
    <row r="41" customHeight="1" ht="34.0">
      <c r="A41" s="107">
        <v>29</v>
      </c>
      <c r="B41" s="108"/>
      <c r="C41" s="108"/>
      <c r="D41" s="108"/>
      <c r="E41" s="80" t="s">
        <v>552</v>
      </c>
      <c r="F41" s="80" t="s">
        <v>134</v>
      </c>
      <c r="G41" s="80" t="s">
        <v>268</v>
      </c>
      <c r="H41" s="80" t="s">
        <v>553</v>
      </c>
      <c r="I41" s="80" t="s">
        <v>432</v>
      </c>
      <c r="J41" s="80" t="s">
        <v>554</v>
      </c>
      <c r="K41" s="80" t="s">
        <v>555</v>
      </c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 t="s">
        <v>456</v>
      </c>
      <c r="Y41" s="77"/>
      <c r="Z41" s="77"/>
      <c r="AA41" s="77"/>
      <c r="AB41" s="77"/>
      <c r="AC41" s="73"/>
    </row>
    <row r="42" customHeight="1" ht="34.0">
      <c r="A42" s="107">
        <v>30</v>
      </c>
      <c r="B42" s="108"/>
      <c r="C42" s="109"/>
      <c r="D42" s="109"/>
      <c r="E42" s="80" t="s">
        <v>556</v>
      </c>
      <c r="F42" s="80" t="s">
        <v>134</v>
      </c>
      <c r="G42" s="80" t="s">
        <v>274</v>
      </c>
      <c r="H42" s="80" t="s">
        <v>557</v>
      </c>
      <c r="I42" s="80" t="s">
        <v>432</v>
      </c>
      <c r="J42" s="80" t="s">
        <v>558</v>
      </c>
      <c r="K42" s="113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112" t="s">
        <v>559</v>
      </c>
      <c r="X42" s="80" t="s">
        <v>456</v>
      </c>
      <c r="Y42" s="77"/>
      <c r="Z42" s="77"/>
      <c r="AA42" s="77"/>
      <c r="AB42" s="77"/>
      <c r="AC42" s="73"/>
    </row>
    <row r="43" customHeight="1" ht="34.0">
      <c r="A43" s="107">
        <v>31</v>
      </c>
      <c r="B43" s="108"/>
      <c r="C43" s="108" t="s">
        <v>560</v>
      </c>
      <c r="D43" s="80" t="s">
        <v>561</v>
      </c>
      <c r="E43" s="80" t="s">
        <v>562</v>
      </c>
      <c r="F43" s="80" t="s">
        <v>118</v>
      </c>
      <c r="G43" s="80" t="s">
        <v>279</v>
      </c>
      <c r="H43" s="80" t="s">
        <v>563</v>
      </c>
      <c r="I43" s="80" t="s">
        <v>432</v>
      </c>
      <c r="J43" s="80" t="s">
        <v>564</v>
      </c>
      <c r="K43" s="80" t="s">
        <v>565</v>
      </c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 t="s">
        <v>422</v>
      </c>
      <c r="Y43" s="77"/>
      <c r="Z43" s="77"/>
      <c r="AA43" s="77"/>
      <c r="AB43" s="77"/>
      <c r="AC43" s="73"/>
    </row>
    <row r="44" customHeight="1" ht="34.0">
      <c r="A44" s="107">
        <v>32</v>
      </c>
      <c r="B44" s="108"/>
      <c r="C44" s="108"/>
      <c r="D44" s="108" t="s">
        <v>566</v>
      </c>
      <c r="E44" s="80" t="s">
        <v>567</v>
      </c>
      <c r="F44" s="80" t="s">
        <v>134</v>
      </c>
      <c r="G44" s="80" t="s">
        <v>286</v>
      </c>
      <c r="H44" s="80" t="s">
        <v>568</v>
      </c>
      <c r="I44" s="80" t="s">
        <v>432</v>
      </c>
      <c r="J44" s="80" t="s">
        <v>569</v>
      </c>
      <c r="K44" s="80" t="s">
        <v>570</v>
      </c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 t="s">
        <v>422</v>
      </c>
      <c r="Y44" s="77"/>
      <c r="Z44" s="77"/>
      <c r="AA44" s="77"/>
      <c r="AB44" s="77"/>
      <c r="AC44" s="73"/>
    </row>
    <row r="45" customHeight="1" ht="60.0">
      <c r="A45" s="107">
        <v>33</v>
      </c>
      <c r="B45" s="108"/>
      <c r="C45" s="108"/>
      <c r="D45" s="108"/>
      <c r="E45" s="80" t="s">
        <v>571</v>
      </c>
      <c r="F45" s="80" t="s">
        <v>111</v>
      </c>
      <c r="G45" s="80" t="s">
        <v>292</v>
      </c>
      <c r="H45" s="80" t="s">
        <v>572</v>
      </c>
      <c r="I45" s="80" t="s">
        <v>432</v>
      </c>
      <c r="J45" s="80" t="s">
        <v>573</v>
      </c>
      <c r="K45" s="80" t="s">
        <v>574</v>
      </c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112" t="s">
        <v>575</v>
      </c>
      <c r="X45" s="80" t="s">
        <v>422</v>
      </c>
      <c r="Y45" s="77"/>
      <c r="Z45" s="77"/>
      <c r="AA45" s="77"/>
      <c r="AB45" s="77"/>
      <c r="AC45" s="73"/>
    </row>
    <row r="46" customHeight="1" ht="34.0">
      <c r="A46" s="107">
        <v>34</v>
      </c>
      <c r="B46" s="108"/>
      <c r="C46" s="108"/>
      <c r="D46" s="108"/>
      <c r="E46" s="80" t="s">
        <v>576</v>
      </c>
      <c r="F46" s="80" t="s">
        <v>118</v>
      </c>
      <c r="G46" s="80" t="s">
        <v>298</v>
      </c>
      <c r="H46" s="80" t="s">
        <v>577</v>
      </c>
      <c r="I46" s="80" t="s">
        <v>432</v>
      </c>
      <c r="J46" s="80" t="s">
        <v>578</v>
      </c>
      <c r="K46" s="113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112" t="s">
        <v>579</v>
      </c>
      <c r="X46" s="80" t="s">
        <v>422</v>
      </c>
      <c r="Y46" s="77"/>
      <c r="Z46" s="77"/>
      <c r="AA46" s="77"/>
      <c r="AB46" s="77"/>
      <c r="AC46" s="73"/>
    </row>
    <row r="47" customHeight="1" ht="73.5">
      <c r="A47" s="107">
        <v>35</v>
      </c>
      <c r="B47" s="108"/>
      <c r="C47" s="108"/>
      <c r="D47" s="108"/>
      <c r="E47" s="80" t="s">
        <v>580</v>
      </c>
      <c r="F47" s="80" t="s">
        <v>111</v>
      </c>
      <c r="G47" s="80" t="s">
        <v>303</v>
      </c>
      <c r="H47" s="80" t="s">
        <v>581</v>
      </c>
      <c r="I47" s="80" t="s">
        <v>432</v>
      </c>
      <c r="J47" s="80" t="s">
        <v>582</v>
      </c>
      <c r="K47" s="80" t="s">
        <v>583</v>
      </c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112" t="s">
        <v>584</v>
      </c>
      <c r="X47" s="80" t="s">
        <v>422</v>
      </c>
      <c r="Y47" s="77"/>
      <c r="Z47" s="77"/>
      <c r="AA47" s="77"/>
      <c r="AB47" s="77"/>
      <c r="AC47" s="73"/>
    </row>
    <row r="48" customHeight="1" ht="46.5">
      <c r="A48" s="107">
        <v>36</v>
      </c>
      <c r="B48" s="108"/>
      <c r="C48" s="108"/>
      <c r="D48" s="108"/>
      <c r="E48" s="80" t="s">
        <v>585</v>
      </c>
      <c r="F48" s="80" t="s">
        <v>118</v>
      </c>
      <c r="G48" s="80" t="s">
        <v>310</v>
      </c>
      <c r="H48" s="80" t="s">
        <v>586</v>
      </c>
      <c r="I48" s="80" t="s">
        <v>432</v>
      </c>
      <c r="J48" s="80" t="s">
        <v>587</v>
      </c>
      <c r="K48" s="80" t="s">
        <v>588</v>
      </c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 t="s">
        <v>422</v>
      </c>
      <c r="Y48" s="77"/>
      <c r="Z48" s="77"/>
      <c r="AA48" s="77"/>
      <c r="AB48" s="77"/>
      <c r="AC48" s="73"/>
    </row>
    <row r="49" customHeight="1" ht="34.0">
      <c r="A49" s="107">
        <v>37</v>
      </c>
      <c r="B49" s="108"/>
      <c r="C49" s="109"/>
      <c r="D49" s="109"/>
      <c r="E49" s="80" t="s">
        <v>589</v>
      </c>
      <c r="F49" s="80" t="s">
        <v>118</v>
      </c>
      <c r="G49" s="80" t="s">
        <v>316</v>
      </c>
      <c r="H49" s="80" t="s">
        <v>590</v>
      </c>
      <c r="I49" s="80" t="s">
        <v>432</v>
      </c>
      <c r="J49" s="80" t="s">
        <v>591</v>
      </c>
      <c r="K49" s="80" t="s">
        <v>592</v>
      </c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 t="s">
        <v>422</v>
      </c>
      <c r="Y49" s="77"/>
      <c r="Z49" s="77"/>
      <c r="AA49" s="77"/>
      <c r="AB49" s="77"/>
      <c r="AC49" s="73"/>
    </row>
    <row r="50" customHeight="1" ht="46.5">
      <c r="A50" s="107">
        <v>38</v>
      </c>
      <c r="B50" s="108"/>
      <c r="C50" s="108" t="s">
        <v>593</v>
      </c>
      <c r="D50" s="108" t="s">
        <v>180</v>
      </c>
      <c r="E50" s="80" t="s">
        <v>594</v>
      </c>
      <c r="F50" s="80" t="s">
        <v>111</v>
      </c>
      <c r="G50" s="80" t="s">
        <v>322</v>
      </c>
      <c r="H50" s="80" t="s">
        <v>595</v>
      </c>
      <c r="I50" s="80" t="s">
        <v>432</v>
      </c>
      <c r="J50" s="80" t="s">
        <v>596</v>
      </c>
      <c r="K50" s="80" t="s">
        <v>597</v>
      </c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112" t="s">
        <v>598</v>
      </c>
      <c r="X50" s="80" t="s">
        <v>422</v>
      </c>
      <c r="Y50" s="77"/>
      <c r="Z50" s="77"/>
      <c r="AA50" s="77"/>
      <c r="AB50" s="77"/>
      <c r="AC50" s="73"/>
    </row>
    <row r="51" customHeight="1" ht="46.5">
      <c r="A51" s="107">
        <v>39</v>
      </c>
      <c r="B51" s="108"/>
      <c r="C51" s="108"/>
      <c r="D51" s="108"/>
      <c r="E51" s="80" t="s">
        <v>599</v>
      </c>
      <c r="F51" s="80" t="s">
        <v>111</v>
      </c>
      <c r="G51" s="80" t="s">
        <v>330</v>
      </c>
      <c r="H51" s="80" t="s">
        <v>600</v>
      </c>
      <c r="I51" s="80" t="s">
        <v>432</v>
      </c>
      <c r="J51" s="80" t="s">
        <v>601</v>
      </c>
      <c r="K51" s="80" t="s">
        <v>602</v>
      </c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 t="s">
        <v>422</v>
      </c>
      <c r="Y51" s="77"/>
      <c r="Z51" s="77"/>
      <c r="AA51" s="77"/>
      <c r="AB51" s="77"/>
      <c r="AC51" s="73"/>
    </row>
    <row r="52" customHeight="1" ht="60.0">
      <c r="A52" s="107">
        <v>40</v>
      </c>
      <c r="B52" s="108"/>
      <c r="C52" s="108"/>
      <c r="D52" s="108"/>
      <c r="E52" s="80" t="s">
        <v>603</v>
      </c>
      <c r="F52" s="80" t="s">
        <v>111</v>
      </c>
      <c r="G52" s="80" t="s">
        <v>336</v>
      </c>
      <c r="H52" s="80" t="s">
        <v>604</v>
      </c>
      <c r="I52" s="80" t="s">
        <v>432</v>
      </c>
      <c r="J52" s="80" t="s">
        <v>605</v>
      </c>
      <c r="K52" s="80" t="s">
        <v>606</v>
      </c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 t="s">
        <v>422</v>
      </c>
      <c r="Y52" s="77"/>
      <c r="Z52" s="77"/>
      <c r="AA52" s="77"/>
      <c r="AB52" s="77"/>
      <c r="AC52" s="73"/>
    </row>
    <row r="53" customHeight="1" ht="60.0">
      <c r="A53" s="107">
        <v>41</v>
      </c>
      <c r="B53" s="108"/>
      <c r="C53" s="108"/>
      <c r="D53" s="108"/>
      <c r="E53" s="80" t="s">
        <v>607</v>
      </c>
      <c r="F53" s="80" t="s">
        <v>111</v>
      </c>
      <c r="G53" s="80" t="s">
        <v>341</v>
      </c>
      <c r="H53" s="80" t="s">
        <v>608</v>
      </c>
      <c r="I53" s="80" t="s">
        <v>432</v>
      </c>
      <c r="J53" s="80" t="s">
        <v>609</v>
      </c>
      <c r="K53" s="80" t="s">
        <v>610</v>
      </c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 t="s">
        <v>422</v>
      </c>
      <c r="Y53" s="77"/>
      <c r="Z53" s="77"/>
      <c r="AA53" s="77"/>
      <c r="AB53" s="77"/>
      <c r="AC53" s="73"/>
    </row>
    <row r="54" customHeight="1" ht="60.0">
      <c r="A54" s="107">
        <v>42</v>
      </c>
      <c r="B54" s="108"/>
      <c r="C54" s="108"/>
      <c r="D54" s="108"/>
      <c r="E54" s="80" t="s">
        <v>611</v>
      </c>
      <c r="F54" s="80" t="s">
        <v>118</v>
      </c>
      <c r="G54" s="80" t="s">
        <v>350</v>
      </c>
      <c r="H54" s="80" t="s">
        <v>612</v>
      </c>
      <c r="I54" s="80" t="s">
        <v>613</v>
      </c>
      <c r="J54" s="80" t="s">
        <v>614</v>
      </c>
      <c r="K54" s="80" t="s">
        <v>615</v>
      </c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112" t="s">
        <v>616</v>
      </c>
      <c r="X54" s="80" t="s">
        <v>422</v>
      </c>
      <c r="Y54" s="77"/>
      <c r="Z54" s="77"/>
      <c r="AA54" s="77"/>
      <c r="AB54" s="77"/>
      <c r="AC54" s="73"/>
    </row>
    <row r="55" customHeight="1" ht="46.5">
      <c r="A55" s="107">
        <v>43</v>
      </c>
      <c r="B55" s="108"/>
      <c r="C55" s="108"/>
      <c r="D55" s="108"/>
      <c r="E55" s="80" t="s">
        <v>617</v>
      </c>
      <c r="F55" s="80" t="s">
        <v>118</v>
      </c>
      <c r="G55" s="80" t="s">
        <v>355</v>
      </c>
      <c r="H55" s="80" t="s">
        <v>618</v>
      </c>
      <c r="I55" s="80" t="s">
        <v>432</v>
      </c>
      <c r="J55" s="80" t="s">
        <v>619</v>
      </c>
      <c r="K55" s="80" t="s">
        <v>620</v>
      </c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112" t="s">
        <v>621</v>
      </c>
      <c r="X55" s="80" t="s">
        <v>422</v>
      </c>
      <c r="Y55" s="77"/>
      <c r="Z55" s="77"/>
      <c r="AA55" s="77"/>
      <c r="AB55" s="77"/>
      <c r="AC55" s="73"/>
    </row>
    <row r="56" customHeight="1" ht="46.5">
      <c r="A56" s="107">
        <v>44</v>
      </c>
      <c r="B56" s="108"/>
      <c r="C56" s="108"/>
      <c r="D56" s="109"/>
      <c r="E56" s="80" t="s">
        <v>622</v>
      </c>
      <c r="F56" s="80" t="s">
        <v>111</v>
      </c>
      <c r="G56" s="80" t="s">
        <v>360</v>
      </c>
      <c r="H56" s="80" t="s">
        <v>623</v>
      </c>
      <c r="I56" s="80" t="s">
        <v>432</v>
      </c>
      <c r="J56" s="80" t="s">
        <v>624</v>
      </c>
      <c r="K56" s="113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112" t="s">
        <v>625</v>
      </c>
      <c r="X56" s="80" t="s">
        <v>626</v>
      </c>
      <c r="Y56" s="77"/>
      <c r="Z56" s="77"/>
      <c r="AA56" s="77"/>
      <c r="AB56" s="77"/>
      <c r="AC56" s="73"/>
    </row>
    <row r="57" customHeight="1" ht="34.0">
      <c r="A57" s="107">
        <v>45</v>
      </c>
      <c r="B57" s="108"/>
      <c r="C57" s="108"/>
      <c r="D57" s="108" t="s">
        <v>627</v>
      </c>
      <c r="E57" s="80" t="s">
        <v>628</v>
      </c>
      <c r="F57" s="80" t="s">
        <v>118</v>
      </c>
      <c r="G57" s="80" t="s">
        <v>367</v>
      </c>
      <c r="H57" s="80" t="s">
        <v>629</v>
      </c>
      <c r="I57" s="80" t="s">
        <v>432</v>
      </c>
      <c r="J57" s="80" t="s">
        <v>630</v>
      </c>
      <c r="K57" s="113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112" t="s">
        <v>631</v>
      </c>
      <c r="X57" s="80" t="s">
        <v>422</v>
      </c>
      <c r="Y57" s="77"/>
      <c r="Z57" s="77"/>
      <c r="AA57" s="77"/>
      <c r="AB57" s="77"/>
      <c r="AC57" s="73"/>
    </row>
    <row r="58" customHeight="1" ht="34.0">
      <c r="A58" s="107">
        <v>46</v>
      </c>
      <c r="B58" s="108"/>
      <c r="C58" s="108"/>
      <c r="D58" s="108"/>
      <c r="E58" s="80" t="s">
        <v>632</v>
      </c>
      <c r="F58" s="80" t="s">
        <v>118</v>
      </c>
      <c r="G58" s="80" t="s">
        <v>372</v>
      </c>
      <c r="H58" s="80" t="s">
        <v>633</v>
      </c>
      <c r="I58" s="80" t="s">
        <v>432</v>
      </c>
      <c r="J58" s="80" t="s">
        <v>634</v>
      </c>
      <c r="K58" s="80" t="s">
        <v>635</v>
      </c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112" t="s">
        <v>636</v>
      </c>
      <c r="X58" s="80" t="s">
        <v>422</v>
      </c>
      <c r="Y58" s="77"/>
      <c r="Z58" s="77"/>
      <c r="AA58" s="77"/>
      <c r="AB58" s="77"/>
      <c r="AC58" s="73"/>
    </row>
    <row r="59" customHeight="1" ht="34.0">
      <c r="A59" s="107">
        <v>47</v>
      </c>
      <c r="B59" s="108"/>
      <c r="C59" s="109"/>
      <c r="D59" s="109"/>
      <c r="E59" s="80" t="s">
        <v>637</v>
      </c>
      <c r="F59" s="80" t="s">
        <v>118</v>
      </c>
      <c r="G59" s="80" t="s">
        <v>378</v>
      </c>
      <c r="H59" s="80" t="s">
        <v>638</v>
      </c>
      <c r="I59" s="80" t="s">
        <v>432</v>
      </c>
      <c r="J59" s="80" t="s">
        <v>639</v>
      </c>
      <c r="K59" s="80" t="s">
        <v>640</v>
      </c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112" t="s">
        <v>636</v>
      </c>
      <c r="X59" s="80" t="s">
        <v>422</v>
      </c>
      <c r="Y59" s="77"/>
      <c r="Z59" s="77"/>
      <c r="AA59" s="77"/>
      <c r="AB59" s="77"/>
      <c r="AC59" s="73"/>
    </row>
    <row r="60" customHeight="1" ht="46.5">
      <c r="A60" s="107">
        <v>48</v>
      </c>
      <c r="B60" s="108"/>
      <c r="C60" s="108" t="s">
        <v>641</v>
      </c>
      <c r="D60" s="80" t="s">
        <v>180</v>
      </c>
      <c r="E60" s="80" t="s">
        <v>181</v>
      </c>
      <c r="F60" s="80" t="s">
        <v>118</v>
      </c>
      <c r="G60" s="80" t="s">
        <v>386</v>
      </c>
      <c r="H60" s="80" t="s">
        <v>642</v>
      </c>
      <c r="I60" s="80" t="s">
        <v>432</v>
      </c>
      <c r="J60" s="80" t="s">
        <v>643</v>
      </c>
      <c r="K60" s="113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112" t="s">
        <v>644</v>
      </c>
      <c r="X60" s="80" t="s">
        <v>422</v>
      </c>
      <c r="Y60" s="77"/>
      <c r="Z60" s="77"/>
      <c r="AA60" s="77"/>
      <c r="AB60" s="77"/>
      <c r="AC60" s="73"/>
    </row>
    <row r="61" customHeight="1" ht="60.0">
      <c r="A61" s="107">
        <v>49</v>
      </c>
      <c r="B61" s="108"/>
      <c r="C61" s="108"/>
      <c r="D61" s="80" t="s">
        <v>645</v>
      </c>
      <c r="E61" s="80" t="s">
        <v>646</v>
      </c>
      <c r="F61" s="80" t="s">
        <v>118</v>
      </c>
      <c r="G61" s="80" t="s">
        <v>391</v>
      </c>
      <c r="H61" s="80" t="s">
        <v>647</v>
      </c>
      <c r="I61" s="80" t="s">
        <v>648</v>
      </c>
      <c r="J61" s="80" t="s">
        <v>649</v>
      </c>
      <c r="K61" s="113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112" t="s">
        <v>650</v>
      </c>
      <c r="X61" s="80" t="s">
        <v>422</v>
      </c>
      <c r="Y61" s="77"/>
      <c r="Z61" s="77"/>
      <c r="AA61" s="77"/>
      <c r="AB61" s="77"/>
      <c r="AC61" s="73"/>
    </row>
    <row r="62" customHeight="1" ht="34.0">
      <c r="A62" s="107">
        <v>50</v>
      </c>
      <c r="B62" s="108"/>
      <c r="C62" s="108"/>
      <c r="D62" s="108" t="s">
        <v>651</v>
      </c>
      <c r="E62" s="80" t="s">
        <v>652</v>
      </c>
      <c r="F62" s="80" t="s">
        <v>134</v>
      </c>
      <c r="G62" s="80" t="s">
        <v>397</v>
      </c>
      <c r="H62" s="80" t="s">
        <v>653</v>
      </c>
      <c r="I62" s="80" t="s">
        <v>432</v>
      </c>
      <c r="J62" s="80" t="s">
        <v>654</v>
      </c>
      <c r="K62" s="80" t="s">
        <v>655</v>
      </c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 t="s">
        <v>422</v>
      </c>
      <c r="Y62" s="77"/>
      <c r="Z62" s="77"/>
      <c r="AA62" s="77"/>
      <c r="AB62" s="77"/>
      <c r="AC62" s="73"/>
    </row>
    <row r="63" customHeight="1" ht="60.0">
      <c r="A63" s="107">
        <v>51</v>
      </c>
      <c r="B63" s="108"/>
      <c r="C63" s="109"/>
      <c r="D63" s="109"/>
      <c r="E63" s="80" t="s">
        <v>656</v>
      </c>
      <c r="F63" s="80" t="s">
        <v>118</v>
      </c>
      <c r="G63" s="80" t="s">
        <v>403</v>
      </c>
      <c r="H63" s="80" t="s">
        <v>657</v>
      </c>
      <c r="I63" s="80" t="s">
        <v>648</v>
      </c>
      <c r="J63" s="80" t="s">
        <v>658</v>
      </c>
      <c r="K63" s="80" t="s">
        <v>659</v>
      </c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112" t="s">
        <v>660</v>
      </c>
      <c r="X63" s="80" t="s">
        <v>422</v>
      </c>
      <c r="Y63" s="77"/>
      <c r="Z63" s="77"/>
      <c r="AA63" s="77"/>
      <c r="AB63" s="77"/>
      <c r="AC63" s="73"/>
    </row>
    <row r="64" customHeight="1" ht="46.5">
      <c r="A64" s="107">
        <v>52</v>
      </c>
      <c r="B64" s="109"/>
      <c r="C64" s="109" t="s">
        <v>661</v>
      </c>
      <c r="D64" s="80" t="s">
        <v>662</v>
      </c>
      <c r="E64" s="80" t="s">
        <v>663</v>
      </c>
      <c r="F64" s="80" t="s">
        <v>118</v>
      </c>
      <c r="G64" s="80" t="s">
        <v>409</v>
      </c>
      <c r="H64" s="80" t="s">
        <v>664</v>
      </c>
      <c r="I64" s="80" t="s">
        <v>665</v>
      </c>
      <c r="J64" s="80" t="s">
        <v>666</v>
      </c>
      <c r="K64" s="113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112" t="s">
        <v>667</v>
      </c>
      <c r="X64" s="80" t="s">
        <v>422</v>
      </c>
      <c r="Y64" s="77"/>
      <c r="Z64" s="77"/>
      <c r="AA64" s="77"/>
      <c r="AB64" s="77"/>
      <c r="AC64" s="73"/>
    </row>
    <row r="65" customHeight="1" ht="87.0">
      <c r="A65" s="107">
        <v>53</v>
      </c>
      <c r="B65" s="108" t="s">
        <v>668</v>
      </c>
      <c r="C65" s="108" t="s">
        <v>669</v>
      </c>
      <c r="D65" s="108" t="s">
        <v>180</v>
      </c>
      <c r="E65" s="80" t="s">
        <v>670</v>
      </c>
      <c r="F65" s="80" t="s">
        <v>111</v>
      </c>
      <c r="G65" s="80" t="s">
        <v>671</v>
      </c>
      <c r="H65" s="80" t="s">
        <v>672</v>
      </c>
      <c r="I65" s="80" t="s">
        <v>673</v>
      </c>
      <c r="J65" s="80" t="s">
        <v>674</v>
      </c>
      <c r="K65" s="80" t="s">
        <v>675</v>
      </c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112" t="s">
        <v>676</v>
      </c>
      <c r="X65" s="80" t="s">
        <v>435</v>
      </c>
      <c r="Y65" s="77"/>
      <c r="Z65" s="77"/>
      <c r="AA65" s="77"/>
      <c r="AB65" s="77"/>
      <c r="AC65" s="73"/>
    </row>
    <row r="66" customHeight="1" ht="60.0">
      <c r="A66" s="107">
        <v>54</v>
      </c>
      <c r="B66" s="108"/>
      <c r="C66" s="108"/>
      <c r="D66" s="109"/>
      <c r="E66" s="80" t="s">
        <v>677</v>
      </c>
      <c r="F66" s="80" t="s">
        <v>118</v>
      </c>
      <c r="G66" s="80" t="s">
        <v>678</v>
      </c>
      <c r="H66" s="80" t="s">
        <v>679</v>
      </c>
      <c r="I66" s="80" t="s">
        <v>680</v>
      </c>
      <c r="J66" s="80" t="s">
        <v>681</v>
      </c>
      <c r="K66" s="80" t="s">
        <v>682</v>
      </c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 t="s">
        <v>435</v>
      </c>
      <c r="Y66" s="77"/>
      <c r="Z66" s="77"/>
      <c r="AA66" s="77"/>
      <c r="AB66" s="77"/>
      <c r="AC66" s="73"/>
    </row>
    <row r="67" customHeight="1" ht="46.5">
      <c r="A67" s="107">
        <v>55</v>
      </c>
      <c r="B67" s="108"/>
      <c r="C67" s="108"/>
      <c r="D67" s="80" t="s">
        <v>683</v>
      </c>
      <c r="E67" s="80" t="s">
        <v>684</v>
      </c>
      <c r="F67" s="80" t="s">
        <v>118</v>
      </c>
      <c r="G67" s="80" t="s">
        <v>685</v>
      </c>
      <c r="H67" s="80" t="s">
        <v>686</v>
      </c>
      <c r="I67" s="80" t="s">
        <v>673</v>
      </c>
      <c r="J67" s="80" t="s">
        <v>687</v>
      </c>
      <c r="K67" s="80" t="s">
        <v>688</v>
      </c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 t="s">
        <v>435</v>
      </c>
      <c r="Y67" s="77"/>
      <c r="Z67" s="77"/>
      <c r="AA67" s="77"/>
      <c r="AB67" s="77"/>
      <c r="AC67" s="73"/>
    </row>
    <row r="68" customHeight="1" ht="46.5">
      <c r="A68" s="107">
        <v>56</v>
      </c>
      <c r="B68" s="108"/>
      <c r="C68" s="108"/>
      <c r="D68" s="108" t="s">
        <v>689</v>
      </c>
      <c r="E68" s="80" t="s">
        <v>690</v>
      </c>
      <c r="F68" s="80" t="s">
        <v>118</v>
      </c>
      <c r="G68" s="80" t="s">
        <v>691</v>
      </c>
      <c r="H68" s="80" t="s">
        <v>692</v>
      </c>
      <c r="I68" s="80" t="s">
        <v>673</v>
      </c>
      <c r="J68" s="80" t="s">
        <v>693</v>
      </c>
      <c r="K68" s="80" t="s">
        <v>694</v>
      </c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112" t="s">
        <v>695</v>
      </c>
      <c r="X68" s="80" t="s">
        <v>696</v>
      </c>
      <c r="Y68" s="77"/>
      <c r="Z68" s="77"/>
      <c r="AA68" s="77"/>
      <c r="AB68" s="77"/>
      <c r="AC68" s="73"/>
    </row>
    <row r="69" customHeight="1" ht="46.5">
      <c r="A69" s="107">
        <v>57</v>
      </c>
      <c r="B69" s="108"/>
      <c r="C69" s="109"/>
      <c r="D69" s="109"/>
      <c r="E69" s="80" t="s">
        <v>697</v>
      </c>
      <c r="F69" s="80" t="s">
        <v>118</v>
      </c>
      <c r="G69" s="80" t="s">
        <v>698</v>
      </c>
      <c r="H69" s="80" t="s">
        <v>699</v>
      </c>
      <c r="I69" s="80" t="s">
        <v>673</v>
      </c>
      <c r="J69" s="80" t="s">
        <v>700</v>
      </c>
      <c r="K69" s="80" t="s">
        <v>701</v>
      </c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112" t="s">
        <v>702</v>
      </c>
      <c r="X69" s="80" t="s">
        <v>696</v>
      </c>
      <c r="Y69" s="77"/>
      <c r="Z69" s="77"/>
      <c r="AA69" s="77"/>
      <c r="AB69" s="77"/>
      <c r="AC69" s="73"/>
    </row>
    <row r="70" customHeight="1" ht="46.5">
      <c r="A70" s="107">
        <v>58</v>
      </c>
      <c r="B70" s="108"/>
      <c r="C70" s="108" t="s">
        <v>703</v>
      </c>
      <c r="D70" s="80" t="s">
        <v>180</v>
      </c>
      <c r="E70" s="80" t="s">
        <v>704</v>
      </c>
      <c r="F70" s="80" t="s">
        <v>134</v>
      </c>
      <c r="G70" s="80" t="s">
        <v>705</v>
      </c>
      <c r="H70" s="80" t="s">
        <v>706</v>
      </c>
      <c r="I70" s="80" t="s">
        <v>673</v>
      </c>
      <c r="J70" s="80" t="s">
        <v>707</v>
      </c>
      <c r="K70" s="80" t="s">
        <v>708</v>
      </c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 t="s">
        <v>435</v>
      </c>
      <c r="Y70" s="77"/>
      <c r="Z70" s="77"/>
      <c r="AA70" s="77"/>
      <c r="AB70" s="77"/>
      <c r="AC70" s="73"/>
    </row>
    <row r="71" customHeight="1" ht="46.5">
      <c r="A71" s="107">
        <v>59</v>
      </c>
      <c r="B71" s="108"/>
      <c r="C71" s="109"/>
      <c r="D71" s="80" t="s">
        <v>709</v>
      </c>
      <c r="E71" s="80" t="s">
        <v>710</v>
      </c>
      <c r="F71" s="80" t="s">
        <v>134</v>
      </c>
      <c r="G71" s="80" t="s">
        <v>711</v>
      </c>
      <c r="H71" s="80" t="s">
        <v>712</v>
      </c>
      <c r="I71" s="80" t="s">
        <v>673</v>
      </c>
      <c r="J71" s="80" t="s">
        <v>713</v>
      </c>
      <c r="K71" s="80" t="s">
        <v>714</v>
      </c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 t="s">
        <v>435</v>
      </c>
      <c r="Y71" s="77"/>
      <c r="Z71" s="77"/>
      <c r="AA71" s="77"/>
      <c r="AB71" s="77"/>
      <c r="AC71" s="73"/>
    </row>
    <row r="72" customHeight="1" ht="87.0">
      <c r="A72" s="107">
        <v>60</v>
      </c>
      <c r="B72" s="108"/>
      <c r="C72" s="108" t="s">
        <v>715</v>
      </c>
      <c r="D72" s="108" t="s">
        <v>180</v>
      </c>
      <c r="E72" s="80" t="s">
        <v>716</v>
      </c>
      <c r="F72" s="80" t="s">
        <v>111</v>
      </c>
      <c r="G72" s="80" t="s">
        <v>717</v>
      </c>
      <c r="H72" s="80" t="s">
        <v>718</v>
      </c>
      <c r="I72" s="80" t="s">
        <v>673</v>
      </c>
      <c r="J72" s="80" t="s">
        <v>719</v>
      </c>
      <c r="K72" s="80" t="s">
        <v>720</v>
      </c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 t="s">
        <v>435</v>
      </c>
      <c r="Y72" s="77"/>
      <c r="Z72" s="77"/>
      <c r="AA72" s="77"/>
      <c r="AB72" s="77"/>
      <c r="AC72" s="73"/>
    </row>
    <row r="73" customHeight="1" ht="46.5">
      <c r="A73" s="107">
        <v>61</v>
      </c>
      <c r="B73" s="108"/>
      <c r="C73" s="108"/>
      <c r="D73" s="108"/>
      <c r="E73" s="80" t="s">
        <v>721</v>
      </c>
      <c r="F73" s="80" t="s">
        <v>118</v>
      </c>
      <c r="G73" s="80" t="s">
        <v>722</v>
      </c>
      <c r="H73" s="80" t="s">
        <v>723</v>
      </c>
      <c r="I73" s="80" t="s">
        <v>724</v>
      </c>
      <c r="J73" s="80" t="s">
        <v>719</v>
      </c>
      <c r="K73" s="80" t="s">
        <v>725</v>
      </c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 t="s">
        <v>435</v>
      </c>
      <c r="Y73" s="77"/>
      <c r="Z73" s="77"/>
      <c r="AA73" s="77"/>
      <c r="AB73" s="77"/>
      <c r="AC73" s="73"/>
    </row>
    <row r="74" customHeight="1" ht="60.0">
      <c r="A74" s="107">
        <v>62</v>
      </c>
      <c r="B74" s="108"/>
      <c r="C74" s="108"/>
      <c r="D74" s="108"/>
      <c r="E74" s="80" t="s">
        <v>726</v>
      </c>
      <c r="F74" s="80" t="s">
        <v>111</v>
      </c>
      <c r="G74" s="80" t="s">
        <v>727</v>
      </c>
      <c r="H74" s="80" t="s">
        <v>728</v>
      </c>
      <c r="I74" s="80" t="s">
        <v>729</v>
      </c>
      <c r="J74" s="80" t="s">
        <v>719</v>
      </c>
      <c r="K74" s="80" t="s">
        <v>730</v>
      </c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 t="s">
        <v>435</v>
      </c>
      <c r="Y74" s="77"/>
      <c r="Z74" s="77"/>
      <c r="AA74" s="77"/>
      <c r="AB74" s="77"/>
      <c r="AC74" s="73"/>
    </row>
    <row r="75" customHeight="1" ht="46.5">
      <c r="A75" s="107">
        <v>63</v>
      </c>
      <c r="B75" s="108"/>
      <c r="C75" s="109"/>
      <c r="D75" s="109"/>
      <c r="E75" s="80" t="s">
        <v>731</v>
      </c>
      <c r="F75" s="80" t="s">
        <v>134</v>
      </c>
      <c r="G75" s="80" t="s">
        <v>732</v>
      </c>
      <c r="H75" s="80" t="s">
        <v>733</v>
      </c>
      <c r="I75" s="80" t="s">
        <v>734</v>
      </c>
      <c r="J75" s="80" t="s">
        <v>719</v>
      </c>
      <c r="K75" s="80" t="s">
        <v>735</v>
      </c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 t="s">
        <v>435</v>
      </c>
      <c r="Y75" s="77"/>
      <c r="Z75" s="77"/>
      <c r="AA75" s="77"/>
      <c r="AB75" s="77"/>
      <c r="AC75" s="73"/>
    </row>
    <row r="76" customHeight="1" ht="100.5">
      <c r="A76" s="107">
        <v>64</v>
      </c>
      <c r="B76" s="108"/>
      <c r="C76" s="108" t="s">
        <v>736</v>
      </c>
      <c r="D76" s="80" t="s">
        <v>457</v>
      </c>
      <c r="E76" s="80" t="s">
        <v>737</v>
      </c>
      <c r="F76" s="80" t="s">
        <v>111</v>
      </c>
      <c r="G76" s="80" t="s">
        <v>738</v>
      </c>
      <c r="H76" s="80" t="s">
        <v>739</v>
      </c>
      <c r="I76" s="80" t="s">
        <v>673</v>
      </c>
      <c r="J76" s="80" t="s">
        <v>740</v>
      </c>
      <c r="K76" s="80" t="s">
        <v>741</v>
      </c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112" t="s">
        <v>742</v>
      </c>
      <c r="X76" s="80" t="s">
        <v>696</v>
      </c>
      <c r="Y76" s="77"/>
      <c r="Z76" s="77"/>
      <c r="AA76" s="77"/>
      <c r="AB76" s="77"/>
      <c r="AC76" s="73"/>
    </row>
    <row r="77" customHeight="1" ht="46.5">
      <c r="A77" s="107">
        <v>65</v>
      </c>
      <c r="B77" s="108"/>
      <c r="C77" s="108"/>
      <c r="D77" s="108" t="s">
        <v>218</v>
      </c>
      <c r="E77" s="80" t="s">
        <v>743</v>
      </c>
      <c r="F77" s="80" t="s">
        <v>111</v>
      </c>
      <c r="G77" s="80" t="s">
        <v>744</v>
      </c>
      <c r="H77" s="80" t="s">
        <v>745</v>
      </c>
      <c r="I77" s="80" t="s">
        <v>673</v>
      </c>
      <c r="J77" s="80" t="s">
        <v>746</v>
      </c>
      <c r="K77" s="80" t="s">
        <v>747</v>
      </c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112" t="s">
        <v>490</v>
      </c>
      <c r="X77" s="80" t="s">
        <v>696</v>
      </c>
      <c r="Y77" s="77"/>
      <c r="Z77" s="77"/>
      <c r="AA77" s="77"/>
      <c r="AB77" s="77"/>
      <c r="AC77" s="73"/>
    </row>
    <row r="78" customHeight="1" ht="46.5">
      <c r="A78" s="107">
        <v>66</v>
      </c>
      <c r="B78" s="108"/>
      <c r="C78" s="108"/>
      <c r="D78" s="108"/>
      <c r="E78" s="80" t="s">
        <v>748</v>
      </c>
      <c r="F78" s="80" t="s">
        <v>111</v>
      </c>
      <c r="G78" s="80" t="s">
        <v>749</v>
      </c>
      <c r="H78" s="80" t="s">
        <v>750</v>
      </c>
      <c r="I78" s="80" t="s">
        <v>673</v>
      </c>
      <c r="J78" s="80" t="s">
        <v>751</v>
      </c>
      <c r="K78" s="80" t="s">
        <v>752</v>
      </c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112" t="s">
        <v>490</v>
      </c>
      <c r="X78" s="80" t="s">
        <v>696</v>
      </c>
      <c r="Y78" s="77"/>
      <c r="Z78" s="77"/>
      <c r="AA78" s="77"/>
      <c r="AB78" s="77"/>
      <c r="AC78" s="73"/>
    </row>
    <row r="79" customHeight="1" ht="46.5">
      <c r="A79" s="107">
        <v>67</v>
      </c>
      <c r="B79" s="108"/>
      <c r="C79" s="108"/>
      <c r="D79" s="109"/>
      <c r="E79" s="80" t="s">
        <v>753</v>
      </c>
      <c r="F79" s="80" t="s">
        <v>118</v>
      </c>
      <c r="G79" s="80" t="s">
        <v>754</v>
      </c>
      <c r="H79" s="80" t="s">
        <v>755</v>
      </c>
      <c r="I79" s="80" t="s">
        <v>673</v>
      </c>
      <c r="J79" s="80" t="s">
        <v>756</v>
      </c>
      <c r="K79" s="113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112" t="s">
        <v>757</v>
      </c>
      <c r="X79" s="80" t="s">
        <v>696</v>
      </c>
      <c r="Y79" s="77"/>
      <c r="Z79" s="77"/>
      <c r="AA79" s="77"/>
      <c r="AB79" s="77"/>
      <c r="AC79" s="73"/>
    </row>
    <row r="80" customHeight="1" ht="46.5">
      <c r="A80" s="107">
        <v>68</v>
      </c>
      <c r="B80" s="108"/>
      <c r="C80" s="108"/>
      <c r="D80" s="108" t="s">
        <v>284</v>
      </c>
      <c r="E80" s="80" t="s">
        <v>758</v>
      </c>
      <c r="F80" s="80" t="s">
        <v>111</v>
      </c>
      <c r="G80" s="80" t="s">
        <v>759</v>
      </c>
      <c r="H80" s="80" t="s">
        <v>760</v>
      </c>
      <c r="I80" s="80" t="s">
        <v>673</v>
      </c>
      <c r="J80" s="80" t="s">
        <v>761</v>
      </c>
      <c r="K80" s="80" t="s">
        <v>762</v>
      </c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 t="s">
        <v>696</v>
      </c>
      <c r="Y80" s="77"/>
      <c r="Z80" s="77"/>
      <c r="AA80" s="77"/>
      <c r="AB80" s="77"/>
      <c r="AC80" s="73"/>
    </row>
    <row r="81" customHeight="1" ht="34.0">
      <c r="A81" s="107">
        <v>69</v>
      </c>
      <c r="B81" s="108"/>
      <c r="C81" s="108"/>
      <c r="D81" s="108"/>
      <c r="E81" s="80" t="s">
        <v>763</v>
      </c>
      <c r="F81" s="80" t="s">
        <v>111</v>
      </c>
      <c r="G81" s="80" t="s">
        <v>764</v>
      </c>
      <c r="H81" s="80" t="s">
        <v>765</v>
      </c>
      <c r="I81" s="80" t="s">
        <v>766</v>
      </c>
      <c r="J81" s="80" t="s">
        <v>666</v>
      </c>
      <c r="K81" s="80" t="s">
        <v>767</v>
      </c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 t="s">
        <v>696</v>
      </c>
      <c r="Y81" s="77"/>
      <c r="Z81" s="77"/>
      <c r="AA81" s="77"/>
      <c r="AB81" s="77"/>
      <c r="AC81" s="73"/>
    </row>
    <row r="82" customHeight="1" ht="34.0">
      <c r="A82" s="107">
        <v>70</v>
      </c>
      <c r="B82" s="108"/>
      <c r="C82" s="108"/>
      <c r="D82" s="108"/>
      <c r="E82" s="80" t="s">
        <v>768</v>
      </c>
      <c r="F82" s="80" t="s">
        <v>118</v>
      </c>
      <c r="G82" s="80" t="s">
        <v>769</v>
      </c>
      <c r="H82" s="80" t="s">
        <v>770</v>
      </c>
      <c r="I82" s="80" t="s">
        <v>766</v>
      </c>
      <c r="J82" s="80" t="s">
        <v>771</v>
      </c>
      <c r="K82" s="80" t="s">
        <v>772</v>
      </c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 t="s">
        <v>696</v>
      </c>
      <c r="Y82" s="77"/>
      <c r="Z82" s="77"/>
      <c r="AA82" s="77"/>
      <c r="AB82" s="77"/>
      <c r="AC82" s="73"/>
    </row>
    <row r="83" customHeight="1" ht="34.0">
      <c r="A83" s="107">
        <v>71</v>
      </c>
      <c r="B83" s="108"/>
      <c r="C83" s="108"/>
      <c r="D83" s="108"/>
      <c r="E83" s="80" t="s">
        <v>773</v>
      </c>
      <c r="F83" s="80" t="s">
        <v>118</v>
      </c>
      <c r="G83" s="80" t="s">
        <v>774</v>
      </c>
      <c r="H83" s="80" t="s">
        <v>775</v>
      </c>
      <c r="I83" s="80" t="s">
        <v>766</v>
      </c>
      <c r="J83" s="80" t="s">
        <v>776</v>
      </c>
      <c r="K83" s="80" t="s">
        <v>777</v>
      </c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 t="s">
        <v>696</v>
      </c>
      <c r="Y83" s="77"/>
      <c r="Z83" s="77"/>
      <c r="AA83" s="77"/>
      <c r="AB83" s="77"/>
      <c r="AC83" s="73"/>
    </row>
    <row r="84" customHeight="1" ht="60.0">
      <c r="A84" s="107">
        <v>72</v>
      </c>
      <c r="B84" s="108"/>
      <c r="C84" s="108"/>
      <c r="D84" s="109"/>
      <c r="E84" s="80" t="s">
        <v>778</v>
      </c>
      <c r="F84" s="80" t="s">
        <v>118</v>
      </c>
      <c r="G84" s="80" t="s">
        <v>779</v>
      </c>
      <c r="H84" s="80" t="s">
        <v>780</v>
      </c>
      <c r="I84" s="80" t="s">
        <v>673</v>
      </c>
      <c r="J84" s="80" t="s">
        <v>781</v>
      </c>
      <c r="K84" s="80" t="s">
        <v>782</v>
      </c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 t="s">
        <v>696</v>
      </c>
      <c r="Y84" s="77"/>
      <c r="Z84" s="77"/>
      <c r="AA84" s="77"/>
      <c r="AB84" s="77"/>
      <c r="AC84" s="73"/>
    </row>
    <row r="85" customHeight="1" ht="46.5">
      <c r="A85" s="107">
        <v>73</v>
      </c>
      <c r="B85" s="108"/>
      <c r="C85" s="108"/>
      <c r="D85" s="108" t="s">
        <v>308</v>
      </c>
      <c r="E85" s="80" t="s">
        <v>547</v>
      </c>
      <c r="F85" s="80" t="s">
        <v>118</v>
      </c>
      <c r="G85" s="80" t="s">
        <v>783</v>
      </c>
      <c r="H85" s="80" t="s">
        <v>784</v>
      </c>
      <c r="I85" s="80" t="s">
        <v>673</v>
      </c>
      <c r="J85" s="80" t="s">
        <v>785</v>
      </c>
      <c r="K85" s="80" t="s">
        <v>786</v>
      </c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 t="s">
        <v>696</v>
      </c>
      <c r="Y85" s="77"/>
      <c r="Z85" s="77"/>
      <c r="AA85" s="77"/>
      <c r="AB85" s="77"/>
      <c r="AC85" s="73"/>
    </row>
    <row r="86" customHeight="1" ht="60.0">
      <c r="A86" s="107">
        <v>74</v>
      </c>
      <c r="B86" s="108"/>
      <c r="C86" s="109"/>
      <c r="D86" s="109"/>
      <c r="E86" s="80" t="s">
        <v>787</v>
      </c>
      <c r="F86" s="80" t="s">
        <v>111</v>
      </c>
      <c r="G86" s="80" t="s">
        <v>788</v>
      </c>
      <c r="H86" s="80" t="s">
        <v>789</v>
      </c>
      <c r="I86" s="80" t="s">
        <v>790</v>
      </c>
      <c r="J86" s="80" t="s">
        <v>740</v>
      </c>
      <c r="K86" s="80" t="s">
        <v>791</v>
      </c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112" t="s">
        <v>792</v>
      </c>
      <c r="X86" s="80" t="s">
        <v>696</v>
      </c>
      <c r="Y86" s="77"/>
      <c r="Z86" s="77"/>
      <c r="AA86" s="77"/>
      <c r="AB86" s="77"/>
      <c r="AC86" s="73"/>
    </row>
    <row r="87" customHeight="1" ht="73.5">
      <c r="A87" s="107">
        <v>75</v>
      </c>
      <c r="B87" s="108"/>
      <c r="C87" s="108" t="s">
        <v>793</v>
      </c>
      <c r="D87" s="108" t="s">
        <v>180</v>
      </c>
      <c r="E87" s="80" t="s">
        <v>794</v>
      </c>
      <c r="F87" s="80" t="s">
        <v>111</v>
      </c>
      <c r="G87" s="80" t="s">
        <v>795</v>
      </c>
      <c r="H87" s="80" t="s">
        <v>796</v>
      </c>
      <c r="I87" s="80" t="s">
        <v>673</v>
      </c>
      <c r="J87" s="80" t="s">
        <v>797</v>
      </c>
      <c r="K87" s="80" t="s">
        <v>798</v>
      </c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112" t="s">
        <v>799</v>
      </c>
      <c r="X87" s="80" t="s">
        <v>435</v>
      </c>
      <c r="Y87" s="77"/>
      <c r="Z87" s="77"/>
      <c r="AA87" s="77"/>
      <c r="AB87" s="77"/>
      <c r="AC87" s="73"/>
    </row>
    <row r="88" customHeight="1" ht="46.5">
      <c r="A88" s="107">
        <v>76</v>
      </c>
      <c r="B88" s="108"/>
      <c r="C88" s="108"/>
      <c r="D88" s="108"/>
      <c r="E88" s="80" t="s">
        <v>800</v>
      </c>
      <c r="F88" s="80" t="s">
        <v>118</v>
      </c>
      <c r="G88" s="80" t="s">
        <v>801</v>
      </c>
      <c r="H88" s="80" t="s">
        <v>802</v>
      </c>
      <c r="I88" s="80" t="s">
        <v>673</v>
      </c>
      <c r="J88" s="80" t="s">
        <v>803</v>
      </c>
      <c r="K88" s="80" t="s">
        <v>804</v>
      </c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 t="s">
        <v>435</v>
      </c>
      <c r="Y88" s="77"/>
      <c r="Z88" s="77"/>
      <c r="AA88" s="77"/>
      <c r="AB88" s="77"/>
      <c r="AC88" s="73"/>
    </row>
    <row r="89" customHeight="1" ht="60.0">
      <c r="A89" s="107">
        <v>77</v>
      </c>
      <c r="B89" s="108"/>
      <c r="C89" s="108"/>
      <c r="D89" s="108"/>
      <c r="E89" s="80" t="s">
        <v>805</v>
      </c>
      <c r="F89" s="80" t="s">
        <v>111</v>
      </c>
      <c r="G89" s="80" t="s">
        <v>806</v>
      </c>
      <c r="H89" s="80" t="s">
        <v>807</v>
      </c>
      <c r="I89" s="80" t="s">
        <v>729</v>
      </c>
      <c r="J89" s="80" t="s">
        <v>808</v>
      </c>
      <c r="K89" s="80" t="s">
        <v>809</v>
      </c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112" t="s">
        <v>810</v>
      </c>
      <c r="X89" s="80" t="s">
        <v>435</v>
      </c>
      <c r="Y89" s="77"/>
      <c r="Z89" s="77"/>
      <c r="AA89" s="77"/>
      <c r="AB89" s="77"/>
      <c r="AC89" s="73"/>
    </row>
    <row r="90" customHeight="1" ht="46.5">
      <c r="A90" s="107">
        <v>78</v>
      </c>
      <c r="B90" s="108"/>
      <c r="C90" s="108"/>
      <c r="D90" s="108"/>
      <c r="E90" s="80" t="s">
        <v>811</v>
      </c>
      <c r="F90" s="80" t="s">
        <v>111</v>
      </c>
      <c r="G90" s="80" t="s">
        <v>812</v>
      </c>
      <c r="H90" s="80" t="s">
        <v>813</v>
      </c>
      <c r="I90" s="80" t="s">
        <v>673</v>
      </c>
      <c r="J90" s="80" t="s">
        <v>814</v>
      </c>
      <c r="K90" s="113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112" t="s">
        <v>815</v>
      </c>
      <c r="X90" s="80" t="s">
        <v>626</v>
      </c>
      <c r="Y90" s="77"/>
      <c r="Z90" s="77"/>
      <c r="AA90" s="77"/>
      <c r="AB90" s="77"/>
      <c r="AC90" s="73"/>
    </row>
    <row r="91" customHeight="1" ht="46.5">
      <c r="A91" s="107">
        <v>79</v>
      </c>
      <c r="B91" s="108"/>
      <c r="C91" s="108"/>
      <c r="D91" s="108"/>
      <c r="E91" s="80" t="s">
        <v>816</v>
      </c>
      <c r="F91" s="80" t="s">
        <v>118</v>
      </c>
      <c r="G91" s="80" t="s">
        <v>817</v>
      </c>
      <c r="H91" s="80" t="s">
        <v>818</v>
      </c>
      <c r="I91" s="80" t="s">
        <v>729</v>
      </c>
      <c r="J91" s="80" t="s">
        <v>819</v>
      </c>
      <c r="K91" s="80" t="s">
        <v>820</v>
      </c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112" t="s">
        <v>821</v>
      </c>
      <c r="X91" s="80" t="s">
        <v>435</v>
      </c>
      <c r="Y91" s="77"/>
      <c r="Z91" s="77"/>
      <c r="AA91" s="77"/>
      <c r="AB91" s="77"/>
      <c r="AC91" s="73"/>
    </row>
    <row r="92" customHeight="1" ht="60.0">
      <c r="A92" s="107">
        <v>80</v>
      </c>
      <c r="B92" s="108"/>
      <c r="C92" s="108"/>
      <c r="D92" s="109"/>
      <c r="E92" s="80" t="s">
        <v>822</v>
      </c>
      <c r="F92" s="80" t="s">
        <v>118</v>
      </c>
      <c r="G92" s="80" t="s">
        <v>823</v>
      </c>
      <c r="H92" s="80" t="s">
        <v>824</v>
      </c>
      <c r="I92" s="80" t="s">
        <v>729</v>
      </c>
      <c r="J92" s="80" t="s">
        <v>825</v>
      </c>
      <c r="K92" s="80" t="s">
        <v>826</v>
      </c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 t="s">
        <v>435</v>
      </c>
      <c r="Y92" s="77"/>
      <c r="Z92" s="77"/>
      <c r="AA92" s="77"/>
      <c r="AB92" s="77"/>
      <c r="AC92" s="73"/>
    </row>
    <row r="93" customHeight="1" ht="46.5">
      <c r="A93" s="107">
        <v>81</v>
      </c>
      <c r="B93" s="108"/>
      <c r="C93" s="109"/>
      <c r="D93" s="80" t="s">
        <v>365</v>
      </c>
      <c r="E93" s="80" t="s">
        <v>827</v>
      </c>
      <c r="F93" s="80" t="s">
        <v>111</v>
      </c>
      <c r="G93" s="80" t="s">
        <v>828</v>
      </c>
      <c r="H93" s="80" t="s">
        <v>829</v>
      </c>
      <c r="I93" s="80" t="s">
        <v>673</v>
      </c>
      <c r="J93" s="80" t="s">
        <v>830</v>
      </c>
      <c r="K93" s="80" t="s">
        <v>831</v>
      </c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 t="s">
        <v>435</v>
      </c>
      <c r="Y93" s="77"/>
      <c r="Z93" s="77"/>
      <c r="AA93" s="77"/>
      <c r="AB93" s="77"/>
      <c r="AC93" s="73"/>
    </row>
    <row r="94" customHeight="1" ht="141.0">
      <c r="A94" s="107">
        <v>82</v>
      </c>
      <c r="B94" s="108"/>
      <c r="C94" s="108" t="s">
        <v>832</v>
      </c>
      <c r="D94" s="80" t="s">
        <v>457</v>
      </c>
      <c r="E94" s="80" t="s">
        <v>833</v>
      </c>
      <c r="F94" s="80" t="s">
        <v>111</v>
      </c>
      <c r="G94" s="80" t="s">
        <v>834</v>
      </c>
      <c r="H94" s="80" t="s">
        <v>835</v>
      </c>
      <c r="I94" s="80" t="s">
        <v>673</v>
      </c>
      <c r="J94" s="80" t="s">
        <v>836</v>
      </c>
      <c r="K94" s="80" t="s">
        <v>837</v>
      </c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 t="s">
        <v>838</v>
      </c>
      <c r="Y94" s="77"/>
      <c r="Z94" s="77"/>
      <c r="AA94" s="77"/>
      <c r="AB94" s="77"/>
      <c r="AC94" s="73"/>
    </row>
    <row r="95" customHeight="1" ht="60.0">
      <c r="A95" s="107">
        <v>83</v>
      </c>
      <c r="B95" s="108"/>
      <c r="C95" s="108"/>
      <c r="D95" s="108" t="s">
        <v>839</v>
      </c>
      <c r="E95" s="80" t="s">
        <v>840</v>
      </c>
      <c r="F95" s="80" t="s">
        <v>111</v>
      </c>
      <c r="G95" s="80" t="s">
        <v>841</v>
      </c>
      <c r="H95" s="80" t="s">
        <v>842</v>
      </c>
      <c r="I95" s="80" t="s">
        <v>673</v>
      </c>
      <c r="J95" s="80" t="s">
        <v>843</v>
      </c>
      <c r="K95" s="80" t="s">
        <v>844</v>
      </c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 t="s">
        <v>838</v>
      </c>
      <c r="Y95" s="77"/>
      <c r="Z95" s="77"/>
      <c r="AA95" s="77"/>
      <c r="AB95" s="77"/>
      <c r="AC95" s="73"/>
    </row>
    <row r="96" customHeight="1" ht="46.5">
      <c r="A96" s="107">
        <v>84</v>
      </c>
      <c r="B96" s="108"/>
      <c r="C96" s="108"/>
      <c r="D96" s="109"/>
      <c r="E96" s="80" t="s">
        <v>845</v>
      </c>
      <c r="F96" s="80" t="s">
        <v>111</v>
      </c>
      <c r="G96" s="80" t="s">
        <v>846</v>
      </c>
      <c r="H96" s="80" t="s">
        <v>847</v>
      </c>
      <c r="I96" s="80" t="s">
        <v>673</v>
      </c>
      <c r="J96" s="80" t="s">
        <v>848</v>
      </c>
      <c r="K96" s="113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112" t="s">
        <v>849</v>
      </c>
      <c r="X96" s="80" t="s">
        <v>838</v>
      </c>
      <c r="Y96" s="77"/>
      <c r="Z96" s="77"/>
      <c r="AA96" s="77"/>
      <c r="AB96" s="77"/>
      <c r="AC96" s="73"/>
    </row>
    <row r="97" customHeight="1" ht="100.5">
      <c r="A97" s="107">
        <v>85</v>
      </c>
      <c r="B97" s="108"/>
      <c r="C97" s="108"/>
      <c r="D97" s="108" t="s">
        <v>850</v>
      </c>
      <c r="E97" s="80" t="s">
        <v>851</v>
      </c>
      <c r="F97" s="80" t="s">
        <v>111</v>
      </c>
      <c r="G97" s="80" t="s">
        <v>852</v>
      </c>
      <c r="H97" s="80" t="s">
        <v>853</v>
      </c>
      <c r="I97" s="80" t="s">
        <v>673</v>
      </c>
      <c r="J97" s="80" t="s">
        <v>854</v>
      </c>
      <c r="K97" s="80" t="s">
        <v>855</v>
      </c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112" t="s">
        <v>856</v>
      </c>
      <c r="X97" s="80" t="s">
        <v>838</v>
      </c>
      <c r="Y97" s="77"/>
      <c r="Z97" s="77"/>
      <c r="AA97" s="77"/>
      <c r="AB97" s="77"/>
      <c r="AC97" s="73"/>
    </row>
    <row r="98" customHeight="1" ht="46.5">
      <c r="A98" s="107">
        <v>86</v>
      </c>
      <c r="B98" s="108"/>
      <c r="C98" s="108"/>
      <c r="D98" s="109"/>
      <c r="E98" s="80" t="s">
        <v>857</v>
      </c>
      <c r="F98" s="80" t="s">
        <v>118</v>
      </c>
      <c r="G98" s="80" t="s">
        <v>858</v>
      </c>
      <c r="H98" s="80" t="s">
        <v>859</v>
      </c>
      <c r="I98" s="80" t="s">
        <v>673</v>
      </c>
      <c r="J98" s="80" t="s">
        <v>860</v>
      </c>
      <c r="K98" s="113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112" t="s">
        <v>861</v>
      </c>
      <c r="X98" s="80" t="s">
        <v>838</v>
      </c>
      <c r="Y98" s="77"/>
      <c r="Z98" s="77"/>
      <c r="AA98" s="77"/>
      <c r="AB98" s="77"/>
      <c r="AC98" s="73"/>
    </row>
    <row r="99" customHeight="1" ht="46.5">
      <c r="A99" s="107">
        <v>87</v>
      </c>
      <c r="B99" s="108"/>
      <c r="C99" s="108"/>
      <c r="D99" s="108" t="s">
        <v>218</v>
      </c>
      <c r="E99" s="80" t="s">
        <v>862</v>
      </c>
      <c r="F99" s="80" t="s">
        <v>111</v>
      </c>
      <c r="G99" s="80" t="s">
        <v>863</v>
      </c>
      <c r="H99" s="80" t="s">
        <v>864</v>
      </c>
      <c r="I99" s="80" t="s">
        <v>673</v>
      </c>
      <c r="J99" s="80" t="s">
        <v>865</v>
      </c>
      <c r="K99" s="80" t="s">
        <v>866</v>
      </c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112" t="s">
        <v>867</v>
      </c>
      <c r="X99" s="80" t="s">
        <v>838</v>
      </c>
      <c r="Y99" s="77"/>
      <c r="Z99" s="77"/>
      <c r="AA99" s="77"/>
      <c r="AB99" s="77"/>
      <c r="AC99" s="73"/>
    </row>
    <row r="100" customHeight="1" ht="46.5">
      <c r="A100" s="107">
        <v>88</v>
      </c>
      <c r="B100" s="108"/>
      <c r="C100" s="108"/>
      <c r="D100" s="109"/>
      <c r="E100" s="80" t="s">
        <v>868</v>
      </c>
      <c r="F100" s="80" t="s">
        <v>111</v>
      </c>
      <c r="G100" s="80" t="s">
        <v>869</v>
      </c>
      <c r="H100" s="80" t="s">
        <v>870</v>
      </c>
      <c r="I100" s="80" t="s">
        <v>673</v>
      </c>
      <c r="J100" s="80" t="s">
        <v>871</v>
      </c>
      <c r="K100" s="80" t="s">
        <v>866</v>
      </c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112" t="s">
        <v>872</v>
      </c>
      <c r="X100" s="80" t="s">
        <v>838</v>
      </c>
      <c r="Y100" s="77"/>
      <c r="Z100" s="77"/>
      <c r="AA100" s="77"/>
      <c r="AB100" s="77"/>
      <c r="AC100" s="73"/>
    </row>
    <row r="101" customHeight="1" ht="60.0">
      <c r="A101" s="107">
        <v>89</v>
      </c>
      <c r="B101" s="108"/>
      <c r="C101" s="108"/>
      <c r="D101" s="108" t="s">
        <v>284</v>
      </c>
      <c r="E101" s="80" t="s">
        <v>873</v>
      </c>
      <c r="F101" s="80" t="s">
        <v>111</v>
      </c>
      <c r="G101" s="80" t="s">
        <v>874</v>
      </c>
      <c r="H101" s="80" t="s">
        <v>875</v>
      </c>
      <c r="I101" s="80" t="s">
        <v>673</v>
      </c>
      <c r="J101" s="80" t="s">
        <v>876</v>
      </c>
      <c r="K101" s="80" t="s">
        <v>877</v>
      </c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112" t="s">
        <v>878</v>
      </c>
      <c r="X101" s="80" t="s">
        <v>838</v>
      </c>
      <c r="Y101" s="77"/>
      <c r="Z101" s="77"/>
      <c r="AA101" s="77"/>
      <c r="AB101" s="77"/>
      <c r="AC101" s="73"/>
    </row>
    <row r="102" customHeight="1" ht="46.5">
      <c r="A102" s="107">
        <v>90</v>
      </c>
      <c r="B102" s="108"/>
      <c r="C102" s="108"/>
      <c r="D102" s="108"/>
      <c r="E102" s="80" t="s">
        <v>879</v>
      </c>
      <c r="F102" s="80" t="s">
        <v>111</v>
      </c>
      <c r="G102" s="80" t="s">
        <v>880</v>
      </c>
      <c r="H102" s="80" t="s">
        <v>881</v>
      </c>
      <c r="I102" s="80" t="s">
        <v>882</v>
      </c>
      <c r="J102" s="80" t="s">
        <v>666</v>
      </c>
      <c r="K102" s="80" t="s">
        <v>883</v>
      </c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 t="s">
        <v>838</v>
      </c>
      <c r="Y102" s="77"/>
      <c r="Z102" s="77"/>
      <c r="AA102" s="77"/>
      <c r="AB102" s="77"/>
      <c r="AC102" s="73"/>
    </row>
    <row r="103" customHeight="1" ht="46.5">
      <c r="A103" s="107">
        <v>91</v>
      </c>
      <c r="B103" s="108"/>
      <c r="C103" s="108"/>
      <c r="D103" s="108"/>
      <c r="E103" s="80" t="s">
        <v>884</v>
      </c>
      <c r="F103" s="80" t="s">
        <v>111</v>
      </c>
      <c r="G103" s="80" t="s">
        <v>885</v>
      </c>
      <c r="H103" s="80" t="s">
        <v>886</v>
      </c>
      <c r="I103" s="80" t="s">
        <v>882</v>
      </c>
      <c r="J103" s="80" t="s">
        <v>887</v>
      </c>
      <c r="K103" s="80" t="s">
        <v>888</v>
      </c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112" t="s">
        <v>889</v>
      </c>
      <c r="X103" s="80" t="s">
        <v>890</v>
      </c>
      <c r="Y103" s="77"/>
      <c r="Z103" s="77"/>
      <c r="AA103" s="77"/>
      <c r="AB103" s="77"/>
      <c r="AC103" s="73"/>
    </row>
    <row r="104" customHeight="1" ht="46.5">
      <c r="A104" s="107">
        <v>92</v>
      </c>
      <c r="B104" s="108"/>
      <c r="C104" s="108"/>
      <c r="D104" s="109"/>
      <c r="E104" s="80" t="s">
        <v>891</v>
      </c>
      <c r="F104" s="80" t="s">
        <v>118</v>
      </c>
      <c r="G104" s="80" t="s">
        <v>892</v>
      </c>
      <c r="H104" s="80" t="s">
        <v>893</v>
      </c>
      <c r="I104" s="80" t="s">
        <v>882</v>
      </c>
      <c r="J104" s="80" t="s">
        <v>894</v>
      </c>
      <c r="K104" s="113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112" t="s">
        <v>895</v>
      </c>
      <c r="X104" s="80" t="s">
        <v>626</v>
      </c>
      <c r="Y104" s="77"/>
      <c r="Z104" s="77"/>
      <c r="AA104" s="77"/>
      <c r="AB104" s="77"/>
      <c r="AC104" s="73"/>
    </row>
    <row r="105" customHeight="1" ht="46.5">
      <c r="A105" s="107">
        <v>93</v>
      </c>
      <c r="B105" s="108"/>
      <c r="C105" s="108"/>
      <c r="D105" s="108" t="s">
        <v>308</v>
      </c>
      <c r="E105" s="80" t="s">
        <v>547</v>
      </c>
      <c r="F105" s="80" t="s">
        <v>118</v>
      </c>
      <c r="G105" s="80" t="s">
        <v>896</v>
      </c>
      <c r="H105" s="80" t="s">
        <v>897</v>
      </c>
      <c r="I105" s="80" t="s">
        <v>673</v>
      </c>
      <c r="J105" s="80" t="s">
        <v>898</v>
      </c>
      <c r="K105" s="80" t="s">
        <v>899</v>
      </c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 t="s">
        <v>838</v>
      </c>
      <c r="Y105" s="77"/>
      <c r="Z105" s="77"/>
      <c r="AA105" s="77"/>
      <c r="AB105" s="77"/>
      <c r="AC105" s="73"/>
    </row>
    <row r="106" customHeight="1" ht="46.5">
      <c r="A106" s="107">
        <v>94</v>
      </c>
      <c r="B106" s="108"/>
      <c r="C106" s="109"/>
      <c r="D106" s="109"/>
      <c r="E106" s="80" t="s">
        <v>787</v>
      </c>
      <c r="F106" s="80" t="s">
        <v>118</v>
      </c>
      <c r="G106" s="80" t="s">
        <v>900</v>
      </c>
      <c r="H106" s="80" t="s">
        <v>901</v>
      </c>
      <c r="I106" s="80" t="s">
        <v>729</v>
      </c>
      <c r="J106" s="80" t="s">
        <v>902</v>
      </c>
      <c r="K106" s="113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112" t="s">
        <v>903</v>
      </c>
      <c r="X106" s="80" t="s">
        <v>838</v>
      </c>
      <c r="Y106" s="77"/>
      <c r="Z106" s="77"/>
      <c r="AA106" s="77"/>
      <c r="AB106" s="77"/>
      <c r="AC106" s="73"/>
    </row>
    <row r="107" customHeight="1" ht="46.5">
      <c r="A107" s="107">
        <v>95</v>
      </c>
      <c r="B107" s="108"/>
      <c r="C107" s="109" t="s">
        <v>904</v>
      </c>
      <c r="D107" s="80" t="s">
        <v>377</v>
      </c>
      <c r="E107" s="80" t="s">
        <v>905</v>
      </c>
      <c r="F107" s="80" t="s">
        <v>111</v>
      </c>
      <c r="G107" s="80" t="s">
        <v>906</v>
      </c>
      <c r="H107" s="80" t="s">
        <v>907</v>
      </c>
      <c r="I107" s="80" t="s">
        <v>673</v>
      </c>
      <c r="J107" s="80" t="s">
        <v>908</v>
      </c>
      <c r="K107" s="113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112" t="s">
        <v>909</v>
      </c>
      <c r="X107" s="80" t="s">
        <v>910</v>
      </c>
      <c r="Y107" s="77"/>
      <c r="Z107" s="77"/>
      <c r="AA107" s="77"/>
      <c r="AB107" s="77"/>
      <c r="AC107" s="73"/>
    </row>
    <row r="108" customHeight="1" ht="87.0">
      <c r="A108" s="107">
        <v>96</v>
      </c>
      <c r="B108" s="108"/>
      <c r="C108" s="108" t="s">
        <v>911</v>
      </c>
      <c r="D108" s="108" t="s">
        <v>457</v>
      </c>
      <c r="E108" s="80" t="s">
        <v>912</v>
      </c>
      <c r="F108" s="80" t="s">
        <v>111</v>
      </c>
      <c r="G108" s="80" t="s">
        <v>913</v>
      </c>
      <c r="H108" s="80" t="s">
        <v>914</v>
      </c>
      <c r="I108" s="80" t="s">
        <v>915</v>
      </c>
      <c r="J108" s="80" t="s">
        <v>916</v>
      </c>
      <c r="K108" s="80" t="s">
        <v>917</v>
      </c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112" t="s">
        <v>918</v>
      </c>
      <c r="X108" s="80" t="s">
        <v>919</v>
      </c>
      <c r="Y108" s="77"/>
      <c r="Z108" s="77"/>
      <c r="AA108" s="77"/>
      <c r="AB108" s="77"/>
      <c r="AC108" s="73"/>
    </row>
    <row r="109" customHeight="1" ht="154.5">
      <c r="A109" s="107">
        <v>97</v>
      </c>
      <c r="B109" s="108"/>
      <c r="C109" s="108"/>
      <c r="D109" s="109"/>
      <c r="E109" s="80" t="s">
        <v>920</v>
      </c>
      <c r="F109" s="80" t="s">
        <v>111</v>
      </c>
      <c r="G109" s="80" t="s">
        <v>921</v>
      </c>
      <c r="H109" s="80" t="s">
        <v>922</v>
      </c>
      <c r="I109" s="80" t="s">
        <v>729</v>
      </c>
      <c r="J109" s="80" t="s">
        <v>923</v>
      </c>
      <c r="K109" s="80" t="s">
        <v>924</v>
      </c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112" t="s">
        <v>925</v>
      </c>
      <c r="X109" s="80" t="s">
        <v>919</v>
      </c>
      <c r="Y109" s="77"/>
      <c r="Z109" s="77"/>
      <c r="AA109" s="77"/>
      <c r="AB109" s="77"/>
      <c r="AC109" s="73"/>
    </row>
    <row r="110" customHeight="1" ht="60.0">
      <c r="A110" s="107">
        <v>98</v>
      </c>
      <c r="B110" s="108"/>
      <c r="C110" s="108"/>
      <c r="D110" s="108" t="s">
        <v>284</v>
      </c>
      <c r="E110" s="80" t="s">
        <v>926</v>
      </c>
      <c r="F110" s="80" t="s">
        <v>111</v>
      </c>
      <c r="G110" s="80" t="s">
        <v>927</v>
      </c>
      <c r="H110" s="80" t="s">
        <v>928</v>
      </c>
      <c r="I110" s="80" t="s">
        <v>915</v>
      </c>
      <c r="J110" s="80" t="s">
        <v>929</v>
      </c>
      <c r="K110" s="80" t="s">
        <v>930</v>
      </c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112" t="s">
        <v>931</v>
      </c>
      <c r="X110" s="80" t="s">
        <v>919</v>
      </c>
      <c r="Y110" s="77"/>
      <c r="Z110" s="77"/>
      <c r="AA110" s="77"/>
      <c r="AB110" s="77"/>
      <c r="AC110" s="73"/>
    </row>
    <row r="111" customHeight="1" ht="46.5">
      <c r="A111" s="107">
        <v>99</v>
      </c>
      <c r="B111" s="108"/>
      <c r="C111" s="108"/>
      <c r="D111" s="109"/>
      <c r="E111" s="80" t="s">
        <v>932</v>
      </c>
      <c r="F111" s="80" t="s">
        <v>118</v>
      </c>
      <c r="G111" s="80" t="s">
        <v>933</v>
      </c>
      <c r="H111" s="80" t="s">
        <v>934</v>
      </c>
      <c r="I111" s="80" t="s">
        <v>915</v>
      </c>
      <c r="J111" s="80" t="s">
        <v>935</v>
      </c>
      <c r="K111" s="113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112" t="s">
        <v>936</v>
      </c>
      <c r="X111" s="80" t="s">
        <v>919</v>
      </c>
      <c r="Y111" s="77"/>
      <c r="Z111" s="77"/>
      <c r="AA111" s="77"/>
      <c r="AB111" s="77"/>
      <c r="AC111" s="73"/>
    </row>
    <row r="112" customHeight="1" ht="46.5">
      <c r="A112" s="107">
        <v>100</v>
      </c>
      <c r="B112" s="108"/>
      <c r="C112" s="108"/>
      <c r="D112" s="108" t="s">
        <v>308</v>
      </c>
      <c r="E112" s="80" t="s">
        <v>547</v>
      </c>
      <c r="F112" s="80" t="s">
        <v>118</v>
      </c>
      <c r="G112" s="80" t="s">
        <v>937</v>
      </c>
      <c r="H112" s="80" t="s">
        <v>938</v>
      </c>
      <c r="I112" s="80" t="s">
        <v>915</v>
      </c>
      <c r="J112" s="80" t="s">
        <v>939</v>
      </c>
      <c r="K112" s="80" t="s">
        <v>940</v>
      </c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112" t="s">
        <v>941</v>
      </c>
      <c r="X112" s="80" t="s">
        <v>919</v>
      </c>
      <c r="Y112" s="77"/>
      <c r="Z112" s="77"/>
      <c r="AA112" s="77"/>
      <c r="AB112" s="77"/>
      <c r="AC112" s="73"/>
    </row>
    <row r="113" customHeight="1" ht="46.5">
      <c r="A113" s="107">
        <v>101</v>
      </c>
      <c r="B113" s="108"/>
      <c r="C113" s="109"/>
      <c r="D113" s="109"/>
      <c r="E113" s="80" t="s">
        <v>942</v>
      </c>
      <c r="F113" s="80" t="s">
        <v>134</v>
      </c>
      <c r="G113" s="80" t="s">
        <v>943</v>
      </c>
      <c r="H113" s="80" t="s">
        <v>944</v>
      </c>
      <c r="I113" s="80" t="s">
        <v>729</v>
      </c>
      <c r="J113" s="80" t="s">
        <v>945</v>
      </c>
      <c r="K113" s="80" t="s">
        <v>940</v>
      </c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112" t="s">
        <v>941</v>
      </c>
      <c r="X113" s="80" t="s">
        <v>919</v>
      </c>
      <c r="Y113" s="77"/>
      <c r="Z113" s="77"/>
      <c r="AA113" s="77"/>
      <c r="AB113" s="77"/>
      <c r="AC113" s="73"/>
    </row>
    <row r="114" customHeight="1" ht="60.0">
      <c r="A114" s="107">
        <v>102</v>
      </c>
      <c r="B114" s="108"/>
      <c r="C114" s="108" t="s">
        <v>946</v>
      </c>
      <c r="D114" s="108" t="s">
        <v>180</v>
      </c>
      <c r="E114" s="80" t="s">
        <v>794</v>
      </c>
      <c r="F114" s="80" t="s">
        <v>111</v>
      </c>
      <c r="G114" s="80" t="s">
        <v>947</v>
      </c>
      <c r="H114" s="80" t="s">
        <v>948</v>
      </c>
      <c r="I114" s="80" t="s">
        <v>673</v>
      </c>
      <c r="J114" s="80" t="s">
        <v>949</v>
      </c>
      <c r="K114" s="80" t="s">
        <v>950</v>
      </c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 t="s">
        <v>951</v>
      </c>
      <c r="Y114" s="77"/>
      <c r="Z114" s="77"/>
      <c r="AA114" s="77"/>
      <c r="AB114" s="77"/>
      <c r="AC114" s="73"/>
    </row>
    <row r="115" customHeight="1" ht="46.5">
      <c r="A115" s="107">
        <v>103</v>
      </c>
      <c r="B115" s="108"/>
      <c r="C115" s="108"/>
      <c r="D115" s="108"/>
      <c r="E115" s="80" t="s">
        <v>952</v>
      </c>
      <c r="F115" s="80" t="s">
        <v>118</v>
      </c>
      <c r="G115" s="80" t="s">
        <v>953</v>
      </c>
      <c r="H115" s="80" t="s">
        <v>954</v>
      </c>
      <c r="I115" s="80" t="s">
        <v>673</v>
      </c>
      <c r="J115" s="80" t="s">
        <v>955</v>
      </c>
      <c r="K115" s="80" t="s">
        <v>956</v>
      </c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 t="s">
        <v>951</v>
      </c>
      <c r="Y115" s="77"/>
      <c r="Z115" s="77"/>
      <c r="AA115" s="77"/>
      <c r="AB115" s="77"/>
      <c r="AC115" s="73"/>
    </row>
    <row r="116" customHeight="1" ht="46.5">
      <c r="A116" s="107">
        <v>104</v>
      </c>
      <c r="B116" s="108"/>
      <c r="C116" s="109"/>
      <c r="D116" s="109"/>
      <c r="E116" s="80" t="s">
        <v>957</v>
      </c>
      <c r="F116" s="80" t="s">
        <v>118</v>
      </c>
      <c r="G116" s="80" t="s">
        <v>958</v>
      </c>
      <c r="H116" s="80" t="s">
        <v>959</v>
      </c>
      <c r="I116" s="80" t="s">
        <v>673</v>
      </c>
      <c r="J116" s="80" t="s">
        <v>960</v>
      </c>
      <c r="K116" s="80" t="s">
        <v>961</v>
      </c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 t="s">
        <v>951</v>
      </c>
      <c r="Y116" s="77"/>
      <c r="Z116" s="77"/>
      <c r="AA116" s="77"/>
      <c r="AB116" s="77"/>
      <c r="AC116" s="73"/>
    </row>
    <row r="117" customHeight="1" ht="154.5">
      <c r="A117" s="107">
        <v>105</v>
      </c>
      <c r="B117" s="108"/>
      <c r="C117" s="108" t="s">
        <v>962</v>
      </c>
      <c r="D117" s="108" t="s">
        <v>457</v>
      </c>
      <c r="E117" s="80" t="s">
        <v>963</v>
      </c>
      <c r="F117" s="80" t="s">
        <v>111</v>
      </c>
      <c r="G117" s="80" t="s">
        <v>964</v>
      </c>
      <c r="H117" s="80" t="s">
        <v>965</v>
      </c>
      <c r="I117" s="80" t="s">
        <v>673</v>
      </c>
      <c r="J117" s="80" t="s">
        <v>966</v>
      </c>
      <c r="K117" s="80" t="s">
        <v>967</v>
      </c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 t="s">
        <v>951</v>
      </c>
      <c r="Y117" s="77"/>
      <c r="Z117" s="77"/>
      <c r="AA117" s="77"/>
      <c r="AB117" s="77"/>
      <c r="AC117" s="73"/>
    </row>
    <row r="118" customHeight="1" ht="46.5">
      <c r="A118" s="107">
        <v>106</v>
      </c>
      <c r="B118" s="108"/>
      <c r="C118" s="108"/>
      <c r="D118" s="109"/>
      <c r="E118" s="80" t="s">
        <v>968</v>
      </c>
      <c r="F118" s="80" t="s">
        <v>111</v>
      </c>
      <c r="G118" s="80" t="s">
        <v>969</v>
      </c>
      <c r="H118" s="80" t="s">
        <v>970</v>
      </c>
      <c r="I118" s="80" t="s">
        <v>673</v>
      </c>
      <c r="J118" s="80" t="s">
        <v>971</v>
      </c>
      <c r="K118" s="113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112" t="s">
        <v>972</v>
      </c>
      <c r="X118" s="80" t="s">
        <v>951</v>
      </c>
      <c r="Y118" s="77"/>
      <c r="Z118" s="77"/>
      <c r="AA118" s="77"/>
      <c r="AB118" s="77"/>
      <c r="AC118" s="73"/>
    </row>
    <row r="119" customHeight="1" ht="60.0">
      <c r="A119" s="107">
        <v>107</v>
      </c>
      <c r="B119" s="108"/>
      <c r="C119" s="108"/>
      <c r="D119" s="108" t="s">
        <v>284</v>
      </c>
      <c r="E119" s="80" t="s">
        <v>973</v>
      </c>
      <c r="F119" s="80" t="s">
        <v>111</v>
      </c>
      <c r="G119" s="80" t="s">
        <v>974</v>
      </c>
      <c r="H119" s="80" t="s">
        <v>975</v>
      </c>
      <c r="I119" s="80" t="s">
        <v>673</v>
      </c>
      <c r="J119" s="80" t="s">
        <v>976</v>
      </c>
      <c r="K119" s="80" t="s">
        <v>977</v>
      </c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 t="s">
        <v>951</v>
      </c>
      <c r="Y119" s="77"/>
      <c r="Z119" s="77"/>
      <c r="AA119" s="77"/>
      <c r="AB119" s="77"/>
      <c r="AC119" s="73"/>
    </row>
    <row r="120" customHeight="1" ht="34.0">
      <c r="A120" s="107">
        <v>108</v>
      </c>
      <c r="B120" s="108"/>
      <c r="C120" s="108"/>
      <c r="D120" s="108"/>
      <c r="E120" s="80" t="s">
        <v>978</v>
      </c>
      <c r="F120" s="80" t="s">
        <v>118</v>
      </c>
      <c r="G120" s="80" t="s">
        <v>979</v>
      </c>
      <c r="H120" s="80" t="s">
        <v>980</v>
      </c>
      <c r="I120" s="80" t="s">
        <v>981</v>
      </c>
      <c r="J120" s="80" t="s">
        <v>666</v>
      </c>
      <c r="K120" s="80" t="s">
        <v>982</v>
      </c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 t="s">
        <v>951</v>
      </c>
      <c r="Y120" s="77"/>
      <c r="Z120" s="77"/>
      <c r="AA120" s="77"/>
      <c r="AB120" s="77"/>
      <c r="AC120" s="73"/>
    </row>
    <row r="121" customHeight="1" ht="34.0">
      <c r="A121" s="107">
        <v>109</v>
      </c>
      <c r="B121" s="108"/>
      <c r="C121" s="108"/>
      <c r="D121" s="108"/>
      <c r="E121" s="80" t="s">
        <v>983</v>
      </c>
      <c r="F121" s="80" t="s">
        <v>111</v>
      </c>
      <c r="G121" s="80" t="s">
        <v>984</v>
      </c>
      <c r="H121" s="80" t="s">
        <v>985</v>
      </c>
      <c r="I121" s="80" t="s">
        <v>981</v>
      </c>
      <c r="J121" s="80" t="s">
        <v>986</v>
      </c>
      <c r="K121" s="80" t="s">
        <v>987</v>
      </c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 t="s">
        <v>951</v>
      </c>
      <c r="Y121" s="77"/>
      <c r="Z121" s="77"/>
      <c r="AA121" s="77"/>
      <c r="AB121" s="77"/>
      <c r="AC121" s="73"/>
    </row>
    <row r="122" customHeight="1" ht="34.0">
      <c r="A122" s="107">
        <v>110</v>
      </c>
      <c r="B122" s="108"/>
      <c r="C122" s="108"/>
      <c r="D122" s="108"/>
      <c r="E122" s="80" t="s">
        <v>988</v>
      </c>
      <c r="F122" s="80" t="s">
        <v>118</v>
      </c>
      <c r="G122" s="80" t="s">
        <v>989</v>
      </c>
      <c r="H122" s="80" t="s">
        <v>990</v>
      </c>
      <c r="I122" s="80" t="s">
        <v>981</v>
      </c>
      <c r="J122" s="80" t="s">
        <v>991</v>
      </c>
      <c r="K122" s="80" t="s">
        <v>992</v>
      </c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 t="s">
        <v>993</v>
      </c>
      <c r="Y122" s="77"/>
      <c r="Z122" s="77"/>
      <c r="AA122" s="77"/>
      <c r="AB122" s="77"/>
      <c r="AC122" s="73"/>
    </row>
    <row r="123" customHeight="1" ht="46.5">
      <c r="A123" s="107">
        <v>111</v>
      </c>
      <c r="B123" s="108"/>
      <c r="C123" s="108"/>
      <c r="D123" s="108"/>
      <c r="E123" s="80" t="s">
        <v>994</v>
      </c>
      <c r="F123" s="80" t="s">
        <v>111</v>
      </c>
      <c r="G123" s="80" t="s">
        <v>995</v>
      </c>
      <c r="H123" s="80" t="s">
        <v>996</v>
      </c>
      <c r="I123" s="80" t="s">
        <v>673</v>
      </c>
      <c r="J123" s="80" t="s">
        <v>997</v>
      </c>
      <c r="K123" s="80" t="s">
        <v>998</v>
      </c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112" t="s">
        <v>999</v>
      </c>
      <c r="X123" s="80" t="s">
        <v>951</v>
      </c>
      <c r="Y123" s="77"/>
      <c r="Z123" s="77"/>
      <c r="AA123" s="77"/>
      <c r="AB123" s="77"/>
      <c r="AC123" s="73"/>
    </row>
    <row r="124" customHeight="1" ht="46.5">
      <c r="A124" s="107">
        <v>112</v>
      </c>
      <c r="B124" s="108"/>
      <c r="C124" s="108"/>
      <c r="D124" s="109"/>
      <c r="E124" s="80" t="s">
        <v>1000</v>
      </c>
      <c r="F124" s="80" t="s">
        <v>111</v>
      </c>
      <c r="G124" s="80" t="s">
        <v>1001</v>
      </c>
      <c r="H124" s="80" t="s">
        <v>1002</v>
      </c>
      <c r="I124" s="80" t="s">
        <v>1003</v>
      </c>
      <c r="J124" s="80" t="s">
        <v>1004</v>
      </c>
      <c r="K124" s="80" t="s">
        <v>1005</v>
      </c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112" t="s">
        <v>1006</v>
      </c>
      <c r="X124" s="80" t="s">
        <v>951</v>
      </c>
      <c r="Y124" s="77"/>
      <c r="Z124" s="77"/>
      <c r="AA124" s="77"/>
      <c r="AB124" s="77"/>
      <c r="AC124" s="73"/>
    </row>
    <row r="125" customHeight="1" ht="46.5">
      <c r="A125" s="107">
        <v>113</v>
      </c>
      <c r="B125" s="108"/>
      <c r="C125" s="109"/>
      <c r="D125" s="80" t="s">
        <v>308</v>
      </c>
      <c r="E125" s="80" t="s">
        <v>547</v>
      </c>
      <c r="F125" s="80" t="s">
        <v>118</v>
      </c>
      <c r="G125" s="80" t="s">
        <v>1007</v>
      </c>
      <c r="H125" s="80" t="s">
        <v>1008</v>
      </c>
      <c r="I125" s="80" t="s">
        <v>673</v>
      </c>
      <c r="J125" s="80" t="s">
        <v>1009</v>
      </c>
      <c r="K125" s="80" t="s">
        <v>1010</v>
      </c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 t="s">
        <v>951</v>
      </c>
      <c r="Y125" s="77"/>
      <c r="Z125" s="77"/>
      <c r="AA125" s="77"/>
      <c r="AB125" s="77"/>
      <c r="AC125" s="73"/>
    </row>
    <row r="126" customHeight="1" ht="87.0">
      <c r="A126" s="107">
        <v>114</v>
      </c>
      <c r="B126" s="109"/>
      <c r="C126" s="109" t="s">
        <v>1011</v>
      </c>
      <c r="D126" s="80" t="s">
        <v>180</v>
      </c>
      <c r="E126" s="80" t="s">
        <v>1012</v>
      </c>
      <c r="F126" s="80" t="s">
        <v>118</v>
      </c>
      <c r="G126" s="80" t="s">
        <v>1013</v>
      </c>
      <c r="H126" s="80" t="s">
        <v>1014</v>
      </c>
      <c r="I126" s="80" t="s">
        <v>673</v>
      </c>
      <c r="J126" s="80" t="s">
        <v>894</v>
      </c>
      <c r="K126" s="113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112" t="s">
        <v>1015</v>
      </c>
      <c r="X126" s="80" t="s">
        <v>626</v>
      </c>
      <c r="Y126" s="77"/>
      <c r="Z126" s="77"/>
      <c r="AA126" s="77"/>
      <c r="AB126" s="77"/>
      <c r="AC126" s="73"/>
    </row>
    <row r="127" customHeight="1" ht="60.0">
      <c r="A127" s="107">
        <v>115</v>
      </c>
      <c r="B127" s="108" t="s">
        <v>1016</v>
      </c>
      <c r="C127" s="108" t="s">
        <v>1017</v>
      </c>
      <c r="D127" s="108" t="s">
        <v>1018</v>
      </c>
      <c r="E127" s="80" t="s">
        <v>1019</v>
      </c>
      <c r="F127" s="80" t="s">
        <v>111</v>
      </c>
      <c r="G127" s="80" t="s">
        <v>1020</v>
      </c>
      <c r="H127" s="80" t="s">
        <v>1021</v>
      </c>
      <c r="I127" s="80" t="s">
        <v>1022</v>
      </c>
      <c r="J127" s="80" t="s">
        <v>666</v>
      </c>
      <c r="K127" s="80" t="s">
        <v>1023</v>
      </c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 t="s">
        <v>422</v>
      </c>
      <c r="Y127" s="77"/>
      <c r="Z127" s="77"/>
      <c r="AA127" s="77"/>
      <c r="AB127" s="77"/>
      <c r="AC127" s="73"/>
    </row>
    <row r="128" customHeight="1" ht="60.0">
      <c r="A128" s="107">
        <v>116</v>
      </c>
      <c r="B128" s="108"/>
      <c r="C128" s="108"/>
      <c r="D128" s="109"/>
      <c r="E128" s="80" t="s">
        <v>1024</v>
      </c>
      <c r="F128" s="80" t="s">
        <v>134</v>
      </c>
      <c r="G128" s="80" t="s">
        <v>1025</v>
      </c>
      <c r="H128" s="80" t="s">
        <v>1026</v>
      </c>
      <c r="I128" s="80" t="s">
        <v>1022</v>
      </c>
      <c r="J128" s="80" t="s">
        <v>1027</v>
      </c>
      <c r="K128" s="80" t="s">
        <v>1028</v>
      </c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112" t="s">
        <v>1029</v>
      </c>
      <c r="X128" s="80" t="s">
        <v>422</v>
      </c>
      <c r="Y128" s="77"/>
      <c r="Z128" s="77"/>
      <c r="AA128" s="77"/>
      <c r="AB128" s="77"/>
      <c r="AC128" s="73"/>
    </row>
    <row r="129" customHeight="1" ht="60.0">
      <c r="A129" s="107">
        <v>117</v>
      </c>
      <c r="B129" s="108"/>
      <c r="C129" s="108"/>
      <c r="D129" s="108" t="s">
        <v>1030</v>
      </c>
      <c r="E129" s="80" t="s">
        <v>1031</v>
      </c>
      <c r="F129" s="80" t="s">
        <v>111</v>
      </c>
      <c r="G129" s="80" t="s">
        <v>1032</v>
      </c>
      <c r="H129" s="80" t="s">
        <v>1033</v>
      </c>
      <c r="I129" s="80" t="s">
        <v>1022</v>
      </c>
      <c r="J129" s="80" t="s">
        <v>771</v>
      </c>
      <c r="K129" s="80" t="s">
        <v>1034</v>
      </c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 t="s">
        <v>435</v>
      </c>
      <c r="Y129" s="77"/>
      <c r="Z129" s="77"/>
      <c r="AA129" s="77"/>
      <c r="AB129" s="77"/>
      <c r="AC129" s="73"/>
    </row>
    <row r="130" customHeight="1" ht="60.0">
      <c r="A130" s="107">
        <v>118</v>
      </c>
      <c r="B130" s="108"/>
      <c r="C130" s="108"/>
      <c r="D130" s="109"/>
      <c r="E130" s="80" t="s">
        <v>1035</v>
      </c>
      <c r="F130" s="80" t="s">
        <v>111</v>
      </c>
      <c r="G130" s="80" t="s">
        <v>1036</v>
      </c>
      <c r="H130" s="80" t="s">
        <v>1037</v>
      </c>
      <c r="I130" s="80" t="s">
        <v>1022</v>
      </c>
      <c r="J130" s="80" t="s">
        <v>438</v>
      </c>
      <c r="K130" s="80" t="s">
        <v>1038</v>
      </c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112" t="s">
        <v>1039</v>
      </c>
      <c r="X130" s="80" t="s">
        <v>130</v>
      </c>
      <c r="Y130" s="77"/>
      <c r="Z130" s="77"/>
      <c r="AA130" s="77"/>
      <c r="AB130" s="77"/>
      <c r="AC130" s="73"/>
    </row>
    <row r="131" customHeight="1" ht="60.0">
      <c r="A131" s="107">
        <v>119</v>
      </c>
      <c r="B131" s="108"/>
      <c r="C131" s="108"/>
      <c r="D131" s="108" t="s">
        <v>1040</v>
      </c>
      <c r="E131" s="80" t="s">
        <v>1041</v>
      </c>
      <c r="F131" s="80" t="s">
        <v>111</v>
      </c>
      <c r="G131" s="80" t="s">
        <v>1042</v>
      </c>
      <c r="H131" s="80" t="s">
        <v>1043</v>
      </c>
      <c r="I131" s="80" t="s">
        <v>1022</v>
      </c>
      <c r="J131" s="80" t="s">
        <v>1044</v>
      </c>
      <c r="K131" s="80" t="s">
        <v>1045</v>
      </c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 t="s">
        <v>130</v>
      </c>
      <c r="Y131" s="77"/>
      <c r="Z131" s="77"/>
      <c r="AA131" s="77"/>
      <c r="AB131" s="77"/>
      <c r="AC131" s="73"/>
    </row>
    <row r="132" customHeight="1" ht="60.0">
      <c r="A132" s="107">
        <v>120</v>
      </c>
      <c r="B132" s="108"/>
      <c r="C132" s="109"/>
      <c r="D132" s="109"/>
      <c r="E132" s="80" t="s">
        <v>1046</v>
      </c>
      <c r="F132" s="80" t="s">
        <v>111</v>
      </c>
      <c r="G132" s="80" t="s">
        <v>1047</v>
      </c>
      <c r="H132" s="80" t="s">
        <v>1048</v>
      </c>
      <c r="I132" s="80" t="s">
        <v>1022</v>
      </c>
      <c r="J132" s="80" t="s">
        <v>1049</v>
      </c>
      <c r="K132" s="80" t="s">
        <v>1050</v>
      </c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 t="s">
        <v>130</v>
      </c>
      <c r="Y132" s="77"/>
      <c r="Z132" s="77"/>
      <c r="AA132" s="77"/>
      <c r="AB132" s="77"/>
      <c r="AC132" s="73"/>
    </row>
    <row r="133" customHeight="1" ht="46.5">
      <c r="A133" s="107">
        <v>121</v>
      </c>
      <c r="B133" s="108"/>
      <c r="C133" s="109" t="s">
        <v>1051</v>
      </c>
      <c r="D133" s="80" t="s">
        <v>1052</v>
      </c>
      <c r="E133" s="80" t="s">
        <v>1053</v>
      </c>
      <c r="F133" s="80" t="s">
        <v>111</v>
      </c>
      <c r="G133" s="80" t="s">
        <v>1054</v>
      </c>
      <c r="H133" s="80" t="s">
        <v>1055</v>
      </c>
      <c r="I133" s="80" t="s">
        <v>1056</v>
      </c>
      <c r="J133" s="80" t="s">
        <v>1057</v>
      </c>
      <c r="K133" s="113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112" t="s">
        <v>1058</v>
      </c>
      <c r="X133" s="80" t="s">
        <v>130</v>
      </c>
      <c r="Y133" s="77"/>
      <c r="Z133" s="77"/>
      <c r="AA133" s="77"/>
      <c r="AB133" s="77"/>
      <c r="AC133" s="73"/>
    </row>
    <row r="134" customHeight="1" ht="46.5">
      <c r="A134" s="107">
        <v>122</v>
      </c>
      <c r="B134" s="108"/>
      <c r="C134" s="108" t="s">
        <v>1059</v>
      </c>
      <c r="D134" s="80" t="s">
        <v>1060</v>
      </c>
      <c r="E134" s="80" t="s">
        <v>1061</v>
      </c>
      <c r="F134" s="80" t="s">
        <v>111</v>
      </c>
      <c r="G134" s="80" t="s">
        <v>1062</v>
      </c>
      <c r="H134" s="80" t="s">
        <v>1063</v>
      </c>
      <c r="I134" s="80" t="s">
        <v>1064</v>
      </c>
      <c r="J134" s="80" t="s">
        <v>1065</v>
      </c>
      <c r="K134" s="80" t="s">
        <v>1066</v>
      </c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112" t="s">
        <v>1067</v>
      </c>
      <c r="X134" s="80" t="s">
        <v>435</v>
      </c>
      <c r="Y134" s="77"/>
      <c r="Z134" s="77"/>
      <c r="AA134" s="77"/>
      <c r="AB134" s="77"/>
      <c r="AC134" s="73"/>
    </row>
    <row r="135" customHeight="1" ht="34.0">
      <c r="A135" s="107">
        <v>123</v>
      </c>
      <c r="B135" s="109"/>
      <c r="C135" s="109"/>
      <c r="D135" s="80" t="s">
        <v>1068</v>
      </c>
      <c r="E135" s="80" t="s">
        <v>1069</v>
      </c>
      <c r="F135" s="80" t="s">
        <v>111</v>
      </c>
      <c r="G135" s="80" t="s">
        <v>1070</v>
      </c>
      <c r="H135" s="80" t="s">
        <v>1071</v>
      </c>
      <c r="I135" s="80" t="s">
        <v>1072</v>
      </c>
      <c r="J135" s="80" t="s">
        <v>1073</v>
      </c>
      <c r="K135" s="80" t="s">
        <v>1074</v>
      </c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112" t="s">
        <v>1067</v>
      </c>
      <c r="X135" s="80" t="s">
        <v>130</v>
      </c>
      <c r="Y135" s="77"/>
      <c r="Z135" s="77"/>
      <c r="AA135" s="77"/>
      <c r="AB135" s="77"/>
      <c r="AC135" s="73"/>
    </row>
    <row r="136" customHeight="1" ht="34.0">
      <c r="A136" s="107">
        <v>124</v>
      </c>
      <c r="B136" s="108" t="s">
        <v>383</v>
      </c>
      <c r="C136" s="108" t="s">
        <v>1075</v>
      </c>
      <c r="D136" s="80" t="s">
        <v>1018</v>
      </c>
      <c r="E136" s="80" t="s">
        <v>1076</v>
      </c>
      <c r="F136" s="80" t="s">
        <v>111</v>
      </c>
      <c r="G136" s="80" t="s">
        <v>1077</v>
      </c>
      <c r="H136" s="80" t="s">
        <v>1078</v>
      </c>
      <c r="I136" s="80" t="s">
        <v>1079</v>
      </c>
      <c r="J136" s="80" t="s">
        <v>666</v>
      </c>
      <c r="K136" s="80" t="s">
        <v>1080</v>
      </c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 t="s">
        <v>130</v>
      </c>
      <c r="Y136" s="77"/>
      <c r="Z136" s="77"/>
      <c r="AA136" s="77"/>
      <c r="AB136" s="77"/>
      <c r="AC136" s="73"/>
    </row>
    <row r="137" customHeight="1" ht="34.0">
      <c r="A137" s="107">
        <v>125</v>
      </c>
      <c r="B137" s="108"/>
      <c r="C137" s="108"/>
      <c r="D137" s="80" t="s">
        <v>1081</v>
      </c>
      <c r="E137" s="80" t="s">
        <v>1082</v>
      </c>
      <c r="F137" s="80" t="s">
        <v>111</v>
      </c>
      <c r="G137" s="80" t="s">
        <v>1083</v>
      </c>
      <c r="H137" s="80" t="s">
        <v>1084</v>
      </c>
      <c r="I137" s="80" t="s">
        <v>1079</v>
      </c>
      <c r="J137" s="80" t="s">
        <v>438</v>
      </c>
      <c r="K137" s="80" t="s">
        <v>1085</v>
      </c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112" t="s">
        <v>1039</v>
      </c>
      <c r="X137" s="80" t="s">
        <v>130</v>
      </c>
      <c r="Y137" s="77"/>
      <c r="Z137" s="77"/>
      <c r="AA137" s="77"/>
      <c r="AB137" s="77"/>
      <c r="AC137" s="73"/>
    </row>
    <row r="138" customHeight="1" ht="34.0">
      <c r="A138" s="107">
        <v>126</v>
      </c>
      <c r="B138" s="108"/>
      <c r="C138" s="108"/>
      <c r="D138" s="108" t="s">
        <v>1040</v>
      </c>
      <c r="E138" s="80" t="s">
        <v>1082</v>
      </c>
      <c r="F138" s="80" t="s">
        <v>111</v>
      </c>
      <c r="G138" s="80" t="s">
        <v>1086</v>
      </c>
      <c r="H138" s="80" t="s">
        <v>1087</v>
      </c>
      <c r="I138" s="80" t="s">
        <v>1079</v>
      </c>
      <c r="J138" s="80" t="s">
        <v>1088</v>
      </c>
      <c r="K138" s="80" t="s">
        <v>1089</v>
      </c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 t="s">
        <v>130</v>
      </c>
      <c r="Y138" s="77"/>
      <c r="Z138" s="77"/>
      <c r="AA138" s="77"/>
      <c r="AB138" s="77"/>
      <c r="AC138" s="73"/>
    </row>
    <row r="139" customHeight="1" ht="34.0">
      <c r="A139" s="107">
        <v>127</v>
      </c>
      <c r="B139" s="108"/>
      <c r="C139" s="109"/>
      <c r="D139" s="109"/>
      <c r="E139" s="80" t="s">
        <v>1090</v>
      </c>
      <c r="F139" s="80" t="s">
        <v>111</v>
      </c>
      <c r="G139" s="80" t="s">
        <v>1091</v>
      </c>
      <c r="H139" s="80" t="s">
        <v>1092</v>
      </c>
      <c r="I139" s="80" t="s">
        <v>680</v>
      </c>
      <c r="J139" s="80" t="s">
        <v>1093</v>
      </c>
      <c r="K139" s="80" t="s">
        <v>1094</v>
      </c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 t="s">
        <v>130</v>
      </c>
      <c r="Y139" s="77"/>
      <c r="Z139" s="77"/>
      <c r="AA139" s="77"/>
      <c r="AB139" s="77"/>
      <c r="AC139" s="73"/>
    </row>
    <row r="140" customHeight="1" ht="60.0">
      <c r="A140" s="107">
        <v>128</v>
      </c>
      <c r="B140" s="108"/>
      <c r="C140" s="109" t="s">
        <v>1095</v>
      </c>
      <c r="D140" s="80" t="s">
        <v>1096</v>
      </c>
      <c r="E140" s="80" t="s">
        <v>1097</v>
      </c>
      <c r="F140" s="80" t="s">
        <v>111</v>
      </c>
      <c r="G140" s="80" t="s">
        <v>1098</v>
      </c>
      <c r="H140" s="80" t="s">
        <v>1099</v>
      </c>
      <c r="I140" s="80" t="s">
        <v>432</v>
      </c>
      <c r="J140" s="80" t="s">
        <v>1100</v>
      </c>
      <c r="K140" s="80" t="s">
        <v>1101</v>
      </c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 t="s">
        <v>456</v>
      </c>
      <c r="Y140" s="77"/>
      <c r="Z140" s="77"/>
      <c r="AA140" s="77"/>
      <c r="AB140" s="77"/>
      <c r="AC140" s="73"/>
    </row>
    <row r="141" customHeight="1" ht="46.5">
      <c r="A141" s="107">
        <v>129</v>
      </c>
      <c r="B141" s="109"/>
      <c r="C141" s="109" t="s">
        <v>1102</v>
      </c>
      <c r="D141" s="80" t="s">
        <v>1103</v>
      </c>
      <c r="E141" s="80" t="s">
        <v>1104</v>
      </c>
      <c r="F141" s="80" t="s">
        <v>118</v>
      </c>
      <c r="G141" s="80" t="s">
        <v>1105</v>
      </c>
      <c r="H141" s="80" t="s">
        <v>1106</v>
      </c>
      <c r="I141" s="80" t="s">
        <v>432</v>
      </c>
      <c r="J141" s="80" t="s">
        <v>1107</v>
      </c>
      <c r="K141" s="113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112" t="s">
        <v>1108</v>
      </c>
      <c r="X141" s="80" t="s">
        <v>414</v>
      </c>
      <c r="Y141" s="77"/>
      <c r="Z141" s="77"/>
      <c r="AA141" s="77"/>
      <c r="AB141" s="77"/>
      <c r="AC141" s="73"/>
    </row>
  </sheetData>
  <mergeCells count="83">
    <mergeCell ref="K2:S2"/>
    <mergeCell ref="K4:K5"/>
    <mergeCell ref="L4:L5"/>
    <mergeCell ref="K6:K7"/>
    <mergeCell ref="L6:L7"/>
    <mergeCell ref="M10:Q10"/>
    <mergeCell ref="R10:V10"/>
    <mergeCell ref="B11:D11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B13:B17"/>
    <mergeCell ref="B18:B64"/>
    <mergeCell ref="B65:B126"/>
    <mergeCell ref="B127:B135"/>
    <mergeCell ref="B136:B141"/>
    <mergeCell ref="C13:C14"/>
    <mergeCell ref="C15:C17"/>
    <mergeCell ref="C19:C42"/>
    <mergeCell ref="C43:C49"/>
    <mergeCell ref="C50:C59"/>
    <mergeCell ref="C60:C63"/>
    <mergeCell ref="C65:C69"/>
    <mergeCell ref="C70:C71"/>
    <mergeCell ref="C72:C75"/>
    <mergeCell ref="C76:C86"/>
    <mergeCell ref="C87:C93"/>
    <mergeCell ref="C94:C106"/>
    <mergeCell ref="C108:C113"/>
    <mergeCell ref="C114:C116"/>
    <mergeCell ref="C117:C125"/>
    <mergeCell ref="C127:C132"/>
    <mergeCell ref="C134:C135"/>
    <mergeCell ref="C136:C139"/>
    <mergeCell ref="D16:D17"/>
    <mergeCell ref="D20:D21"/>
    <mergeCell ref="D22:D23"/>
    <mergeCell ref="D24:D25"/>
    <mergeCell ref="D26:D32"/>
    <mergeCell ref="D33:D39"/>
    <mergeCell ref="D40:D42"/>
    <mergeCell ref="D44:D49"/>
    <mergeCell ref="D50:D56"/>
    <mergeCell ref="D57:D59"/>
    <mergeCell ref="D62:D63"/>
    <mergeCell ref="D65:D66"/>
    <mergeCell ref="D68:D69"/>
    <mergeCell ref="D72:D75"/>
    <mergeCell ref="D77:D79"/>
    <mergeCell ref="D80:D84"/>
    <mergeCell ref="D85:D86"/>
    <mergeCell ref="D87:D92"/>
    <mergeCell ref="D95:D96"/>
    <mergeCell ref="D97:D98"/>
    <mergeCell ref="D99:D100"/>
    <mergeCell ref="D101:D104"/>
    <mergeCell ref="D105:D106"/>
    <mergeCell ref="D108:D109"/>
    <mergeCell ref="D110:D111"/>
    <mergeCell ref="D112:D113"/>
    <mergeCell ref="D114:D116"/>
    <mergeCell ref="D117:D118"/>
    <mergeCell ref="D119:D124"/>
    <mergeCell ref="D127:D128"/>
    <mergeCell ref="D129:D130"/>
    <mergeCell ref="D131:D132"/>
    <mergeCell ref="D138:D139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C12A5F22-CD7D-425E-AC12-6A62BEDD0577}" type="list" allowBlank="1" errorStyle="stop" imeMode="noControl" operator="between" showDropDown="0" showErrorMessage="0" showInputMessage="0">
          <x14:formula1>
            <xm:f>"High,Medium,Low,Critical"</xm:f>
          </x14:formula1>
          <xm:sqref>F13:F141</xm:sqref>
        </x14:dataValidation>
        <x14:dataValidation xr:uid="{58EA9274-278A-4607-B02F-44BD00D7BDE5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M13:M141 R13:R141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4</cp:revision>
  <dcterms:created xsi:type="dcterms:W3CDTF">2026-10-01T04:51:11Z</dcterms:created>
  <dcterms:modified xsi:type="dcterms:W3CDTF">2026-10-01T07:02:20Z</dcterms:modified>
</cp:coreProperties>
</file>