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Assisted workspace" sheetId="11" state="visible" r:id="rId14"/>
    <sheet name="Workspaces" sheetId="10" state="visible" r:id="rId13"/>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<sst xmlns="http://schemas.openxmlformats.org/spreadsheetml/2006/main" count="9461" uniqueCount="4101">
  <si>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</si>
  <si>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</si>
  <si>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</si>
  <si>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</si>
  <si>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</si>
  <si>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</si>
  <si>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</si>
  <si>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</si>
  <si>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</si>
  <si>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</si>
  <si>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</si>
  <si>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</si>
  <si>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</si>
  <si>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</si>
  <si>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</si>
  <si>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</si>
  <si>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</si>
  <si>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</si>
  <si>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</si>
  <si>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</si>
  <si>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</si>
  <si>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</si>
  <si>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</si>
  <si>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</si>
  <si>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</si>
  <si>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</si>
  <si>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</si>
  <si>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</si>
  <si>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</si>
  <si>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</si>
  <si>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</si>
  <si>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</si>
  <si>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</si>
  <si>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</si>
  <si>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</si>
  <si>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</si>
  <si>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</si>
  <si>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</si>
  <si>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</si>
  <si>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</si>
  <si>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</si>
  <si>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</si>
  <si>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</si>
  <si>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</si>
  <si>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</si>
  <si>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</si>
  <si>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</si>
  <si>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</si>
  <si>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</si>
  <si>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</si>
  <si>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</si>
  <si>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</si>
  <si>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</si>
  <si>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</si>
  <si>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</si>
  <si>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</si>
  <si>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</si>
  <si>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</si>
  <si>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</si>
  <si>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</si>
  <si>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</si>
  <si>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</si>
  <si>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</si>
  <si>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</si>
  <si>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</si>
  <si>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</si>
  <si>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</si>
  <si>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</si>
  <si>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</si>
  <si>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</si>
  <si>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</si>
  <si>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</si>
  <si>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</si>
  <si>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</si>
  <si>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</si>
  <si>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</si>
  <si>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</si>
  <si>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</si>
  <si>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</si>
  <si>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</si>
  <si>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</si>
  <si>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</si>
  <si>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</si>
  <si>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</si>
  <si>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</si>
  <si>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</si>
  <si>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</si>
  <si>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</si>
  <si>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</si>
  <si>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</si>
  <si>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</si>
  <si>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</si>
  <si>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</si>
  <si>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</si>
  <si>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</si>
  <si>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</si>
  <si>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</si>
  <si>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</si>
  <si>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</si>
  <si>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</si>
  <si>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</si>
  <si>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</si>
  <si>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</si>
  <si>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</si>
  <si>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</si>
  <si>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</si>
  <si>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</si>
  <si>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</si>
  <si>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</si>
  <si>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</si>
  <si>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</si>
  <si>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</si>
  <si>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</si>
  <si>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</si>
  <si>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</si>
  <si>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</si>
  <si>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</si>
  <si>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</si>
  <si>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</si>
  <si>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</si>
  <si>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</si>
  <si>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</si>
  <si>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</si>
  <si>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</si>
  <si>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</si>
  <si>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</si>
  <si>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</si>
  <si>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</si>
  <si>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</si>
  <si>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</si>
  <si>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</si>
  <si>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</si>
  <si>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</si>
  <si>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</si>
  <si>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</si>
  <si>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</si>
  <si>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</si>
  <si>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</si>
  <si>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</si>
  <si>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</si>
  <si>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</si>
  <si>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</si>
  <si>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</si>
  <si>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</si>
  <si>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</si>
  <si>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</si>
  <si>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</si>
  <si>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</si>
  <si>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</si>
  <si>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</si>
  <si>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</si>
  <si>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</si>
  <si>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</si>
  <si>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</si>
  <si>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</si>
  <si>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</si>
  <si>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</si>
  <si>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</si>
  <si>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</si>
  <si>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</si>
  <si>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</si>
  <si>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</si>
  <si>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</si>
  <si>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</si>
  <si>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</si>
  <si>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</si>
  <si>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</si>
  <si>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</si>
  <si>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</si>
  <si>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</si>
  <si>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</si>
  <si>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</si>
  <si>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</si>
  <si>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</si>
  <si>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</si>
  <si>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</si>
  <si>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</si>
  <si>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</si>
  <si>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</si>
  <si>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</si>
  <si>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</si>
  <si>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</si>
  <si>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</si>
  <si>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</si>
  <si>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</si>
  <si>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</si>
  <si>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</si>
  <si>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</si>
  <si>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</si>
  <si>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</si>
  <si>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</si>
  <si>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</si>
  <si>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</si>
  <si>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</si>
  <si>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</si>
  <si>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</si>
  <si>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</si>
  <si>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</si>
  <si>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</si>
  <si>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</si>
  <si>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</si>
  <si>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</si>
  <si>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</si>
  <si>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</si>
  <si>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</si>
  <si>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</si>
  <si>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</si>
  <si>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</si>
  <si>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</si>
  <si>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</si>
  <si>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</si>
  <si>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</si>
  <si>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</si>
  <si>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</si>
  <si>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</si>
  <si>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</si>
  <si>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</si>
  <si>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</si>
  <si>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</si>
  <si>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</si>
  <si>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</si>
  <si>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</si>
  <si>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</si>
  <si>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</si>
  <si>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</si>
  <si>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</si>
  <si>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</si>
  <si>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</si>
  <si>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</si>
  <si>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</si>
  <si>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</si>
  <si>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</si>
  <si>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</si>
  <si>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</si>
  <si>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</si>
  <si>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</si>
  <si>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</si>
  <si>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</si>
  <si>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</si>
  <si>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</si>
  <si>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</si>
  <si>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</si>
  <si>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</si>
  <si>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</si>
  <si>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</si>
  <si>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</si>
  <si>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</si>
  <si>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</si>
  <si>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</si>
  <si>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</si>
  <si>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</si>
  <si>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</si>
  <si>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</si>
  <si>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</si>
  <si>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</si>
  <si>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</si>
  <si>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</si>
  <si>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</si>
  <si>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</si>
  <si>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</si>
  <si>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</si>
  <si>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</si>
  <si>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</si>
  <si>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</si>
  <si>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</si>
  <si>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</si>
  <si>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</si>
  <si>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</si>
  <si>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</si>
  <si>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</si>
  <si>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</si>
  <si>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</si>
  <si>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</si>
  <si>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</si>
  <si>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</si>
  <si>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</si>
  <si>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</si>
  <si>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</si>
  <si>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</si>
  <si>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</si>
  <si>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</si>
  <si>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</si>
  <si>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</si>
  <si>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</si>
  <si>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</si>
  <si>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</si>
  <si>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</si>
  <si>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</si>
  <si>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</si>
  <si>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</si>
  <si>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</si>
  <si>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</si>
  <si>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</si>
  <si>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</si>
  <si>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</si>
  <si>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</si>
  <si>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</si>
  <si>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</si>
  <si>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</si>
  <si>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</si>
  <si>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</si>
  <si>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</si>
  <si>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</si>
  <si>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</si>
  <si>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</si>
  <si>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</si>
  <si>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</si>
  <si>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</si>
  <si>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</si>
  <si>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</si>
  <si>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</si>
  <si>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</si>
  <si>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</si>
  <si>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</si>
  <si>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</si>
  <si>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</si>
  <si>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</si>
  <si>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</si>
  <si>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</si>
  <si>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</si>
  <si>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</si>
  <si>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</si>
  <si>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</si>
  <si>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</si>
  <si>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</si>
  <si>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</si>
  <si>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</si>
  <si>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</si>
  <si>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</si>
  <si>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</si>
  <si>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</si>
  <si>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</si>
  <si>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</si>
  <si>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</si>
  <si>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</si>
  <si>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</si>
  <si>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</si>
  <si>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</si>
  <si>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</si>
  <si>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</si>
  <si>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</si>
  <si>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</si>
  <si>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</si>
  <si>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</si>
  <si>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</si>
  <si>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</si>
  <si>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</si>
  <si>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</si>
  <si>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</si>
  <si>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</si>
  <si>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</si>
  <si>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</si>
  <si>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</si>
  <si>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</si>
  <si>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</si>
  <si>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</si>
  <si>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</si>
  <si>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</si>
  <si>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</si>
  <si>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</si>
  <si>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</si>
  <si>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</si>
  <si>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</si>
  <si>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</si>
  <si>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</si>
  <si>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</si>
  <si>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</si>
  <si>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</si>
  <si>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</si>
  <si>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</si>
  <si>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</si>
  <si>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</si>
  <si>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</si>
  <si>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</si>
  <si>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</si>
  <si>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</si>
  <si>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</si>
  <si>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</si>
  <si>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</si>
  <si>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</si>
  <si>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</si>
  <si>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</si>
  <si>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</si>
  <si>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</si>
  <si>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</si>
  <si>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</si>
  <si>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</si>
  <si>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</si>
  <si>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</si>
  <si>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</si>
  <si>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</si>
  <si>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</si>
  <si>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</si>
  <si>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</si>
  <si>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</si>
  <si>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</si>
  <si>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</si>
  <si>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</si>
  <si>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</si>
  <si>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</si>
  <si>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</si>
  <si>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</si>
  <si>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</si>
  <si>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</si>
  <si>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</si>
  <si>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</si>
  <si>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</si>
  <si>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</si>
  <si>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</si>
  <si>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</si>
  <si>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</si>
  <si>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</si>
  <si>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</si>
  <si>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</si>
  <si>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</si>
  <si>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</si>
  <si>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</si>
  <si>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</si>
  <si>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</si>
  <si>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</si>
  <si>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</si>
  <si>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</si>
  <si>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</si>
  <si>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</si>
  <si>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</si>
  <si>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</si>
  <si>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</si>
  <si>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</si>
  <si>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</si>
  <si>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</si>
  <si>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</si>
  <si>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</si>
  <si>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</si>
  <si>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</si>
  <si>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</si>
  <si>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</si>
  <si>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</si>
  <si>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</si>
  <si>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</si>
  <si>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</si>
  <si>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</si>
  <si>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</si>
  <si>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</si>
  <si>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</si>
  <si>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</si>
  <si>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</si>
  <si>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</si>
  <si>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</si>
  <si>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</si>
  <si>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</si>
  <si>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</si>
  <si>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</si>
  <si>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</si>
  <si>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</si>
  <si>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</si>
  <si>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</si>
  <si>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</si>
  <si>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</si>
  <si>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</si>
  <si>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</si>
  <si>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</si>
  <si>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</si>
  <si>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</si>
  <si>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</si>
  <si>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</si>
  <si>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</si>
  <si>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</si>
  <si>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</si>
  <si>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</si>
  <si>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</si>
  <si>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</si>
  <si>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</si>
  <si>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</si>
  <si>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</si>
  <si>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</si>
  <si>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</si>
  <si>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</si>
  <si>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</si>
  <si>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</si>
  <si>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</si>
  <si>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</si>
  <si>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</si>
  <si>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</si>
  <si>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</si>
  <si>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</si>
  <si>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</si>
  <si>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</si>
  <si>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</si>
  <si>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</si>
  <si>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</si>
  <si>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</si>
  <si>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</si>
  <si>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</si>
  <si>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</si>
  <si>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</si>
  <si>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</si>
  <si>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</si>
  <si>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</si>
  <si>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</si>
  <si>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</si>
  <si>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</si>
  <si>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</si>
  <si>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</si>
  <si>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</si>
  <si>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</si>
  <si>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</si>
  <si>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</si>
  <si>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</si>
  <si>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</si>
  <si>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</si>
  <si>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</si>
  <si>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</si>
  <si>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</si>
  <si>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</si>
  <si>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</si>
  <si>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</si>
  <si>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</si>
  <si>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</si>
  <si>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</si>
  <si>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</si>
  <si>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</si>
  <si>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</si>
  <si>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</si>
  <si>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</si>
  <si>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</si>
  <si>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</si>
  <si>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</si>
  <si>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</si>
  <si>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</si>
  <si>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</si>
  <si>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</si>
  <si>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</si>
  <si>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</si>
  <si>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</si>
  <si>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</si>
  <si>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</si>
  <si>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</si>
  <si>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</si>
  <si>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</si>
  <si>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</si>
  <si>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</si>
  <si>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</si>
  <si>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</si>
  <si>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</si>
  <si>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</si>
  <si>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</si>
  <si>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</si>
  <si>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</si>
  <si>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</si>
  <si>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</si>
  <si>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</si>
  <si>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</si>
  <si>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</si>
  <si>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</si>
  <si>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</si>
  <si>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</si>
  <si>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</si>
  <si>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</si>
  <si>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</si>
  <si>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</si>
  <si>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</si>
  <si>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</si>
  <si>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</si>
  <si>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</si>
  <si>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</si>
  <si>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</si>
  <si>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</si>
  <si>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</si>
  <si>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</si>
  <si>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</si>
  <si>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</si>
  <si>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</si>
  <si>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</si>
  <si>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</si>
  <si>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</si>
  <si>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</si>
  <si>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</si>
  <si>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</si>
  <si>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</si>
  <si>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</si>
  <si>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</si>
  <si>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</si>
  <si>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</si>
  <si>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</si>
  <si>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</si>
  <si>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</si>
  <si>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</si>
  <si>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</si>
  <si>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</si>
  <si>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</si>
  <si>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</si>
  <si>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</si>
  <si>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</si>
  <si>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</si>
  <si>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</si>
  <si>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</si>
  <si>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</si>
  <si>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</si>
  <si>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</si>
  <si>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</si>
  <si>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</si>
  <si>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</si>
  <si>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</si>
  <si>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</si>
  <si>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</si>
  <si>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</si>
  <si>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</si>
  <si>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</si>
  <si>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</si>
  <si>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</si>
  <si>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</si>
  <si>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</si>
  <si>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</si>
  <si>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</si>
  <si>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</si>
  <si>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</si>
  <si>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</si>
  <si>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</si>
  <si>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</si>
  <si>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</si>
  <si>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</si>
  <si>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</si>
  <si>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</si>
  <si>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</si>
  <si>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</si>
  <si>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</si>
  <si>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</si>
  <si>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</si>
  <si>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</si>
  <si>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</si>
  <si>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</si>
  <si>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</si>
  <si>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</si>
  <si>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</si>
  <si>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</si>
  <si>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</si>
  <si>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</si>
  <si>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</si>
  <si>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</si>
  <si>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</si>
  <si>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</si>
  <si>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</si>
  <si>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</si>
  <si>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</si>
  <si>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</si>
  <si>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</si>
  <si>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</si>
  <si>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</si>
  <si>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</si>
  <si>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</si>
  <si>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</si>
  <si>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</si>
  <si>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</si>
  <si>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</si>
  <si>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</si>
  <si>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</si>
  <si>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</si>
  <si>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</si>
  <si>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</si>
  <si>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</si>
  <si>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</si>
  <si>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</si>
  <si>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</si>
  <si>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</si>
  <si>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</si>
  <si>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</si>
  <si>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</si>
  <si>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</si>
  <si>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</si>
  <si>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</si>
  <si>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</si>
  <si>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</si>
  <si>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</si>
  <si>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</si>
  <si>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</si>
  <si>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</si>
  <si>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</si>
  <si>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</si>
  <si>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</si>
  <si>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</si>
  <si>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</si>
  <si>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</si>
  <si>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</si>
  <si>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</si>
  <si>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</si>
  <si>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</si>
  <si>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</si>
  <si>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</si>
  <si>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</si>
  <si>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</si>
  <si>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</si>
  <si>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</si>
  <si>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</si>
  <si>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</si>
  <si>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</si>
  <si>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</si>
  <si>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</si>
  <si>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</si>
  <si>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</si>
  <si>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</si>
  <si>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</si>
  <si>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</si>
  <si>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</si>
  <si>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</si>
  <si>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</si>
  <si>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</si>
  <si>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</si>
  <si>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</si>
  <si>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</si>
  <si>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</si>
  <si>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</si>
  <si>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</si>
  <si>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</si>
  <si>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</si>
  <si>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</si>
  <si>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</si>
  <si>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</si>
  <si>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</si>
  <si>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</si>
  <si>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</si>
  <si>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</si>
  <si>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</si>
  <si>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</si>
  <si>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</si>
  <si>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</si>
  <si>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</si>
  <si>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</si>
  <si>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</si>
  <si>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</si>
  <si>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</si>
  <si>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</si>
  <si>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</si>
  <si>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</si>
  <si>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</si>
  <si>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</si>
  <si>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</si>
  <si>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</si>
  <si>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</si>
  <si>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</si>
  <si>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</si>
  <si>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</si>
  <si>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</si>
  <si>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</si>
  <si>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</si>
  <si>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</si>
  <si>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</si>
  <si>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</si>
  <si>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</si>
  <si>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</si>
  <si>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</si>
  <si>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</si>
  <si>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</si>
  <si>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</si>
  <si>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</si>
  <si>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</si>
  <si>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</si>
  <si>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</si>
  <si>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</si>
  <si>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</si>
  <si>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</si>
  <si>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</si>
  <si>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</si>
  <si>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</si>
  <si>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</si>
  <si>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</si>
  <si>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</si>
  <si>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</si>
  <si>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</si>
  <si>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</si>
  <si>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</si>
  <si>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</si>
  <si>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</si>
  <si>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</si>
  <si>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</si>
  <si>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</si>
  <si>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</si>
  <si>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</si>
  <si>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</si>
  <si>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</si>
  <si>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</si>
  <si>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</si>
  <si>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</si>
  <si>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</si>
  <si>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</si>
  <si>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</si>
  <si>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</si>
  <si>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</si>
  <si>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</si>
  <si>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</si>
  <si>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</si>
  <si>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</si>
  <si>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</si>
  <si>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</si>
  <si>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</si>
  <si>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</si>
  <si>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</si>
  <si>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</si>
  <si>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</si>
  <si>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</si>
  <si>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</si>
  <si>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</si>
  <si>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</si>
  <si>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</si>
  <si>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</si>
  <si>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</si>
  <si>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</si>
  <si>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</si>
  <si>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</si>
  <si>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</si>
  <si>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</si>
  <si>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</si>
  <si>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</si>
  <si>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</si>
  <si>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</si>
  <si>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</si>
  <si>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</si>
  <si>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</si>
  <si>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</si>
  <si>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</si>
  <si>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</si>
  <si>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</si>
  <si>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</si>
  <si>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</si>
  <si>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</si>
  <si>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</si>
  <si>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</si>
  <si>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</si>
  <si>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</si>
  <si>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</si>
  <si>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</si>
  <si>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</si>
  <si>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</si>
  <si>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</si>
  <si>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</si>
  <si>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</si>
  <si>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</si>
  <si>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</si>
  <si>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</si>
  <si>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</si>
  <si>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</si>
  <si>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</si>
  <si>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</si>
  <si>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</si>
  <si>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</si>
  <si>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</si>
  <si>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</si>
  <si>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</si>
  <si>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</si>
  <si>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</si>
  <si>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</si>
  <si>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</si>
  <si>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</si>
  <si>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</si>
  <si>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</si>
  <si>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</si>
  <si>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</si>
  <si>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</si>
  <si>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</si>
  <si>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</si>
  <si>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</si>
  <si>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</si>
  <si>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</si>
  <si>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</si>
  <si>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</si>
  <si>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</si>
  <si>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</si>
  <si>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</si>
  <si>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</si>
  <si>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</si>
  <si>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</si>
  <si>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</si>
  <si>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</si>
  <si>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</si>
  <si>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</si>
  <si>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</si>
  <si>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</si>
  <si>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</si>
  <si>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</si>
  <si>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</si>
  <si>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</si>
  <si>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</si>
  <si>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</si>
  <si>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</si>
  <si>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</si>
  <si>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</si>
  <si>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</si>
  <si>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</si>
  <si>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</si>
  <si>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</si>
  <si>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</si>
  <si>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</si>
  <si>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</si>
  <si>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</si>
  <si>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</si>
  <si>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</si>
  <si>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</si>
  <si>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</si>
  <si>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</si>
  <si>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</si>
  <si>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</si>
  <si>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</si>
  <si>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</si>
  <si>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</si>
  <si>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</si>
  <si>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</si>
  <si>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</si>
  <si>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</si>
  <si>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</si>
  <si>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</si>
  <si>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</si>
  <si>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</si>
  <si>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</si>
  <si>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</si>
  <si>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</si>
  <si>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</si>
  <si>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</si>
  <si>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</si>
  <si>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</si>
  <si>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</si>
  <si>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</si>
  <si>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</si>
  <si>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</si>
  <si>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</si>
  <si>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</si>
  <si>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</si>
  <si>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</si>
  <si>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</si>
  <si>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</si>
  <si>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</si>
  <si>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</si>
  <si>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</si>
  <si>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</si>
  <si>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</si>
  <si>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</si>
  <si>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</si>
  <si>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</si>
  <si>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</si>
  <si>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</si>
  <si>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</si>
  <si>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</si>
  <si>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</si>
  <si>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</si>
  <si>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</si>
  <si>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</si>
  <si>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</si>
  <si>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</si>
  <si>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</si>
  <si>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</si>
  <si>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</si>
  <si>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</si>
  <si>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</si>
  <si>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</si>
  <si>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</si>
  <si>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</si>
  <si>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</si>
  <si>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</si>
  <si>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</si>
  <si>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</si>
  <si>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</si>
  <si>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</si>
  <si>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</si>
  <si>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</si>
  <si>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</si>
  <si>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</si>
  <si>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</si>
  <si>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</si>
  <si>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</si>
  <si>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</si>
  <si>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</si>
  <si>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</si>
  <si>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</si>
  <si>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</si>
  <si>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</si>
  <si>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</si>
  <si>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</si>
  <si>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</si>
  <si>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</si>
  <si>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</si>
  <si>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</si>
  <si>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</si>
  <si>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</si>
  <si>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</si>
  <si>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</si>
  <si>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</si>
  <si>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</si>
  <si>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</si>
  <si>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</si>
  <si>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</si>
  <si>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</si>
  <si>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</si>
  <si>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</si>
  <si>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</si>
  <si>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</si>
  <si>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</si>
  <si>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</si>
  <si>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</si>
  <si>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</si>
  <si>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</si>
  <si>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</si>
  <si>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</si>
  <si>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</si>
  <si>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</si>
  <si>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</si>
  <si>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</si>
  <si>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</si>
  <si>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</si>
  <si>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</si>
  <si>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</si>
  <si>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</si>
  <si>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</si>
  <si>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</si>
  <si>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</si>
  <si>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</si>
  <si>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</si>
  <si>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</si>
  <si>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</si>
  <si>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</si>
  <si>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</si>
  <si>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</si>
  <si>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</si>
  <si>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</si>
  <si>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</si>
  <si>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</si>
  <si>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</si>
  <si>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</si>
  <si>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</si>
  <si>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</si>
  <si>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</si>
  <si>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</si>
  <si>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</si>
  <si>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</si>
  <si>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</si>
  <si>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</si>
  <si>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</si>
  <si>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</si>
  <si>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</si>
  <si>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</si>
  <si>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</si>
  <si>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</si>
  <si>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</si>
  <si>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</si>
  <si>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</si>
  <si>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</si>
  <si>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</si>
  <si>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</si>
  <si>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</si>
  <si>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</si>
  <si>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</si>
  <si>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</si>
  <si>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</si>
  <si>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</si>
  <si>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</si>
  <si>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</si>
  <si>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</si>
  <si>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</si>
  <si>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</si>
  <si>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</si>
  <si>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</si>
  <si>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</si>
  <si>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</si>
  <si>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</si>
  <si>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</si>
  <si>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</si>
  <si>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</si>
  <si>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</si>
  <si>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</si>
  <si>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</si>
  <si>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</si>
  <si>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</si>
  <si>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</si>
  <si>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</si>
  <si>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</si>
  <si>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</si>
  <si>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</si>
  <si>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</si>
  <si>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</si>
  <si>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</si>
  <si>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</si>
  <si>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</si>
  <si>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</si>
  <si>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</si>
  <si>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</si>
  <si>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</si>
  <si>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</si>
  <si>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</si>
  <si>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</si>
  <si>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</si>
  <si>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</si>
  <si>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</si>
  <si>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</si>
  <si>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</si>
  <si>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</si>
  <si>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</si>
  <si>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</si>
  <si>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</si>
  <si>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</si>
  <si>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</si>
  <si>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</si>
  <si>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</si>
  <si>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</si>
  <si>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</si>
  <si>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</si>
  <si>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</si>
  <si>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</si>
  <si>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</si>
  <si>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</si>
  <si>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</si>
  <si>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</si>
  <si>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</si>
  <si>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</si>
  <si>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</si>
  <si>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</si>
  <si>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</si>
  <si>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</si>
  <si>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</si>
  <si>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</si>
  <si>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</si>
  <si>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</si>
  <si>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</si>
  <si>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</si>
  <si>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</si>
  <si>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</si>
  <si>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</si>
  <si>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</si>
  <si>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</si>
  <si>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</si>
  <si>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</si>
  <si>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</si>
  <si>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</si>
  <si>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</si>
  <si>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</si>
  <si>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</si>
  <si>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</si>
  <si>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</si>
  <si>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</si>
  <si>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</si>
  <si>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</si>
  <si>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</si>
  <si>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</si>
  <si>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</si>
  <si>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</si>
  <si>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</si>
  <si>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</si>
  <si>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</si>
  <si>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</si>
  <si>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</si>
  <si>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</si>
  <si>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</si>
  <si>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</si>
  <si>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</si>
  <si>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</si>
  <si>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</si>
  <si>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</si>
  <si>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</si>
  <si>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</si>
  <si>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</si>
  <si>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</si>
  <si>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</si>
  <si>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</si>
  <si>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</si>
  <si>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</si>
  <si>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</si>
  <si>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</si>
  <si>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</si>
  <si>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</si>
  <si>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</si>
  <si>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</si>
  <si>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</si>
  <si>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</si>
  <si>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</si>
  <si>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</si>
  <si>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</si>
  <si>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</si>
  <si>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</si>
  <si>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</si>
  <si>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</si>
  <si>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</si>
  <si>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</si>
  <si>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</si>
  <si>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</si>
  <si>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</si>
  <si>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</si>
  <si>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</si>
  <si>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</si>
  <si>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</si>
  <si>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</si>
  <si>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</si>
  <si>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</si>
  <si>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</si>
  <si>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</si>
  <si>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</si>
  <si>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</si>
  <si>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</si>
  <si>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</si>
  <si>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</si>
  <si>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</si>
  <si>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</si>
  <si>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</si>
  <si>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</si>
  <si>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</si>
  <si>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</si>
  <si>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</si>
  <si>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</si>
  <si>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</si>
  <si>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</si>
  <si>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</si>
  <si>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</si>
  <si>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</si>
  <si>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</si>
  <si>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</si>
  <si>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</si>
  <si>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</si>
  <si>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</si>
  <si>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</si>
  <si>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</si>
  <si>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</si>
  <si>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</si>
  <si>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</si>
  <si>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</si>
  <si>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</si>
  <si>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</si>
  <si>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</si>
  <si>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</si>
  <si>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</si>
  <si>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</si>
  <si>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</si>
  <si>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</si>
  <si>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</si>
  <si>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</si>
  <si>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</si>
  <si>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</si>
  <si>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</si>
  <si>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</si>
  <si>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</si>
  <si>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</si>
  <si>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</si>
  <si>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</si>
  <si>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</si>
  <si>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</si>
  <si>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</si>
  <si>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</si>
  <si>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</si>
  <si>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</si>
  <si>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</si>
  <si>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</si>
  <si>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</si>
  <si>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</si>
  <si>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</si>
  <si>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</si>
  <si>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</si>
  <si>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</si>
  <si>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</si>
  <si>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</si>
  <si>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</si>
  <si>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</si>
  <si>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</si>
  <si>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</si>
  <si>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</si>
  <si>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</si>
  <si>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</si>
  <si>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</si>
  <si>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</si>
  <si>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</si>
  <si>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</si>
  <si>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</si>
  <si>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</si>
  <si>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</si>
  <si>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</si>
  <si>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</si>
  <si>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</si>
  <si>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</si>
  <si>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</si>
  <si>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</si>
  <si>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</si>
  <si>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</si>
  <si>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</si>
  <si>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</si>
  <si>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</si>
  <si>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</si>
  <si>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</si>
  <si>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</si>
  <si>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</si>
  <si>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</si>
  <si>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</si>
  <si>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</si>
  <si>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</si>
  <si>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</si>
  <si>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</si>
  <si>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</si>
  <si>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</si>
  <si>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</si>
  <si>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</si>
  <si>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</si>
  <si>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</si>
  <si>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</si>
  <si>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</si>
  <si>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</si>
  <si>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</si>
  <si>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</si>
  <si>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</si>
  <si>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</si>
  <si>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</si>
  <si>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</si>
  <si>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</si>
  <si>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</si>
  <si>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</si>
  <si>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</si>
  <si>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</si>
  <si>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</si>
  <si>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</si>
  <si>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</si>
  <si>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</si>
  <si>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</si>
  <si>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</si>
  <si>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</si>
  <si>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</si>
  <si>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</si>
  <si>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</si>
  <si>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</si>
  <si>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</si>
  <si>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</si>
  <si>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</si>
  <si>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</si>
  <si>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</si>
  <si>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</si>
  <si>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</si>
  <si>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</si>
  <si>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</si>
  <si>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</si>
  <si>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</si>
  <si>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</si>
  <si>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</si>
  <si>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</si>
  <si>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</si>
  <si>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</si>
  <si>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</si>
  <si>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</si>
  <si>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</si>
  <si>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</si>
  <si>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</si>
  <si>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</si>
  <si>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</si>
  <si>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</si>
  <si>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</si>
  <si>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</si>
  <si>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</si>
  <si>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</si>
  <si>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</si>
  <si>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</si>
  <si>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</si>
  <si>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</si>
  <si>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</si>
  <si>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</si>
  <si>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</si>
  <si>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</si>
  <si>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</si>
  <si>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</si>
  <si>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</si>
  <si>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</si>
  <si>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</si>
  <si>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</si>
  <si>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</si>
  <si>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</si>
  <si>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</si>
  <si>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</si>
  <si>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</si>
  <si>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</si>
  <si>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</si>
  <si>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</si>
  <si>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</si>
  <si>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</si>
  <si>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</si>
  <si>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</si>
  <si>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</si>
  <si>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</si>
  <si>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</si>
  <si>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</si>
  <si>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</si>
  <si>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</si>
  <si>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</si>
  <si>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</si>
  <si>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</si>
  <si>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</si>
  <si>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</si>
  <si>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</si>
  <si>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</si>
  <si>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</si>
  <si>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</si>
  <si>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</si>
  <si>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</si>
  <si>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</si>
  <si>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</si>
  <si>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</si>
  <si>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</si>
  <si>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</si>
  <si>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</si>
  <si>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</si>
  <si>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</si>
  <si>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</si>
  <si>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</si>
  <si>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</si>
  <si>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</si>
  <si>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</si>
  <si>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</si>
  <si>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</si>
  <si>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</si>
  <si>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</si>
  <si>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</si>
  <si>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</si>
  <si>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</si>
  <si>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</si>
  <si>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</si>
  <si>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</si>
  <si>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</si>
  <si>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</si>
  <si>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</si>
  <si>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</si>
  <si>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</si>
  <si>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</si>
  <si>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</si>
  <si>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</si>
  <si>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</si>
  <si>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</si>
  <si>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</si>
  <si>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</si>
  <si>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</si>
  <si>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</si>
  <si>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</si>
  <si>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</si>
  <si>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</si>
  <si>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</si>
  <si>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</si>
  <si>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</si>
  <si>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</si>
  <si>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</si>
  <si>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</si>
  <si>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</si>
  <si>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</si>
  <si>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</si>
  <si>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</si>
  <si>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</si>
  <si>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</si>
  <si>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</si>
  <si>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</si>
  <si>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</si>
  <si>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</si>
  <si>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</si>
  <si>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</si>
  <si>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</si>
  <si>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</si>
  <si>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</si>
  <si>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</si>
  <si>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</si>
  <si>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</si>
  <si>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</si>
  <si>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</si>
  <si>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</si>
  <si>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</si>
  <si>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</si>
  <si>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</si>
  <si>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</si>
  <si>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</si>
  <si>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</si>
  <si>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</si>
  <si>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</si>
  <si>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</si>
  <si>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</si>
  <si>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</si>
  <si>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</si>
  <si>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</si>
  <si>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</si>
  <si>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</si>
  <si>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</si>
  <si>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</si>
  <si>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</si>
  <si>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</si>
  <si>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</si>
  <si>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</si>
  <si>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</si>
  <si>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</si>
  <si>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</si>
  <si>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</si>
  <si>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</si>
  <si>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</si>
  <si>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</si>
  <si>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</si>
  <si>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</si>
  <si>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</si>
  <si>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</si>
  <si>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</si>
  <si>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</si>
  <si>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</si>
  <si>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</si>
  <si>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</si>
  <si>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</si>
  <si>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</si>
  <si>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</si>
  <si>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</si>
  <si>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</si>
  <si>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</si>
  <si>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</si>
  <si>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</si>
  <si>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</si>
  <si>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</si>
  <si>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</si>
  <si>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</si>
  <si>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</si>
  <si>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</si>
  <si>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</si>
  <si>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</si>
  <si>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</si>
  <si>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</si>
  <si>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</si>
  <si>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</si>
  <si>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</si>
  <si>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</si>
  <si>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</si>
  <si>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</si>
  <si>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</si>
  <si>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</si>
  <si>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</si>
  <si>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</si>
  <si>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</si>
  <si>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</si>
  <si>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</si>
  <si>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</si>
  <si>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</si>
  <si>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</si>
  <si>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</si>
  <si>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</si>
  <si>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</si>
  <si>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</si>
  <si>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</si>
  <si>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</si>
  <si>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</si>
  <si>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</si>
  <si>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</si>
  <si>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</si>
  <si>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</si>
  <si>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</si>
  <si>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</si>
  <si>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</si>
  <si>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</si>
  <si>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</si>
  <si>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</si>
  <si>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</si>
  <si>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</si>
  <si>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</si>
  <si>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</si>
  <si>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</si>
  <si>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</si>
  <si>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</si>
  <si>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</si>
  <si>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</si>
  <si>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</si>
  <si>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</si>
  <si>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</si>
  <si>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</si>
  <si>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</si>
  <si>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</si>
  <si>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</si>
  <si>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</si>
  <si>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</si>
  <si>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</si>
  <si>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</si>
  <si>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</si>
  <si>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</si>
  <si>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</si>
  <si>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</si>
  <si>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</si>
  <si>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</si>
  <si>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</si>
  <si>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</si>
  <si>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</si>
  <si>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</si>
  <si>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</si>
  <si>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</si>
  <si>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</si>
  <si>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</si>
  <si>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</si>
  <si>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</si>
  <si>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</si>
  <si>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</si>
  <si>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</si>
  <si>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</si>
  <si>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</si>
  <si>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</si>
  <si>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</si>
  <si>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</si>
  <si>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</si>
  <si>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</si>
  <si>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</si>
  <si>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</si>
  <si>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</si>
  <si>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</si>
  <si>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</si>
  <si>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</si>
  <si>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</si>
  <si>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</si>
  <si>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</si>
  <si>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</si>
  <si>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</si>
  <si>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</si>
  <si>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</si>
  <si>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</si>
  <si>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</si>
  <si>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</si>
  <si>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</si>
  <si>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</si>
  <si>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</si>
  <si>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</si>
  <si>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</si>
  <si>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</si>
  <si>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</si>
  <si>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</si>
  <si>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</si>
  <si>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</si>
  <si>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</si>
  <si>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</si>
  <si>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</si>
  <si>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</si>
  <si>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</si>
  <si>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</si>
  <si>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</si>
  <si>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</si>
  <si>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</si>
  <si>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</si>
  <si>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</si>
  <si>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</si>
  <si>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</si>
  <si>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</si>
  <si>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</si>
  <si>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</si>
  <si>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</si>
  <si>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</si>
  <si>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</si>
  <si>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</si>
  <si>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</si>
  <si>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</si>
  <si>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</si>
  <si>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</si>
  <si>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</si>
  <si>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</si>
  <si>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</si>
  <si>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</si>
  <si>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</si>
  <si>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</si>
  <si>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</si>
  <si>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</si>
  <si>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</si>
  <si>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</si>
  <si>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</si>
  <si>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</si>
  <si>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</si>
  <si>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</si>
  <si>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</si>
  <si>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</si>
  <si>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</si>
  <si>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</si>
  <si>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</si>
  <si>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</si>
  <si>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</si>
  <si>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</si>
  <si>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</si>
  <si>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</si>
  <si>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</si>
  <si>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</si>
  <si>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</si>
  <si>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</si>
  <si>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</si>
  <si>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</si>
  <si>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</si>
  <si>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</si>
  <si>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</si>
  <si>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</si>
  <si>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</si>
  <si>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</si>
  <si>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</si>
  <si>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</si>
  <si>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</si>
  <si>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</si>
  <si>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</si>
  <si>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</si>
  <si>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</si>
  <si>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</si>
  <si>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</si>
  <si>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</si>
  <si>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</si>
  <si>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</si>
  <si>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</si>
  <si>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</si>
  <si>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</si>
  <si>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</si>
  <si>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</si>
  <si>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</si>
  <si>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</si>
  <si>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</si>
  <si>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</si>
  <si>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</si>
  <si>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</si>
  <si>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</si>
  <si>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</si>
  <si>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</si>
  <si>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</si>
  <si>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</si>
  <si>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</si>
  <si>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</si>
  <si>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</si>
  <si>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</si>
  <si>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</si>
  <si>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</si>
  <si>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</si>
  <si>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</si>
  <si>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</si>
  <si>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</si>
  <si>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</si>
  <si>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</si>
  <si>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</si>
  <si>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</si>
  <si>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</si>
  <si>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</si>
  <si>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</si>
  <si>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</si>
  <si>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</si>
  <si>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</si>
  <si>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</si>
  <si>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</si>
  <si>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</si>
  <si>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</si>
  <si>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</si>
  <si>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</si>
  <si>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</si>
  <si>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</si>
  <si>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</si>
  <si>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</si>
  <si>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</si>
  <si>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</si>
  <si>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</si>
  <si>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</si>
  <si>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</si>
  <si>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</si>
  <si>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</si>
  <si>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</si>
  <si>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</si>
  <si>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</si>
  <si>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</si>
  <si>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</si>
  <si>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</si>
  <si>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</si>
  <si>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</si>
  <si>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</si>
  <si>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</si>
  <si>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</si>
  <si>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</si>
  <si>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</si>
  <si>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</si>
  <si>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</si>
  <si>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</si>
  <si>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</si>
  <si>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</si>
  <si>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</si>
  <si>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</si>
  <si>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</si>
  <si>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</si>
  <si>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</si>
  <si>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</si>
  <si>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</si>
  <si>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</si>
  <si>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</si>
  <si>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</si>
  <si>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</si>
  <si>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</si>
  <si>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</si>
  <si>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</si>
  <si>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</si>
  <si>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</si>
  <si>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</si>
  <si>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</si>
  <si>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</si>
  <si>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</si>
  <si>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</si>
  <si>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</si>
  <si>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</si>
  <si>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</si>
  <si>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</si>
  <si>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</si>
  <si>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</si>
  <si>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</si>
  <si>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</si>
  <si>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</si>
  <si>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</si>
  <si>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</si>
  <si>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</si>
  <si>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</si>
  <si>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</si>
  <si>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</si>
  <si>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</si>
  <si>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</si>
  <si>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</si>
  <si>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</si>
  <si>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</si>
  <si>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</si>
  <si>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</si>
  <si>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</si>
  <si>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</si>
  <si>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</si>
  <si>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</si>
  <si>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</si>
  <si>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</si>
  <si>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</si>
  <si>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</si>
  <si>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</si>
  <si>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</si>
  <si>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</si>
  <si>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</si>
  <si>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</si>
  <si>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</si>
  <si>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</si>
  <si>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</si>
  <si>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</si>
  <si>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</si>
  <si>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</si>
  <si>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</si>
  <si>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</si>
  <si>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</si>
  <si>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</si>
  <si>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</si>
  <si>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</si>
  <si>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</si>
  <si>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</si>
  <si>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</si>
  <si>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</si>
  <si>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</si>
  <si>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</si>
  <si>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</si>
  <si>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</si>
  <si>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</si>
  <si>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</si>
  <si>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</si>
  <si>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</si>
  <si>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</si>
  <si>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</si>
  <si>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</si>
  <si>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</si>
  <si>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</si>
  <si>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</si>
  <si>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</si>
  <si>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</si>
  <si>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</si>
  <si>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</si>
  <si>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</si>
  <si>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</si>
  <si>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</si>
  <si>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</si>
  <si>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</si>
  <si>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</si>
  <si>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</si>
  <si>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</si>
  <si>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</si>
  <si>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</si>
  <si>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</si>
  <si>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</si>
  <si>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</si>
  <si>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</si>
  <si>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</si>
  <si>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</si>
  <si>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</si>
  <si>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</si>
  <si>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</si>
  <si>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</si>
  <si>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</si>
  <si>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</si>
  <si>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</si>
  <si>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</si>
  <si>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</si>
  <si>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</si>
  <si>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</si>
  <si>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</si>
  <si>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</si>
  <si>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</si>
  <si>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</si>
  <si>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</si>
  <si>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</si>
  <si>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</si>
  <si>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</si>
  <si>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</si>
  <si>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</si>
  <si>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</si>
  <si>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</si>
  <si>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</si>
  <si>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</si>
  <si>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</si>
  <si>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</si>
  <si>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</si>
  <si>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</si>
  <si>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</si>
  <si>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</si>
  <si>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</si>
  <si>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</si>
  <si>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</si>
  <si>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</si>
  <si>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</si>
  <si>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</si>
  <si>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</si>
  <si>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</si>
  <si>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</si>
  <si>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</si>
  <si>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</si>
  <si>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</si>
  <si>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</si>
  <si>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</si>
  <si>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</si>
  <si>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</si>
  <si>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</si>
  <si>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</si>
  <si>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</si>
  <si>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</si>
  <si>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</si>
  <si>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</si>
  <si>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</si>
  <si>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</si>
  <si>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</si>
  <si>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</si>
  <si>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</si>
  <si>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</si>
  <si>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</si>
  <si>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</si>
  <si>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</si>
  <si>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</si>
  <si>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</si>
  <si>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</si>
  <si>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</si>
  <si>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</si>
  <si>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</si>
  <si>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</si>
  <si>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</si>
  <si>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</si>
  <si>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</si>
  <si>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</si>
  <si>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</si>
  <si>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</si>
  <si>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</si>
  <si>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</si>
  <si>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</si>
  <si>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</si>
  <si>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</si>
  <si>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</si>
  <si>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</si>
  <si>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</si>
  <si>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</si>
  <si>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</si>
  <si>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</si>
  <si>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</si>
  <si>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</si>
  <si>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</si>
  <si>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</si>
  <si>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</si>
  <si>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</si>
  <si>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</si>
  <si>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</si>
  <si>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</si>
  <si>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</si>
  <si>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</si>
  <si>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</si>
  <si>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</si>
  <si>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</si>
  <si>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</si>
  <si>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</si>
  <si>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</si>
  <si>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</si>
  <si>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</si>
  <si>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</si>
  <si>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</si>
  <si>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</si>
  <si>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</si>
  <si>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</si>
  <si>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</si>
  <si>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</si>
  <si>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</si>
  <si>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</si>
  <si>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</si>
  <si>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</si>
  <si>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</si>
  <si>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</si>
  <si>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</si>
  <si>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</si>
  <si>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</si>
  <si>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</si>
  <si>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</si>
  <si>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</si>
  <si>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</si>
  <si>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</si>
  <si>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</si>
  <si>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</si>
  <si>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</si>
  <si>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</si>
  <si>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</si>
  <si>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</si>
  <si>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</si>
  <si>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</si>
  <si>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</si>
  <si>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</si>
  <si>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</si>
  <si>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</si>
  <si>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</si>
  <si>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</si>
  <si>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</si>
  <si>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</si>
  <si>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</si>
  <si>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</si>
  <si>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</si>
  <si>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</si>
  <si>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</si>
  <si>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</si>
  <si>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</si>
  <si>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</si>
  <si>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</si>
  <si>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</si>
  <si>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</si>
  <si>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</si>
  <si>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</si>
  <si>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</si>
  <si>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</si>
  <si>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</si>
  <si>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</si>
  <si>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</si>
  <si>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</si>
  <si>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</si>
  <si>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</si>
  <si>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</si>
  <si>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</si>
  <si>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</si>
  <si>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</si>
  <si>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</si>
  <si>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</si>
  <si>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</si>
  <si>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</si>
  <si>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</si>
  <si>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</si>
  <si>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</si>
  <si>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</si>
  <si>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</si>
  <si>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</si>
  <si>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</si>
  <si>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</si>
  <si>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</si>
  <si>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</si>
  <si>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</si>
  <si>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</si>
  <si>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</si>
  <si>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</si>
  <si>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</si>
  <si>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</si>
  <si>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</si>
  <si>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</si>
  <si>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</si>
  <si>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</si>
  <si>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</si>
  <si>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</si>
  <si>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</si>
  <si>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</si>
  <si>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</si>
  <si>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</si>
  <si>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</si>
  <si>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</si>
  <si>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</si>
  <si>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</si>
  <si>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</si>
  <si>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</si>
  <si>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</si>
  <si>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</si>
  <si>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</si>
  <si>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</si>
  <si>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</si>
  <si>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</si>
  <si>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</si>
  <si>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</si>
  <si>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</si>
  <si>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</si>
  <si>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</si>
  <si>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</si>
  <si>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</si>
  <si>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</si>
  <si>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</si>
  <si>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</si>
  <si>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</si>
  <si>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</si>
  <si>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</si>
  <si>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</si>
  <si>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</si>
  <si>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</si>
  <si>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</si>
  <si>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</si>
  <si>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</si>
  <si>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</si>
  <si>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</si>
  <si>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</si>
  <si>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</si>
  <si>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</si>
  <si>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</si>
  <si>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</si>
  <si>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</si>
  <si>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</si>
  <si>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</si>
  <si>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</si>
  <si>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</si>
  <si>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</si>
  <si>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</si>
  <si>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</si>
  <si>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</si>
  <si>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</si>
  <si>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</si>
  <si>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</si>
  <si>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</si>
  <si>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</si>
  <si>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</si>
  <si>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</si>
  <si>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</si>
  <si>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</si>
  <si>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</si>
  <si>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</si>
  <si>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</si>
  <si>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</si>
  <si>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</si>
  <si>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</si>
  <si>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</si>
  <si>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</si>
  <si>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</si>
  <si>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</si>
  <si>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</si>
  <si>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</si>
  <si>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</si>
  <si>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</si>
  <si>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</si>
  <si>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</si>
  <si>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</si>
  <si>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</si>
  <si>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</si>
  <si>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</si>
  <si>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</si>
  <si>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</si>
  <si>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</si>
  <si>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</si>
  <si>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</si>
  <si>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</si>
  <si>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</si>
  <si>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</si>
  <si>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</si>
  <si>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</si>
  <si>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</si>
  <si>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</si>
  <si>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</si>
  <si>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</si>
  <si>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</si>
  <si>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</si>
  <si>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</si>
  <si>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</si>
  <si>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</si>
  <si>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</si>
  <si>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</si>
  <si>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</si>
  <si>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</si>
  <si>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</si>
  <si>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</si>
  <si>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</si>
  <si>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</si>
  <si>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</si>
  <si>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</si>
  <si>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</si>
  <si>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</si>
  <si>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</si>
  <si>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</si>
  <si>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</si>
  <si>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</si>
  <si>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</si>
  <si>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</si>
  <si>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</si>
  <si>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</si>
  <si>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</si>
  <si>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</si>
  <si>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</si>
  <si>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</si>
  <si>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</si>
  <si>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</si>
  <si>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</si>
  <si>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</si>
  <si>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</si>
  <si>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</si>
  <si>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</si>
  <si>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</si>
  <si>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</si>
  <si>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</si>
  <si>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</si>
  <si>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</si>
  <si>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</si>
  <si>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</si>
  <si>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</si>
  <si>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</si>
  <si>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</si>
  <si>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</si>
  <si>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</si>
  <si>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</si>
  <si>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</si>
  <si>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</si>
  <si>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</si>
  <si>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</si>
  <si>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</si>
  <si>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</si>
  <si>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</si>
  <si>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</si>
  <si>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</si>
  <si>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</si>
  <si>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</si>
  <si>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</si>
  <si>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</si>
  <si>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</si>
  <si>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</si>
  <si>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</si>
  <si>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</si>
  <si>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</si>
  <si>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</si>
  <si>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</si>
  <si>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</si>
  <si>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</si>
  <si>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</si>
  <si>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</si>
  <si>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</si>
  <si>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</si>
  <si>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</si>
  <si>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</si>
  <si>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</si>
  <si>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</si>
  <si>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</si>
  <si>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</si>
  <si>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</si>
  <si>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</si>
  <si>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</si>
  <si>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</si>
  <si>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</si>
  <si>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</si>
  <si>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</si>
  <si>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</si>
  <si>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</si>
  <si>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</si>
  <si>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</si>
  <si>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</si>
  <si>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</si>
  <si>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</si>
  <si>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</si>
  <si>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</si>
  <si>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</si>
  <si>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</si>
  <si>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</si>
  <si>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</si>
  <si>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</si>
  <si>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</si>
  <si>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</si>
  <si>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</si>
  <si>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</si>
  <si>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</si>
  <si>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</si>
  <si>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</si>
  <si>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</si>
  <si>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</si>
  <si>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</si>
  <si>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</si>
  <si>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</si>
  <si>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</si>
  <si>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</si>
  <si>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</si>
  <si>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</si>
  <si>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</si>
  <si>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</si>
  <si>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</si>
  <si>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</si>
  <si>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</si>
  <si>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</si>
  <si>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</si>
  <si>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</si>
  <si>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</si>
  <si>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</si>
  <si>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</si>
  <si>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</si>
  <si>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</si>
  <si>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</si>
  <si>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</si>
  <si>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</si>
  <si>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</si>
  <si>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</si>
  <si>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</si>
  <si>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</si>
  <si>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</si>
  <si>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</si>
  <si>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</si>
  <si>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</si>
  <si>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</si>
  <si>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</si>
  <si>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</si>
  <si>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</si>
  <si>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</si>
  <si>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</si>
  <si>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</si>
  <si>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</si>
  <si>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</si>
  <si>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</si>
  <si>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</si>
  <si>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</si>
  <si>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</si>
  <si>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</si>
  <si>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</si>
  <si>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</si>
  <si>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</si>
  <si>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</si>
  <si>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</si>
  <si>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</si>
  <si>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</si>
  <si>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</si>
  <si>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</si>
  <si>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</si>
  <si>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</si>
  <si>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</si>
  <si>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</si>
  <si>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</si>
  <si>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</si>
  <si>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</si>
  <si>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</si>
  <si>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</si>
  <si>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</si>
  <si>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</si>
  <si>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</si>
  <si>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</si>
  <si>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</si>
  <si>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</si>
  <si>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</si>
  <si>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</si>
  <si>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</si>
  <si>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</si>
  <si>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</si>
  <si>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</si>
  <si>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</si>
  <si>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</si>
  <si>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</si>
  <si>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</si>
  <si>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</si>
  <si>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</si>
  <si>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</si>
  <si>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</si>
  <si>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</si>
  <si>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</si>
  <si>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</si>
  <si>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</si>
  <si>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</si>
  <si>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</si>
  <si>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</si>
  <si>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</si>
  <si>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</si>
  <si>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</si>
  <si>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</si>
  <si>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</si>
  <si>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</si>
  <si>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</si>
  <si>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</si>
  <si>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</si>
  <si>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</si>
  <si>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</si>
  <si>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</si>
  <si>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</si>
  <si>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</si>
  <si>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</si>
  <si>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</si>
  <si>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</si>
  <si>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</si>
  <si>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</si>
  <si>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</si>
  <si>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</si>
  <si>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</si>
  <si>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</si>
  <si>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</si>
  <si>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</si>
  <si>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</si>
  <si>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</si>
  <si>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</si>
  <si>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</si>
  <si>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</si>
  <si>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</si>
  <si>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</si>
  <si>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</si>
  <si>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</si>
  <si>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</si>
  <si>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</si>
  <si>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</si>
  <si>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</si>
  <si>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</si>
  <si>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</si>
  <si>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</si>
  <si>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</si>
  <si>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</si>
  <si>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</si>
  <si>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</si>
  <si>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</si>
  <si>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</si>
  <si>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</si>
  <si>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</si>
  <si>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</si>
  <si>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</si>
  <si>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</si>
  <si>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</si>
  <si>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</si>
  <si>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</si>
  <si>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</si>
  <si>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</si>
  <si>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</si>
  <si>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</si>
  <si>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</si>
  <si>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</si>
  <si>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</si>
  <si>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</si>
  <si>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</si>
  <si>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</si>
  <si>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</si>
  <si>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</si>
  <si>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</si>
  <si>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</si>
  <si>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</si>
  <si>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</si>
  <si>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</si>
  <si>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</si>
  <si>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</si>
  <si>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</si>
  <si>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</si>
  <si>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</si>
  <si>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</si>
  <si>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</si>
  <si>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</si>
  <si>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</si>
  <si>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</si>
  <si>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</si>
  <si>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</si>
  <si>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</si>
  <si>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</si>
  <si>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</si>
  <si>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</si>
  <si>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</si>
  <si>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</si>
  <si>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</si>
  <si>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</si>
  <si>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</si>
  <si>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</si>
  <si>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</si>
  <si>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</si>
  <si>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</si>
  <si>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</si>
  <si>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</si>
  <si>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</si>
  <si>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</si>
  <si>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</si>
  <si>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</si>
  <si>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</si>
  <si>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</si>
  <si>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</si>
  <si>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</si>
  <si>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</si>
  <si>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</si>
  <si>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</si>
  <si>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</si>
  <si>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</si>
  <si>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</si>
  <si>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</si>
  <si>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</si>
  <si>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</si>
  <si>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</si>
  <si>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</si>
  <si>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</si>
  <si>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</si>
  <si>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</si>
  <si>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</si>
  <si>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</si>
  <si>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</si>
  <si>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</si>
  <si>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</si>
  <si>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</si>
  <si>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</si>
  <si>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</si>
  <si>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</si>
  <si>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</si>
  <si>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</si>
  <si>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</si>
  <si>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</si>
  <si>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</si>
  <si>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</si>
  <si>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</si>
  <si>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</si>
  <si>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</si>
  <si>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</si>
  <si>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</si>
  <si>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</si>
  <si>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</si>
  <si>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</si>
  <si>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</si>
  <si>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</si>
  <si>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</si>
  <si>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</si>
  <si>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</si>
  <si>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</si>
  <si>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</si>
  <si>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</si>
  <si>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</si>
  <si>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</si>
  <si>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</si>
  <si>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</si>
  <si>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</si>
  <si>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</si>
  <si>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</si>
  <si>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</si>
  <si>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</si>
  <si>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</si>
  <si>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</si>
  <si>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</si>
  <si>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</si>
  <si>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</si>
  <si>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</si>
  <si>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</si>
  <si>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</si>
  <si>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</si>
  <si>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</si>
  <si>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</si>
  <si>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</si>
  <si>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</si>
  <si>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</si>
  <si>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</si>
  <si>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</si>
  <si>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</si>
  <si>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</si>
  <si>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</si>
  <si>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</si>
  <si>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</si>
  <si>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</si>
  <si>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</si>
  <si>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</si>
  <si>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</si>
  <si>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</si>
  <si>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</si>
  <si>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</si>
  <si>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</si>
  <si>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</si>
  <si>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</si>
  <si>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</si>
  <si>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</si>
  <si>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</si>
  <si>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</si>
  <si>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</si>
  <si>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</si>
  <si>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</si>
  <si>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</si>
  <si>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</si>
  <si>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</si>
  <si>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</si>
  <si>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</si>
  <si>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</si>
  <si>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</si>
  <si>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</si>
  <si>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</si>
  <si>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</si>
  <si>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</si>
  <si>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</si>
  <si>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</si>
  <si>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</si>
  <si>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</si>
  <si>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</si>
  <si>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</si>
  <si>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</si>
  <si>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</si>
  <si>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</si>
  <si>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</si>
  <si>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</si>
  <si>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</si>
  <si>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</si>
  <si>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</si>
  <si>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</si>
  <si>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</si>
  <si>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</si>
  <si>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</si>
  <si>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</si>
  <si>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</si>
  <si>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</si>
  <si>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</si>
  <si>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</si>
  <si>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</si>
  <si>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</si>
  <si>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</si>
  <si>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</si>
  <si>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</si>
  <si>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</si>
  <si>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</si>
  <si>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</si>
  <si>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</si>
  <si>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</si>
  <si>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</si>
  <si>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</si>
  <si>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</si>
  <si>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</si>
  <si>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</si>
  <si>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</si>
  <si>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</si>
  <si>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</si>
  <si>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</si>
  <si>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</si>
  <si>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</si>
  <si>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</si>
  <si>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</si>
  <si>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</si>
  <si>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</si>
  <si>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</si>
  <si>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</si>
  <si>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</si>
  <si>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</si>
  <si>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</si>
  <si>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</si>
  <si>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</si>
  <si>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</si>
  <si>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</si>
  <si>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</si>
  <si>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</si>
  <si>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</si>
  <si>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</si>
  <si>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</si>
  <si>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</si>
  <si>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</si>
  <si>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</si>
  <si>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</si>
  <si>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</si>
  <si>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</si>
  <si>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</si>
  <si>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</si>
  <si>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</si>
  <si>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</si>
  <si>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</si>
  <si>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</si>
  <si>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</si>
  <si>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</si>
  <si>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</si>
  <si>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</si>
  <si>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</si>
  <si>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</si>
  <si>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</si>
  <si>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</si>
  <si>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</si>
  <si>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</si>
  <si>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</si>
  <si>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</si>
  <si>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</si>
  <si>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</si>
  <si>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</si>
  <si>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</si>
  <si>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</si>
  <si>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</si>
  <si>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</si>
  <si>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</si>
  <si>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</si>
  <si>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</si>
  <si>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</si>
  <si>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</si>
  <si>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</si>
  <si>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</si>
  <si>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</si>
  <si>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</si>
  <si>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</si>
  <si>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</si>
  <si>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</si>
  <si>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</si>
  <si>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</si>
  <si>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</si>
  <si>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</si>
  <si>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</si>
  <si>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</si>
  <si>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</si>
  <si>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</si>
  <si>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</si>
  <si>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</si>
  <si>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</si>
  <si>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</si>
  <si>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</si>
  <si>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</si>
  <si>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</si>
  <si>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</si>
  <si>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</si>
  <si>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</si>
  <si>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</si>
  <si>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</si>
  <si>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</si>
  <si>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</si>
  <si>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</si>
  <si>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</si>
  <si>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</si>
  <si>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</si>
  <si>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</si>
  <si>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</si>
  <si>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</si>
  <si>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</si>
  <si>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</si>
  <si>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</si>
  <si>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</si>
  <si>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</si>
  <si>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</si>
  <si>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</si>
  <si>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</si>
  <si>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</si>
  <si>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</si>
  <si>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</si>
  <si>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</si>
  <si>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</si>
  <si>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</si>
  <si>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</si>
  <si>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</si>
  <si>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</si>
  <si>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</si>
  <si>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</si>
  <si>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</si>
  <si>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</si>
  <si>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</si>
  <si>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</si>
  <si>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</si>
  <si>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</si>
  <si>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</si>
  <si>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</si>
  <si>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</si>
  <si>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</si>
  <si>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</si>
  <si>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</si>
  <si>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</si>
  <si>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</si>
  <si>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</si>
  <si>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</si>
  <si>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</si>
  <si>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</si>
  <si>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</si>
  <si>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</si>
  <si>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</si>
  <si>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</si>
  <si>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</si>
  <si>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</si>
  <si>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</si>
  <si>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</si>
  <si>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</si>
  <si>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</si>
  <si>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</si>
  <si>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</si>
  <si>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</si>
  <si>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</si>
  <si>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</si>
  <si>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</si>
  <si>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</si>
  <si>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</si>
  <si>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</si>
  <si>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</si>
  <si>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</si>
  <si>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</si>
  <si>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</si>
  <si>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</si>
  <si>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</si>
  <si>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</si>
  <si>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</si>
  <si>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</si>
  <si>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</si>
  <si>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</si>
  <si>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</si>
  <si>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</si>
  <si>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</si>
  <si>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</si>
  <si>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</si>
  <si>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</si>
  <si>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</si>
  <si>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</si>
  <si>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</si>
  <si>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</si>
  <si>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</si>
  <si>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</si>
  <si>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</si>
  <si>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</si>
  <si>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</si>
  <si>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</si>
  <si>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</si>
  <si>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</si>
  <si>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</si>
  <si>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</si>
  <si>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</si>
  <si>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</si>
  <si>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</si>
  <si>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</si>
  <si>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</si>
  <si>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</si>
  <si>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</si>
  <si>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</si>
  <si>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</si>
  <si>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</si>
  <si>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</si>
  <si>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</si>
  <si>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</si>
  <si>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</si>
  <si>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</si>
  <si>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</si>
  <si>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</si>
  <si>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</si>
  <si>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</si>
  <si>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</si>
  <si>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</si>
  <si>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</si>
  <si>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</si>
  <si>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</si>
  <si>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</si>
  <si>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</si>
  <si>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</si>
  <si>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</si>
  <si>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</si>
  <si>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</si>
  <si>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</si>
  <si>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</si>
  <si>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</si>
  <si>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</si>
  <si>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</si>
  <si>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</si>
  <si>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</si>
  <si>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</si>
  <si>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</si>
  <si>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</si>
  <si>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</si>
  <si>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</si>
  <si>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</si>
  <si>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</si>
  <si>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</si>
  <si>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</si>
  <si>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</si>
  <si>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</si>
  <si>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</si>
  <si>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</si>
  <si>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</si>
  <si>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</si>
  <si>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</si>
  <si>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</si>
  <si>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</si>
  <si>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</si>
  <si>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</si>
  <si>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</si>
  <si>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</si>
  <si>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</si>
  <si>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</si>
  <si>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</si>
  <si>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</si>
  <si>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</si>
  <si>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</si>
  <si>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</si>
  <si>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</si>
  <si>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</si>
  <si>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</si>
  <si>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</si>
  <si>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</si>
  <si>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</si>
  <si>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</si>
  <si>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</si>
  <si>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</si>
  <si>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</si>
  <si>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</si>
  <si>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</si>
  <si>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</si>
  <si>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</si>
  <si>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</si>
  <si>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</si>
  <si>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</si>
  <si>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</si>
  <si>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</si>
  <si>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</si>
  <si>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</si>
  <si>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</si>
  <si>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</si>
  <si>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</si>
  <si>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</si>
  <si>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</si>
  <si>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</si>
  <si>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</si>
  <si>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</si>
  <si>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</si>
  <si>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</si>
  <si>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</si>
  <si>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</si>
  <si>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</si>
  <si>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</si>
  <si>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</si>
  <si>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</si>
  <si>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</si>
  <si>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</si>
  <si>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</si>
  <si>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</si>
  <si>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</si>
  <si>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</si>
  <si>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</si>
  <si>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</si>
  <si>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</si>
  <si>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</si>
  <si>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</si>
  <si>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</si>
  <si>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</si>
  <si>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</si>
  <si>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</si>
  <si>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</si>
  <si>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</si>
  <si>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</si>
  <si>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</si>
  <si>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</si>
  <si>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</si>
  <si>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</si>
  <si>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</si>
  <si>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</si>
  <si>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</si>
  <si>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</si>
  <si>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</si>
  <si>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</si>
  <si>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</si>
  <si>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</si>
  <si>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</si>
  <si>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</si>
  <si>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</si>
  <si>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</si>
  <si>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</si>
  <si>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</si>
  <si>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</si>
  <si>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</si>
  <si>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</si>
  <si>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</si>
  <si>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</si>
  <si>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</si>
  <si>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</si>
  <si>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</si>
  <si>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</si>
  <si>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</si>
  <si>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</si>
  <si>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</si>
  <si>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</si>
  <si>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</si>
  <si>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</si>
  <si>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</si>
  <si>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</si>
  <si>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</si>
  <si>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</si>
  <si>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</si>
  <si>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</si>
  <si>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</si>
  <si>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</si>
  <si>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</si>
  <si>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</si>
  <si>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</si>
  <si>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</si>
  <si>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</si>
  <si>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</si>
  <si>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</si>
  <si>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</si>
  <si>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</si>
  <si>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</si>
  <si>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</si>
  <si>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</si>
  <si>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</si>
  <si>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</si>
  <si>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</si>
  <si>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</si>
  <si>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</si>
  <si>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</si>
  <si>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</si>
  <si>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</si>
  <si>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</si>
  <si>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</si>
  <si>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</si>
  <si>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</si>
  <si>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</si>
  <si>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</si>
  <si>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</si>
  <si>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</si>
  <si>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</si>
  <si>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</si>
  <si>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</si>
  <si>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</si>
  <si>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</si>
  <si>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</si>
  <si>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</si>
  <si>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</si>
  <si>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</si>
  <si>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</si>
  <si>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</si>
  <si>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</si>
  <si>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</si>
  <si>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</si>
  <si>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</si>
  <si>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</si>
  <si>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</si>
  <si>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</si>
  <si>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</si>
  <si>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</si>
  <si>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</si>
  <si>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</si>
  <si>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</si>
  <si>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</si>
  <si>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</si>
  <si>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</si>
  <si>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</si>
  <si>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</si>
  <si>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</si>
  <si>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</si>
  <si>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</si>
  <si>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</si>
  <si>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</si>
  <si>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</si>
  <si>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</si>
  <si>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</si>
  <si>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</si>
  <si>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</si>
  <si>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</si>
  <si>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</si>
  <si>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</si>
  <si>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</si>
  <si>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</si>
  <si>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</si>
  <si>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</si>
  <si>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</si>
  <si>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</si>
  <si>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</si>
  <si>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</si>
  <si>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</si>
  <si>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</si>
  <si>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</si>
  <si>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</si>
  <si>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</si>
  <si>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</si>
  <si>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</si>
  <si>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</si>
  <si>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</si>
  <si>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</si>
  <si>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</si>
  <si>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</si>
  <si>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</si>
  <si>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</si>
  <si>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</si>
  <si>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</si>
  <si>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</si>
  <si>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</si>
  <si>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</si>
  <si>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</si>
  <si>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</si>
  <si>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</si>
  <si>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</si>
  <si>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</si>
  <si>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</si>
  <si>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</si>
  <si>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</si>
  <si>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</si>
  <si>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</si>
  <si>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</si>
  <si>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</si>
  <si>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</si>
  <si>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</si>
  <si>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</si>
  <si>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</si>
  <si>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</si>
  <si>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</si>
  <si>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</si>
  <si>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</si>
  <si>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</si>
  <si>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</si>
  <si>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</si>
  <si>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</si>
  <si>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</si>
  <si>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</si>
  <si>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</si>
  <si>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</si>
  <si>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</si>
  <si>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</si>
  <si>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</si>
  <si>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</si>
  <si>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</si>
  <si>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</si>
  <si>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</si>
  <si>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</si>
  <si>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</si>
  <si>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</si>
  <si>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</si>
  <si>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</si>
  <si>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</si>
  <si>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</si>
  <si>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</si>
  <si>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</si>
  <si>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</si>
  <si>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</si>
  <si>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</si>
  <si>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</si>
  <si>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</si>
  <si>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</si>
  <si>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</si>
  <si>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</si>
  <si>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</si>
  <si>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</si>
  <si>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</si>
  <si>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</si>
  <si>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</si>
  <si>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</si>
  <si>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</si>
  <si>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</si>
  <si>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</si>
  <si>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</si>
  <si>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</si>
  <si>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</si>
  <si>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</si>
  <si>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</si>
  <si>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</si>
  <si>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</si>
  <si>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</si>
  <si>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</si>
  <si>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</si>
  <si>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</si>
  <si>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</si>
  <si>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</si>
  <si>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</si>
  <si>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</si>
  <si>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</si>
  <si>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</si>
  <si>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</si>
  <si>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</si>
  <si>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</si>
  <si>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</si>
  <si>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</si>
  <si>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</si>
  <si>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</si>
  <si>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</si>
  <si>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</si>
  <si>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</si>
  <si>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</si>
  <si>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</si>
  <si>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</si>
  <si>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</si>
  <si>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</si>
  <si>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</si>
  <si>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</si>
  <si>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</si>
  <si>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</si>
  <si>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</si>
  <si>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</si>
  <si>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</si>
  <si>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</si>
  <si>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</si>
  <si>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</si>
  <si>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</si>
  <si>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</si>
  <si>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</si>
  <si>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</si>
  <si>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</si>
  <si>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</si>
  <si>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</si>
  <si>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</si>
  <si>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</si>
  <si>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</si>
  <si>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</si>
  <si>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</si>
  <si>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</si>
  <si>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</si>
  <si>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</si>
  <si>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</si>
  <si>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</si>
  <si>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</si>
  <si>
    <t>Vào danh sách - Workspace list</t>
  </si>
  <si>
    <t>Bấm Workspaces ở menu trái</t>
  </si>
  <si>
    <t>Workspaces_001</t>
  </si>
  <si>
    <t>Kiểm tra vào màn Workspaces từ menu trái</t>
  </si>
  <si>
    <t>1. Bấm mục Workspaces ở menu trái</t>
  </si>
  <si>
    <t xml:space="preserve">- Chuyển sang màn Workspaces
- Breadcrumb: Workspaces
- Mục Workspaces ở menu trái được tô nền</t>
  </si>
  <si>
    <t>UC-WSP-002</t>
  </si>
  <si>
    <t>Workspaces_002</t>
  </si>
  <si>
    <t>Kiểm tra mở màn Workspaces bằng URL</t>
  </si>
  <si>
    <t>1. Mở thẳng url của màn Workspaces</t>
  </si>
  <si>
    <t xml:space="preserve">- Hiển thị màn Workspaces
- Mục Workspaces ở menu trái được tô nền</t>
  </si>
  <si>
    <t>Vào chi tiết - Workspace detail</t>
  </si>
  <si>
    <t>Bấm tên workspace</t>
  </si>
  <si>
    <t>Workspaces_003</t>
  </si>
  <si>
    <t>Kiểm tra mở chi tiết workspace từ danh sách</t>
  </si>
  <si>
    <t>Đăng nhập account Customer Admin; có [Workspace] của framework có tier</t>
  </si>
  <si>
    <t xml:space="preserve">1. Mở màn Workspaces
2. Bấm tên [Workspace] ở cột Workspace</t>
  </si>
  <si>
    <t xml:space="preserve">- Chuyển sang màn chi tiết của [Workspace]
- Tiêu đề: &lt;framework&gt; · &lt;version&gt; · &lt;tier&gt;, ví dụ Appendix 10 · 2022 · Medium
- Dòng phụ: &lt;tên scope&gt; · &lt;loại scope&gt; scope, ví dụ Customer data platform · System scope
- Url dạng /workspaces/&lt;mã workspace&gt;</t>
  </si>
  <si>
    <t>Màn chi tiết workspace (cây requirement, Evidence library) kiểm ở sheet Assisted workspace, còn sheet này chỉ kiểm bấm tên mở được màn, đúng không? (Figma Workspace / Requirement; bố cục v4) → Q-W-08</t>
  </si>
  <si>
    <t>Bấm nút quay lại</t>
  </si>
  <si>
    <t>Workspaces_004</t>
  </si>
  <si>
    <t>Kiểm tra nút quay lại ở chi tiết workspace</t>
  </si>
  <si>
    <t>Đăng nhập account Customer Admin; có [Workspace]</t>
  </si>
  <si>
    <t xml:space="preserve">1. Mở màn Workspaces
2. Bấm tên [Workspace] ở cột Workspace
3. Bấm nút mũi tên quay lại cạnh tiêu đề</t>
  </si>
  <si>
    <t>Nút quay lại ở chi tiết workspace đưa về màn Workspaces hay về màn trước đó? (Figma Workspace / Requirement có nút ←; hệ thống chưa thấy đổi màn khi bấm) → Q-W-19</t>
  </si>
  <si>
    <t>Danh sách workspace - Workspace list</t>
  </si>
  <si>
    <t>Breadcrumb và tiêu đề</t>
  </si>
  <si>
    <t>Workspaces_005</t>
  </si>
  <si>
    <t>Kiểm tra breadcrumb và tiêu đề trang Workspaces</t>
  </si>
  <si>
    <t xml:space="preserve">1. Mở màn Workspaces
2. Kiểm tra phần đầu trang</t>
  </si>
  <si>
    <t xml:space="preserve">- Breadcrumb: Workspaces
- Tiêu đề: Workspaces</t>
  </si>
  <si>
    <t>Dòng mô tả</t>
  </si>
  <si>
    <t>Workspaces_006</t>
  </si>
  <si>
    <t>Kiểm tra dòng mô tả dưới tiêu đề</t>
  </si>
  <si>
    <t xml:space="preserve">1. Mở màn Workspaces
2. Kiểm tra dòng mô tả dưới tiêu đề</t>
  </si>
  <si>
    <t>Dòng mô tả theo bên nào: Figma Customer Admin “One workspace per scope and framework. Coverage shows how much evidence is in place — it is not a compliance decision.”, Figma Customer User “Workspaces of the scopes assigned to you. …”, hay hệ thống (Customer Admin) “Workspaces of the scopes of your organisation. …”? → Q-W-17</t>
  </si>
  <si>
    <t>Không có nút tạo workspace</t>
  </si>
  <si>
    <t>Workspaces_007</t>
  </si>
  <si>
    <t>Kiểm tra màn Workspaces không có nút tạo workspace</t>
  </si>
  <si>
    <t xml:space="preserve">1. Mở màn Workspaces
2. Kiểm tra phần đầu trang và thanh công cụ</t>
  </si>
  <si>
    <t>- Không có nút tạo workspace (workspace được tạo từ Scopes › Link framework)</t>
  </si>
  <si>
    <t>Trạng thái rỗng - Empty state</t>
  </si>
  <si>
    <t>Chưa có workspace</t>
  </si>
  <si>
    <t>Workspaces_008</t>
  </si>
  <si>
    <t>Kiểm tra màn Workspaces khi tổ chức chưa có workspace</t>
  </si>
  <si>
    <t>Đăng nhập account Customer Admin; tổ chức chưa có workspace</t>
  </si>
  <si>
    <t>1. Mở màn Workspaces</t>
  </si>
  <si>
    <t>Tổ chức chưa có workspace nào thì màn Workspaces hiện nội dung gì (câu thông báo, nút đi tới Scopes)? (Figma và hệ thống chưa có trạng thái này) → Q-W-16</t>
  </si>
  <si>
    <t>Tổng số workspace</t>
  </si>
  <si>
    <t>Workspaces_009</t>
  </si>
  <si>
    <t>Kiểm tra dòng đếm số workspace</t>
  </si>
  <si>
    <t xml:space="preserve">1. Mở màn Workspaces
2. Kiểm tra dòng phía trên bảng, bên trái</t>
  </si>
  <si>
    <t>- Hiển thị &lt;n&gt; workspaces, n bằng tổng số workspace trong bảng (cộng mọi trang), ví dụ 3 workspaces</t>
  </si>
  <si>
    <t>Workspaces_010</t>
  </si>
  <si>
    <t xml:space="preserve">1. Mở màn Workspaces
2. Kiểm tra phía trên bảng, bên phải</t>
  </si>
  <si>
    <t>- Ô tìm kiếm có icon kính lúp, placeholder: Search workspaces</t>
  </si>
  <si>
    <t>Tên framework</t>
  </si>
  <si>
    <t>Workspaces_011</t>
  </si>
  <si>
    <t xml:space="preserve">1. Mở màn Workspaces
2. Nhập [từ khóa] là một phần tên framework của [Workspace] vào ô tìm kiếm</t>
  </si>
  <si>
    <t xml:space="preserve">- Bảng chỉ còn các workspace có tên framework chứa [từ khóa]
- Dòng phân trang cập nhật theo số kết quả, ví dụ 1–1 of 1 items</t>
  </si>
  <si>
    <t>Dòng đếm có đổi theo kết quả tìm không? (hệ thống giữ nguyên tổng: tìm “TISAX” còn 1 dòng, dòng đếm vẫn 15 workspaces; nếu Hanna trả lời Q-S-07 ở Scopes thì áp chung cho Workspaces được không?) → Q-S-07</t>
  </si>
  <si>
    <t>Tên scope</t>
  </si>
  <si>
    <t>Workspaces_012</t>
  </si>
  <si>
    <t>Kiểm tra tìm theo tên scope</t>
  </si>
  <si>
    <t xml:space="preserve">1. Mở màn Workspaces
2. Nhập [từ khóa] là một phần tên scope của [Workspace] vào ô tìm kiếm</t>
  </si>
  <si>
    <t xml:space="preserve">- Bảng chỉ còn các workspace của scope có tên chứa [từ khóa]
- Dòng phân trang cập nhật theo số kết quả</t>
  </si>
  <si>
    <t>Workspaces_013</t>
  </si>
  <si>
    <t xml:space="preserve">1. Mở màn Workspaces
2. Nhập [từ khóa] viết hoa là một phần tên framework của [Workspace] vào ô tìm kiếm</t>
  </si>
  <si>
    <t>- Bảng hiển thị cùng kết quả như khi nhập chữ thường</t>
  </si>
  <si>
    <t>Có phân biệt chữ hoa, chữ thường không? (hệ thống không phân biệt: “TISAX” ra 1 dòng; nếu Hanna trả lời Q-S-07 ở Scopes thì áp chung cho Workspaces được không?) → Q-S-07</t>
  </si>
  <si>
    <t>Tier, status</t>
  </si>
  <si>
    <t>Workspaces_014</t>
  </si>
  <si>
    <t>Kiểm tra tìm theo tier hoặc status</t>
  </si>
  <si>
    <t xml:space="preserve">1. Mở màn Workspaces
2. Nhập [từ khóa] là tên tier hoặc status của [Workspace] vào ô tìm kiếm</t>
  </si>
  <si>
    <t>- Bảng chỉ còn các workspace có tier hoặc status chứa [từ khóa]</t>
  </si>
  <si>
    <t>Ô tìm kiếm có tìm theo tier và status không, hay chỉ theo tên framework và tên scope? (hệ thống tìm được: “basic” còn 5, “preparing” còn 14 trong 15 workspace; Figma không nêu) → Q-W-10</t>
  </si>
  <si>
    <t>Workspaces_015</t>
  </si>
  <si>
    <t xml:space="preserve">1. Mở màn Workspaces
2. Nhập [từ khóa] không khớp workspace nào vào ô tìm kiếm</t>
  </si>
  <si>
    <t>Figma có trạng thái không có kết quả không, và text có đúng như hệ thống? (text lấy từ hệ thống; nếu Hanna trả lời Q-S-07 ở Scopes thì áp chung được không?) → Q-S-07</t>
  </si>
  <si>
    <t>Workspaces_016</t>
  </si>
  <si>
    <t xml:space="preserve">1. Mở màn Workspaces
2. Nhập ' OR 1=1 -- vào ô tìm kiếm</t>
  </si>
  <si>
    <t>Workspaces_017</t>
  </si>
  <si>
    <t xml:space="preserve">1. Mở màn Workspaces
2. Nhập từ khóa
3. Xoá hết nội dung ô tìm kiếm</t>
  </si>
  <si>
    <t xml:space="preserve">- Bảng hiển thị lại toàn bộ workspace
- Dòng phân trang trở về như lúc mở màn</t>
  </si>
  <si>
    <t>Bộ lọc - Filter</t>
  </si>
  <si>
    <t>Chờ thiết kế</t>
  </si>
  <si>
    <t>Lọc theo trạng thái</t>
  </si>
  <si>
    <t>Workspaces_018</t>
  </si>
  <si>
    <t>Kiểm tra lọc workspace theo trạng thái</t>
  </si>
  <si>
    <t>Màn Workspaces có bộ lọc theo trạng thái Active, Archived, đã xoá như UC WSP-02 không, và bộ lọc nằm ở đâu? (Figma và hệ thống chỉ có ô tìm kiếm) → Q-W-02</t>
  </si>
  <si>
    <t>Bảng workspace - Workspace table</t>
  </si>
  <si>
    <t>Các cột</t>
  </si>
  <si>
    <t>Workspaces_019</t>
  </si>
  <si>
    <t>Kiểm tra các cột của bảng</t>
  </si>
  <si>
    <t xml:space="preserve">1. Mở màn Workspaces
2. Kiểm tra dòng tiêu đề của bảng</t>
  </si>
  <si>
    <t>- Hiển thị các cột theo thứ tự: Workspace, Tier, Evidence coverage, Status</t>
  </si>
  <si>
    <t>Cột Workspace</t>
  </si>
  <si>
    <t>Workspaces_020</t>
  </si>
  <si>
    <t>Kiểm tra cột Workspace với scope Organization</t>
  </si>
  <si>
    <t>Đăng nhập account Customer Admin; có [Workspace] ISO/IEC 27001 · 2022 của scope [Organization] loại Organization</t>
  </si>
  <si>
    <t xml:space="preserve">1. Mở màn Workspaces
2. Kiểm tra dòng [Workspace]</t>
  </si>
  <si>
    <t xml:space="preserve">- Dòng trên: ISO/IEC 27001 · 2022, màu cam, là liên kết
- Dòng dưới: [Organization] · Organization</t>
  </si>
  <si>
    <t>Workspace có tên riêng hoặc chu kỳ chứng nhận để hiển thị ở cột này không? (UC D20, D11; Figma và hệ thống chỉ có &lt;framework&gt; · &lt;version&gt; và scope) → Q-W-03</t>
  </si>
  <si>
    <t>Workspaces_021</t>
  </si>
  <si>
    <t>Kiểm tra cột Workspace với scope System</t>
  </si>
  <si>
    <t>Đăng nhập account Customer Admin; có [Workspace] Appendix 10 · 2022 của scope [System] loại System</t>
  </si>
  <si>
    <t xml:space="preserve">- Dòng trên: Appendix 10 · 2022, màu cam, là liên kết
- Dòng dưới: [System] · System</t>
  </si>
  <si>
    <t>Workspaces_022</t>
  </si>
  <si>
    <t>Kiểm tra cột Workspace với scope Product</t>
  </si>
  <si>
    <t>Đăng nhập account Customer Admin; có [Workspace] ISO/IEC 42001 · 2023 của scope [Product] loại Product</t>
  </si>
  <si>
    <t xml:space="preserve">- Dòng trên: ISO/IEC 42001 · 2023, màu cam, là liên kết
- Dòng dưới: [Product] · Product</t>
  </si>
  <si>
    <t>Workspaces_023</t>
  </si>
  <si>
    <t>Đăng nhập account Customer Admin; có [Workspace] Appendix 10 · 2022 tier Medium</t>
  </si>
  <si>
    <t xml:space="preserve">1. Mở màn Workspaces
2. Kiểm tra cột Tier của [Workspace]</t>
  </si>
  <si>
    <t>- Hiển thị Medium · 中</t>
  </si>
  <si>
    <t>Chữ Hán đi kèm tier (Medium · 中) hiển thị cố định ở mọi ngôn ngữ giao diện hay đổi theo ngôn ngữ? (Figma và hệ thống ghi “Medium · 中” ở giao diện tiếng Anh) → Q-W-20</t>
  </si>
  <si>
    <t>Workspaces_024</t>
  </si>
  <si>
    <t>Kiểm tra cột Tier của framework không tier</t>
  </si>
  <si>
    <t>Đăng nhập account Customer Admin; có [Workspace] ISO/IEC 27001 · 2022</t>
  </si>
  <si>
    <t>- Hiển thị No tiers</t>
  </si>
  <si>
    <t>Sau khi đổi tier</t>
  </si>
  <si>
    <t>Workspaces_025</t>
  </si>
  <si>
    <t>Kiểm tra cột Tier sau khi đổi tier ở Scopes</t>
  </si>
  <si>
    <t>Đăng nhập account Customer Admin; ở Scopes, mở chi tiết [Scope], bấm Change tier ở dòng Appendix 10 · 2022 (Basic), chọn Medium · 中, bấm Change tier</t>
  </si>
  <si>
    <t xml:space="preserve">1. Mở màn Workspaces
2. Kiểm tra cột Tier và cột Evidence coverage của [Workspace]</t>
  </si>
  <si>
    <t>Đổi tier là chức năng chính thức không (UC v5.3 chưa có dòng Đổi tier), và sau khi đổi, cột Tier và số requirement ở Workspaces có đổi theo ngay không? (hộp thoại Change tier ghi “uploaded evidence stays”) → Q-W-04</t>
  </si>
  <si>
    <t>Có evidence</t>
  </si>
  <si>
    <t>Workspaces_026</t>
  </si>
  <si>
    <t>Kiểm tra cột Status khi workspace đã có evidence</t>
  </si>
  <si>
    <t>Đăng nhập account Customer Admin; có [Workspace] đã có ít nhất 1 evidence bắt buộc</t>
  </si>
  <si>
    <t xml:space="preserve">1. Mở màn Workspaces
2. Kiểm tra cột Status của [Workspace]</t>
  </si>
  <si>
    <t>- Hiển thị chip Preparing có biểu tượng vòng tròn nét đứt</t>
  </si>
  <si>
    <t>Mới tạo, chưa có evidence</t>
  </si>
  <si>
    <t>Workspaces_027</t>
  </si>
  <si>
    <t>Kiểm tra cột Status khi workspace vừa tạo, chưa có evidence</t>
  </si>
  <si>
    <t>Đăng nhập account Customer Admin; có [Workspace] vừa tạo từ Scopes, chưa có evidence</t>
  </si>
  <si>
    <t>Workspace vừa tạo, chưa có evidence hiện chip “New · no evidence yet” (Figma) hay “Preparing” (hệ thống)? → Q-W-09; Cột Status còn những trạng thái nào khác, ví dụ Archived (UC WSP-02)? → Q-W-09</t>
  </si>
  <si>
    <t>Workspaces_028</t>
  </si>
  <si>
    <t>Kiểm tra cột Evidence coverage</t>
  </si>
  <si>
    <t xml:space="preserve">1. Mở màn Workspaces
2. Kiểm tra cột Evidence coverage của [Workspace]</t>
  </si>
  <si>
    <t xml:space="preserve">- Hiển thị phần trăm
- Hiển thị thanh tiến độ
- Hiển thị &lt;x&gt; of &lt;n&gt; requirements</t>
  </si>
  <si>
    <t>n có bằng số requirement của tier đã chọn trong cây requirement của framework không (Appendix 10: Basic 44, Medium 61, High 76; TISAX: Normal 52, High 70, Very high 78)? (Figma 38 of 61 với Medium; hệ thống 0 of 44, 0 of 61, 0 of 78 khớp hộp thoại Link a framework) → Q-W-07</t>
  </si>
  <si>
    <t>Làm tròn lên</t>
  </si>
  <si>
    <t>Workspaces_029</t>
  </si>
  <si>
    <t>Kiểm tra Evidence coverage khi kết quả phải làm tròn lên</t>
  </si>
  <si>
    <t>Đăng nhập account Customer Admin; có [Workspace] đã có evidence bắt buộc cho 74 trong 116 requirement</t>
  </si>
  <si>
    <t xml:space="preserve">- Hiển thị Evidence coverage = 74/116 × 100 = 63.79% → 64%
- Hiển thị 74 of 116 requirements</t>
  </si>
  <si>
    <t>Làm tròn xuống</t>
  </si>
  <si>
    <t>Workspaces_030</t>
  </si>
  <si>
    <t>Kiểm tra Evidence coverage khi kết quả phải làm tròn xuống</t>
  </si>
  <si>
    <t>Đăng nhập account Customer Admin; có [Workspace] đã có evidence bắt buộc cho 38 trong 61 requirement</t>
  </si>
  <si>
    <t xml:space="preserve">- Hiển thị Evidence coverage = 38/61 × 100 = 62.30% → 62%
- Hiển thị 38 of 61 requirements</t>
  </si>
  <si>
    <t>Chưa requirement nào đủ evidence</t>
  </si>
  <si>
    <t>Workspaces_031</t>
  </si>
  <si>
    <t>Kiểm tra Evidence coverage khi chưa requirement nào đủ evidence</t>
  </si>
  <si>
    <t>Đăng nhập account Customer Admin; có [Workspace] đã có evidence bắt buộc cho 0 trong 78 requirement</t>
  </si>
  <si>
    <t xml:space="preserve">- Hiển thị Evidence coverage = 0/78 × 100 = 0%
- Hiển thị 0 of 78 requirements</t>
  </si>
  <si>
    <t>Mọi requirement đều đủ evidence</t>
  </si>
  <si>
    <t>Workspaces_032</t>
  </si>
  <si>
    <t>Kiểm tra Evidence coverage khi mọi requirement đều đủ evidence</t>
  </si>
  <si>
    <t>Đăng nhập account Customer Admin; có [Workspace] đã có evidence bắt buộc cho 61 trong 61 requirement</t>
  </si>
  <si>
    <t xml:space="preserve">- Hiển thị Evidence coverage = 61/61 × 100 = 100%
- Hiển thị 61 of 61 requirements</t>
  </si>
  <si>
    <t>Phần thập phân đúng .5</t>
  </si>
  <si>
    <t>Workspaces_033</t>
  </si>
  <si>
    <t>Đăng nhập account Customer Admin; có [Workspace] đã có evidence bắt buộc cho 1 trong 8 requirement</t>
  </si>
  <si>
    <t>1/8 × 100 = 12.5%: hiển thị 12% hay 13% (cách làm tròn khi phần thập phân đúng bằng .5; đã hỏi ở Scopes)? Framework hiện có chỉ có 44 đến 116 requirement: dữ liệu test cho n này dựng thế nào? → Q-S-11</t>
  </si>
  <si>
    <t>Trên 0% dưới 0.5%</t>
  </si>
  <si>
    <t>Workspaces_034</t>
  </si>
  <si>
    <t>Đăng nhập account Customer Admin; có [Workspace] đã có evidence bắt buộc cho 1 trong 250 requirement</t>
  </si>
  <si>
    <t>1/250 × 100 = 0.4%: làm tròn thường ra 0% dù đã có 1 requirement đủ evidence, vậy hiển thị 0%, 1% hay &lt;1% (đã hỏi ở Scopes)? Framework hiện có chỉ có 44 đến 116 requirement: dữ liệu test cho n này dựng thế nào? → Q-S-11</t>
  </si>
  <si>
    <t>Từ 99.5% đến dưới 100%</t>
  </si>
  <si>
    <t>Workspaces_035</t>
  </si>
  <si>
    <t>Đăng nhập account Customer Admin; có [Workspace] đã có evidence bắt buộc cho 249 trong 250 requirement</t>
  </si>
  <si>
    <t>249/250 × 100 = 99.6%: làm tròn thường ra 100% dù còn 1 requirement chưa đủ evidence, vậy hiển thị 100% hay 99% (đã hỏi ở Scopes)? Framework hiện có chỉ có 44 đến 116 requirement: dữ liệu test cho n này dựng thế nào? → Q-S-11</t>
  </si>
  <si>
    <t>Menu thao tác - Row menu</t>
  </si>
  <si>
    <t>Menu ba chấm ở dòng workspace</t>
  </si>
  <si>
    <t>Workspaces_036</t>
  </si>
  <si>
    <t>Kiểm tra menu ba chấm ở dòng workspace</t>
  </si>
  <si>
    <t xml:space="preserve">1. Mở màn Workspaces
2. Bấm menu ba chấm ở dòng [Workspace]</t>
  </si>
  <si>
    <t>Menu ba chấm ở mỗi dòng (Figma Customer Admin có, hệ thống chưa có) gồm những mục nào, có Archive workspace (UC WSP-04) và xoá workspace rỗng (UC WSP-05) không, và khi nào bị khoá? → Q-W-06</t>
  </si>
  <si>
    <t>Workspaces_037</t>
  </si>
  <si>
    <t>Đăng nhập account Customer Admin; có 15 workspace</t>
  </si>
  <si>
    <t xml:space="preserve">1. Mở màn Workspaces
2. Kiểm tra phần dưới bảng</t>
  </si>
  <si>
    <t xml:space="preserve">- Items per page mặc định là 10
- Dòng phân trang: 1–10 of 15 items
- Số trang: 1 2 of 2 pages</t>
  </si>
  <si>
    <t>Màn Workspaces có Items per page (10, 25, 50, 100) và số trang như hệ thống, hay chỉ nút ‹ › và “Page 1 of 1” như Figma? (Figma: 1–3 of 3 items, ‹ Page 1 of 1 ›; hệ thống: Items per page, 1–10 of 15 items, 1 2 of 2 pages) → Q-W-18</t>
  </si>
  <si>
    <t>Workspaces_038</t>
  </si>
  <si>
    <t xml:space="preserve">1. Mở màn Workspaces
2. Bấm vào Items per page
3. Kiểm tra các lựa chọn</t>
  </si>
  <si>
    <t>Workspaces_039</t>
  </si>
  <si>
    <t xml:space="preserve">1. Mở màn Workspaces
2. Mở Items per page
3. Chọn 25</t>
  </si>
  <si>
    <t xml:space="preserve">- Bảng hiển thị đủ 15 workspace trên một trang
- Dòng phân trang: 1–15 of 15 items</t>
  </si>
  <si>
    <t>Workspaces_040</t>
  </si>
  <si>
    <t xml:space="preserve">1. Mở màn Workspaces
2. Bấm số trang 2</t>
  </si>
  <si>
    <t xml:space="preserve">- Bảng hiển thị workspace thứ 11 đến thứ 15
- Dòng phân trang: 11–15 of 15 items</t>
  </si>
  <si>
    <t>Thấy workspace của mọi scope</t>
  </si>
  <si>
    <t>Workspaces_041</t>
  </si>
  <si>
    <t>Kiểm tra Customer Admin thấy workspace của mọi scope</t>
  </si>
  <si>
    <t>Đăng nhập account Customer Admin; tổ chức có [Scope A], [Scope B] đều đã có workspace</t>
  </si>
  <si>
    <t>- Bảng có workspace của [Scope A] và [Scope B]</t>
  </si>
  <si>
    <t>Customer Admin thấy workspace của mọi scope trong tổ chức, đúng không? (hệ thống mô tả “Workspaces of the scopes of your organisation”; chi tiết Scope ghi “Customer Admin · sees every scope”) → Q-W-11</t>
  </si>
  <si>
    <t>Chỉ workspace của scope được gán</t>
  </si>
  <si>
    <t>Workspaces_042</t>
  </si>
  <si>
    <t>Kiểm tra Customer User chỉ thấy workspace của scope được gán</t>
  </si>
  <si>
    <t>Đăng nhập account Customer User; được gán scope [System], không được gán scope [Organization]; cả hai scope đã có workspace</t>
  </si>
  <si>
    <t xml:space="preserve">- Bảng có workspace của [System]
- Bảng không có workspace của [Organization]</t>
  </si>
  <si>
    <t>Workspaces_043</t>
  </si>
  <si>
    <t>Kiểm tra Customer Viewer xem danh sách workspace</t>
  </si>
  <si>
    <t>Đăng nhập account Customer Viewer; được gán scope [System]; scope [System] đã có workspace</t>
  </si>
  <si>
    <t xml:space="preserve">- Hiển thị màn Workspaces
- Bảng có workspace của [System]</t>
  </si>
  <si>
    <t>Workspace của tenant khác</t>
  </si>
  <si>
    <t>Workspaces_044</t>
  </si>
  <si>
    <t>Kiểm tra không thấy workspace của tenant khác</t>
  </si>
  <si>
    <t>Đăng nhập account Customer Admin của tenant B; tenant A là tenant khác, đã có workspace</t>
  </si>
  <si>
    <t xml:space="preserve">- Chỉ thấy workspace của tenant B
- Không có workspace nào của tenant A</t>
  </si>
  <si>
    <t>Chi tiết workspace tenant khác</t>
  </si>
  <si>
    <t>Workspaces_045</t>
  </si>
  <si>
    <t>Kiểm tra mở chi tiết workspace của tenant khác bằng URL</t>
  </si>
  <si>
    <t>1. Mở url chi tiết của một workspace thuộc tenant A</t>
  </si>
  <si>
    <t>Mở workspace của tenant khác thì hiện trang gì? (nếu Hanna trả lời Q-S-26 ở Scopes thì áp chung cho Workspaces được không?) → Q-S-26</t>
  </si>
  <si>
    <t>WSP-L0001_Quản lý workspace</t>
  </si>
  <si>
    <t>Workspaces · Customer Portal</t>
  </si>
  <si>
    <t>09/10/2026</t>
  </si>
  <si>
    <t>Figma SGS-DTP-DS · Screens 05 Workspaces &amp; Evidence, 05 Workspaces (Customer Admin) · prototype (Customer Admin) · UC v5.3 WSP-02</t>
  </si>
  <si>
    <t>Workspaces</t>
  </si>
  <si>
    <t>1.11</t>
  </si>
  <si>
    <t>Thêm sheet Workspaces: màn danh sách workspace; tạo workspace và Change tier giữ ở sheet Scopes; case còn câu hỏi Q-W để trống Expected</t>
  </si>
  <si>
    <t>FB-060, FB-061, FB-062</t>
  </si>
  <si>
    <t>Version 1.11</t>
  </si>
  <si>
    <t>1.12</t>
  </si>
  <si>
    <t>Sửa theo soát lỗi bản 1.11: đọc Figma trang 05 Workspaces &amp; Evidence và 05 Workspaces (Customer Admin); Expected theo Figma (cột, số coverage 38/61, 74/116); tách case cột Workspace theo loại scope; thêm case trạng thái rỗng, bộ lọc, menu ba chấm, nút quay lại, Customer Viewer; đặt câu hỏi vào đúng case; dùng n có thật cho case coverage</t>
  </si>
  <si>
    <t>FB-063</t>
  </si>
  <si>
    <t>Version 1.12</t>
  </si>
  <si>
    <t>Assisted workspace_001</t>
  </si>
  <si>
    <t>Kiểm tra mở chi tiết workspace bằng URL</t>
  </si>
  <si>
    <t>Đăng nhập account Customer Admin; có [Workspace] Appendix 10 · 2022 · Medium của scope [System], chế độ Assisted</t>
  </si>
  <si>
    <t>1. Mở thẳng url chi tiết của [Workspace]</t>
  </si>
  <si>
    <t xml:space="preserve">- Hiển thị màn chi tiết [Workspace]
- Mục Workspaces ở menu trái được tô nền</t>
  </si>
  <si>
    <t>UC-EVA-01</t>
  </si>
  <si>
    <t>Sang Evidence library</t>
  </si>
  <si>
    <t>Từ chi tiết workspace</t>
  </si>
  <si>
    <t>Bấm Evidence library</t>
  </si>
  <si>
    <t>Assisted workspace_002</t>
  </si>
  <si>
    <t>Kiểm tra mở Evidence library từ chi tiết workspace</t>
  </si>
  <si>
    <t xml:space="preserve">1. Mở chi tiết [Workspace] (màn Workspaces, bấm tên workspace)
2. Bấm nút Evidence library ở góc phải phần đầu trang</t>
  </si>
  <si>
    <t xml:space="preserve">- Chuyển sang màn Documents
- Ô Workspace của bộ lọc chọn sẵn [Workspace] (Appendix 10 · 2022 · [System])
- Có liên kết Back to workspace</t>
  </si>
  <si>
    <t>UC-EVC-01</t>
  </si>
  <si>
    <t>Quay lại chi tiết</t>
  </si>
  <si>
    <t>Bấm Back to workspace</t>
  </si>
  <si>
    <t>Assisted workspace_003</t>
  </si>
  <si>
    <t>Kiểm tra quay lại chi tiết workspace từ Evidence library</t>
  </si>
  <si>
    <t xml:space="preserve">1. Mở chi tiết [Workspace] (màn Workspaces, bấm tên workspace)
2. Bấm nút Evidence library
3. Bấm liên kết Back to workspace</t>
  </si>
  <si>
    <t>- Quay lại màn chi tiết [Workspace]</t>
  </si>
  <si>
    <t>Phần đầu màn - Header</t>
  </si>
  <si>
    <t>Tiêu đề</t>
  </si>
  <si>
    <t>Tên workspace và scope</t>
  </si>
  <si>
    <t>Assisted workspace_004</t>
  </si>
  <si>
    <t>Kiểm tra tiêu đề và dòng phụ của chi tiết workspace</t>
  </si>
  <si>
    <t xml:space="preserve">1. Mở chi tiết [Workspace] (màn Workspaces, bấm tên workspace)
2. Kiểm tra phần đầu trang</t>
  </si>
  <si>
    <t xml:space="preserve">- Có nút mũi tên quay lại ở bên trái tiêu đề
- Tiêu đề: Appendix 10 · 2022 · Medium
- Dòng phụ: [System] · System scope</t>
  </si>
  <si>
    <t>Chip trạng thái</t>
  </si>
  <si>
    <t>Preparing và coverage</t>
  </si>
  <si>
    <t>Assisted workspace_005</t>
  </si>
  <si>
    <t>Kiểm tra chip trạng thái ở phần đầu trang</t>
  </si>
  <si>
    <t>Đăng nhập account Customer Admin; có [Workspace] Appendix 10 · 2022 · Medium của scope [System], chế độ Assisted, 38 trên 61 requirement đủ evidence bắt buộc</t>
  </si>
  <si>
    <t xml:space="preserve">1. Mở chi tiết [Workspace] (màn Workspaces, bấm tên workspace)
2. Kiểm tra chip bên phải tiêu đề</t>
  </si>
  <si>
    <t>- Chip ghi: Preparing · 62% coverage (cùng số với cột Evidence coverage ở màn Workspaces)</t>
  </si>
  <si>
    <t>Để có workspace 38 trên 61 requirement đủ evidence thì phải tạo 38 requirement có evidence: có dữ liệu dựng sẵn hoặc cách dựng nhanh không? (Figma Workspace / Requirement ghi 38 of 61 · 62%; hệ thống mới chỉ có 0 of 61 và 6 of 31) → Q-EA-01</t>
  </si>
  <si>
    <t>Tóm tắt coverage</t>
  </si>
  <si>
    <t>Workspace có evidence</t>
  </si>
  <si>
    <t>Assisted workspace_006</t>
  </si>
  <si>
    <t>Kiểm tra khung tóm tắt coverage của cây requirement</t>
  </si>
  <si>
    <t xml:space="preserve">1. Mở chi tiết [Workspace] (màn Workspaces, bấm tên workspace)
2. Kiểm tra khung trên cùng của cột trái</t>
  </si>
  <si>
    <t xml:space="preserve">- Dòng đầu: Appendix 10 · 2022 · Medium và 62%
- Thanh tiến độ tô 62%
- Dòng chữ: 38 of 61 requirements have their mandatory evidence · not a compliance decision</t>
  </si>
  <si>
    <t>Workspace mới</t>
  </si>
  <si>
    <t>Chưa có evidence</t>
  </si>
  <si>
    <t>Assisted workspace_007</t>
  </si>
  <si>
    <t>Kiểm tra workspace mới chưa có evidence</t>
  </si>
  <si>
    <t>Đăng nhập account Customer Admin; có [Workspace] Appendix 10 · 2022 · Medium của scope [System], chế độ Assisted, chưa có evidence nào</t>
  </si>
  <si>
    <t>1. Mở chi tiết [Workspace] (màn Workspaces, bấm tên workspace)</t>
  </si>
  <si>
    <t xml:space="preserve">- Khung tóm tắt: 0% và dòng 0 of 61 requirements have their mandatory evidence · not a compliance decision
- Mọi requirement trong cây có chip Missing
- Mọi nhóm có 0%</t>
  </si>
  <si>
    <t>UC-EVA-07</t>
  </si>
  <si>
    <t>Cây requirement - Requirement tree</t>
  </si>
  <si>
    <t>Nhóm requirement</t>
  </si>
  <si>
    <t>Dòng nhóm</t>
  </si>
  <si>
    <t>Assisted workspace_008</t>
  </si>
  <si>
    <t>Kiểm tra dòng nhóm của cây requirement</t>
  </si>
  <si>
    <t xml:space="preserve">1. Mở chi tiết [Workspace] (màn Workspaces, bấm tên workspace)
2. Kiểm tra dòng nhóm 1 Access Control</t>
  </si>
  <si>
    <t xml:space="preserve">- Dòng nhóm có: mũi tên, số thứ tự trong ô vuông, tên nhóm, phần trăm ở bên phải
- Thanh tiến độ ở dưới dòng nhóm</t>
  </si>
  <si>
    <t>Khi mở màn</t>
  </si>
  <si>
    <t>Assisted workspace_009</t>
  </si>
  <si>
    <t>Kiểm tra nhóm và requirement mặc định khi mở màn</t>
  </si>
  <si>
    <t xml:space="preserve">- Nhóm 1 được mở sẵn, các nhóm còn lại thu gọn
- Requirement đầu tiên của nhóm 1 (R.1.1.1) được chọn, dòng tô nền cam nhạt, viền cam
- Cột phải hiển thị chi tiết R.1.1.1</t>
  </si>
  <si>
    <t>Chọn requirement</t>
  </si>
  <si>
    <t>Bấm một requirement</t>
  </si>
  <si>
    <t>Assisted workspace_010</t>
  </si>
  <si>
    <t>Kiểm tra chọn requirement khác trong cây</t>
  </si>
  <si>
    <t xml:space="preserve">1. Mở chi tiết [Workspace] (màn Workspaces, bấm tên workspace)
2. Bấm requirement R.1.1.2 trong nhóm 1</t>
  </si>
  <si>
    <t xml:space="preserve">- Dòng R.1.1.2 được tô nền cam nhạt, viền cam; dòng R.1.1.1 trở lại nền thường
- Cột phải đổi sang chi tiết R.1.1.2: breadcrumb, tiêu đề, chip trạng thái</t>
  </si>
  <si>
    <t>Phần trăm nhóm</t>
  </si>
  <si>
    <t>Nhóm có evidence</t>
  </si>
  <si>
    <t>Assisted workspace_011</t>
  </si>
  <si>
    <t>Kiểm tra phần trăm của nhóm có 1 trên 4 requirement Provided</t>
  </si>
  <si>
    <t>Đăng nhập account Customer Admin; có [Workspace] Appendix 10 · 2022 · Medium của scope [System], chế độ Assisted, nhóm [Group] có 4 requirement: 1 Provided, 3 Missing</t>
  </si>
  <si>
    <t xml:space="preserve">1. Mở chi tiết [Workspace] (màn Workspaces, bấm tên workspace)
2. Kiểm tra dòng nhóm [Group]</t>
  </si>
  <si>
    <t xml:space="preserve">- Dòng nhóm ghi 25%
- Thanh tiến độ tô 25%</t>
  </si>
  <si>
    <t>Nhóm đủ evidence</t>
  </si>
  <si>
    <t>Assisted workspace_012</t>
  </si>
  <si>
    <t>Kiểm tra phần trăm của nhóm có mọi requirement Provided</t>
  </si>
  <si>
    <t>Đăng nhập account Customer Admin; có [Workspace] Appendix 10 · 2022 · Medium của scope [System], chế độ Assisted, nhóm [Group] có 4 requirement đều Provided</t>
  </si>
  <si>
    <t xml:space="preserve">- Dòng nhóm ghi 100%
- Thanh tiến độ tô đầy</t>
  </si>
  <si>
    <t>Nhóm có Partial</t>
  </si>
  <si>
    <t>Assisted workspace_013</t>
  </si>
  <si>
    <t>Kiểm tra phần trăm của nhóm có requirement Partial</t>
  </si>
  <si>
    <t>Đăng nhập account Customer Admin; có [Workspace] Appendix 10 · 2022 · Medium của scope [System], chế độ Assisted, nhóm [Group] có 4 requirement: 1 Provided, 1 Partial, 2 Missing</t>
  </si>
  <si>
    <t>Requirement ở trạng thái Partial khi nào, và Partial có được tính vào phần trăm của nhóm không? (Figma: nhóm Access Control 58% khớp công thức Provided tính 1, Partial tính 0,5 chia 6 requirement, còn phần trăm workspace 38/61 = 62% chỉ đếm Provided; UC EVA-07 chỉ ghi Provided, Missing, Out of scope) → Q-EA-03</t>
  </si>
  <si>
    <t>Trạng thái requirement</t>
  </si>
  <si>
    <t>Missing</t>
  </si>
  <si>
    <t>Assisted workspace_014</t>
  </si>
  <si>
    <t>Kiểm tra chip Missing</t>
  </si>
  <si>
    <t xml:space="preserve">1. Mở chi tiết [Workspace] (màn Workspaces, bấm tên workspace)
2. Kiểm tra chip của requirement R.1.1.1 ở cây và ở chi tiết</t>
  </si>
  <si>
    <t>- Cả hai nơi có chip Missing, nền hồng, chấm đỏ</t>
  </si>
  <si>
    <t>Provided</t>
  </si>
  <si>
    <t>Đủ evidence bắt buộc</t>
  </si>
  <si>
    <t>Assisted workspace_015</t>
  </si>
  <si>
    <t>Kiểm tra chip Provided</t>
  </si>
  <si>
    <t>Đăng nhập account Customer Admin; có [Workspace] Appendix 10 · 2022 · Medium của scope [System], chế độ Assisted; R.1.1.1 đã có evidence sạch ở EE-001</t>
  </si>
  <si>
    <t>- Cả hai nơi có chip Provided, nền xanh nhạt, dấu tích xanh</t>
  </si>
  <si>
    <t>Partial</t>
  </si>
  <si>
    <t>Thiếu một phần evidence</t>
  </si>
  <si>
    <t>Assisted workspace_016</t>
  </si>
  <si>
    <t>Kiểm tra chip Partial</t>
  </si>
  <si>
    <t>Đăng nhập account Customer Admin; có [Workspace] Appendix 10 · 2022 · Medium của scope [System], chế độ Assisted; requirement R.1.1.4 có hai expected evidence bắt buộc, mới có evidence cho một</t>
  </si>
  <si>
    <t xml:space="preserve">1. Mở chi tiết [Workspace] (màn Workspaces, bấm tên workspace)
2. Kiểm tra chip của requirement R.1.1.4 ở cây</t>
  </si>
  <si>
    <t>Out of scope</t>
  </si>
  <si>
    <t>Ngoài tier hoặc retired</t>
  </si>
  <si>
    <t>Assisted workspace_017</t>
  </si>
  <si>
    <t>Kiểm tra hiển thị requirement ngoài tier</t>
  </si>
  <si>
    <t xml:space="preserve">1. Mở chi tiết [Workspace] (màn Workspaces, bấm tên workspace)
2. Tìm trong cây một requirement chỉ thuộc tier High</t>
  </si>
  <si>
    <t>Requirement ngoài tier hoặc đã retired có hiện trong cây với trạng thái Out of scope không, hay bị ẩn? (UC WSP-06 ghi “not counted”, UC EVA-07 có trạng thái Out of scope; hệ thống ở workspace Medium chỉ hiện 61 requirement, không có chip Out of scope) → Q-EA-04</t>
  </si>
  <si>
    <t>UC-WSP-06</t>
  </si>
  <si>
    <t>Clarification requested</t>
  </si>
  <si>
    <t>Có yêu cầu làm rõ</t>
  </si>
  <si>
    <t>Assisted workspace_018</t>
  </si>
  <si>
    <t>Kiểm tra trạng thái Clarification requested</t>
  </si>
  <si>
    <t>Đăng nhập account Customer Admin; có [Workspace] Appendix 10 · 2022 · Medium của scope [System], chế độ Assisted; R.1.1.2 có yêu cầu làm rõ đang mở</t>
  </si>
  <si>
    <t xml:space="preserve">1. Mở chi tiết [Workspace] (màn Workspaces, bấm tên workspace)
2. Kiểm tra requirement R.1.1.2 ở cây</t>
  </si>
  <si>
    <t>“Clarification requested” hiện ở đâu (chip trạng thái, bộ lọc) và khi nào xuất hiện? (UC EVA-01, EVA-02 và D41: làm rõ qua Gap Analysis; Figma không có; bộ lọc hệ thống chỉ có All, Missing, Partial, Provided) → Q-EA-05</t>
  </si>
  <si>
    <t>Tìm kiếm - Search</t>
  </si>
  <si>
    <t>Ô tìm kiếm</t>
  </si>
  <si>
    <t>Assisted workspace_019</t>
  </si>
  <si>
    <t>Kiểm tra ô tìm kiếm của cây requirement</t>
  </si>
  <si>
    <t xml:space="preserve">1. Mở chi tiết [Workspace] (màn Workspaces, bấm tên workspace)
2. Kiểm tra ô tìm kiếm ở đầu cột trái</t>
  </si>
  <si>
    <t xml:space="preserve">- Ô tìm kiếm có icon kính lúp, placeholder: Search
- Bên cạnh có ô lọc trạng thái, mặc định All</t>
  </si>
  <si>
    <t>Mã requirement</t>
  </si>
  <si>
    <t>Assisted workspace_020</t>
  </si>
  <si>
    <t>Kiểm tra tìm theo mã requirement</t>
  </si>
  <si>
    <t xml:space="preserve">1. Mở chi tiết [Workspace] (màn Workspaces, bấm tên workspace)
2. Nhập R.1.1.2 vào ô tìm kiếm</t>
  </si>
  <si>
    <t xml:space="preserve">- Cây chỉ còn nhóm 1 với requirement R.1.1.2
- Cột phải vẫn hiển thị requirement đang chọn trước đó</t>
  </si>
  <si>
    <t>Theo tên</t>
  </si>
  <si>
    <t>Một phần tên requirement</t>
  </si>
  <si>
    <t>Assisted workspace_021</t>
  </si>
  <si>
    <t>Kiểm tra tìm theo một phần tên requirement</t>
  </si>
  <si>
    <t xml:space="preserve">1. Mở chi tiết [Workspace] (màn Workspaces, bấm tên workspace)
2. Nhập inactive vào ô tìm kiếm</t>
  </si>
  <si>
    <t>- Cây chỉ còn nhóm 1 với requirement R.1.1.3 Disable inactive accounts automatically</t>
  </si>
  <si>
    <t>Từ khoá viết hoa</t>
  </si>
  <si>
    <t>Assisted workspace_022</t>
  </si>
  <si>
    <t xml:space="preserve">1. Mở chi tiết [Workspace] (màn Workspaces, bấm tên workspace)
2. Nhập ACCESS vào ô tìm kiếm</t>
  </si>
  <si>
    <t>- Kết quả giống khi nhập access: các requirement có chữ access trong tên (R.1.3.1, R.1.3.3, R.2.6.1) cùng nhóm của chúng</t>
  </si>
  <si>
    <t>Có phân biệt chữ hoa, chữ thường ở ô tìm kiếm không? (hệ thống không phân biệt; nếu Hanna trả lời Q-S-07 ở Scopes thì áp chung cho cây requirement được không?) → Q-S-07</t>
  </si>
  <si>
    <t>Từ khoá không khớp</t>
  </si>
  <si>
    <t>Assisted workspace_023</t>
  </si>
  <si>
    <t xml:space="preserve">1. Mở chi tiết [Workspace] (màn Workspaces, bấm tên workspace)
2. Nhập zzzxx vào ô tìm kiếm</t>
  </si>
  <si>
    <t xml:space="preserve">- Cây ẩn mọi nhóm
- Thông báo: No matching requirements
- Dòng phụ: Try another search or filter.</t>
  </si>
  <si>
    <t>Câu “No matching requirements” / “Try another search or filter.” có đúng văn bản chính thức không? (chỉ lấy từ hệ thống; Figma chưa có trạng thái không có kết quả) → Q-EA-39</t>
  </si>
  <si>
    <t>Chuỗi đặc biệt</t>
  </si>
  <si>
    <t>Assisted workspace_024</t>
  </si>
  <si>
    <t xml:space="preserve">1. Mở chi tiết [Workspace] (màn Workspaces, bấm tên workspace)
2. Nhập ' OR 1=1 -- vào ô tìm kiếm</t>
  </si>
  <si>
    <t>Xoá hết</t>
  </si>
  <si>
    <t>Assisted workspace_025</t>
  </si>
  <si>
    <t xml:space="preserve">1. Mở chi tiết [Workspace] (màn Workspaces, bấm tên workspace)
2. Nhập inactive vào ô tìm kiếm
3. Xoá hết nội dung ô tìm kiếm</t>
  </si>
  <si>
    <t>- Cây hiển thị lại đủ nhóm như lúc mở màn</t>
  </si>
  <si>
    <t>Assisted workspace_026</t>
  </si>
  <si>
    <t>Kiểm tra các lựa chọn của ô lọc trạng thái</t>
  </si>
  <si>
    <t xml:space="preserve">1. Mở chi tiết [Workspace] (màn Workspaces, bấm tên workspace)
2. Bấm ô lọc trạng thái cạnh ô tìm kiếm</t>
  </si>
  <si>
    <t xml:space="preserve">- Mặc định: All
- Các lựa chọn: All, Missing, Partial, Provided; mục đang chọn có dấu tích</t>
  </si>
  <si>
    <t>Assisted workspace_027</t>
  </si>
  <si>
    <t>Kiểm tra lọc requirement Missing</t>
  </si>
  <si>
    <t>Đăng nhập account Customer Admin; có [Workspace] Appendix 10 · 2022 · Medium của scope [System], chế độ Assisted; R.1.1.1 Provided, các requirement còn lại Missing</t>
  </si>
  <si>
    <t xml:space="preserve">1. Mở chi tiết [Workspace] (màn Workspaces, bấm tên workspace)
2. Chọn Missing ở ô lọc trạng thái</t>
  </si>
  <si>
    <t xml:space="preserve">- Cây chỉ còn các requirement có chip Missing
- Không còn requirement Provided</t>
  </si>
  <si>
    <t>Assisted workspace_028</t>
  </si>
  <si>
    <t>Kiểm tra lọc requirement Provided</t>
  </si>
  <si>
    <t xml:space="preserve">1. Mở chi tiết [Workspace] (màn Workspaces, bấm tên workspace)
2. Chọn Provided ở ô lọc trạng thái</t>
  </si>
  <si>
    <t>- Cây chỉ còn requirement R.1.1.1 (chip Provided)</t>
  </si>
  <si>
    <t>Assisted workspace_029</t>
  </si>
  <si>
    <t>Kiểm tra lọc requirement Partial</t>
  </si>
  <si>
    <t>Đăng nhập account Customer Admin; có [Workspace] Appendix 10 · 2022 · Medium của scope [System], chế độ Assisted; R.1.1.4 Partial, các requirement còn lại Missing hoặc Provided</t>
  </si>
  <si>
    <t xml:space="preserve">1. Mở chi tiết [Workspace] (màn Workspaces, bấm tên workspace)
2. Chọn Partial ở ô lọc trạng thái</t>
  </si>
  <si>
    <t>- Cây chỉ còn requirement R.1.1.4 (chip Partial)</t>
  </si>
  <si>
    <t>Kết hợp</t>
  </si>
  <si>
    <t>Lọc và tìm cùng lúc</t>
  </si>
  <si>
    <t>Assisted workspace_030</t>
  </si>
  <si>
    <t>Kiểm tra dùng bộ lọc cùng từ khoá tìm kiếm</t>
  </si>
  <si>
    <t xml:space="preserve">1. Mở chi tiết [Workspace] (màn Workspaces, bấm tên workspace)
2. Chọn Missing ở ô lọc trạng thái
3. Nhập inactive vào ô tìm kiếm</t>
  </si>
  <si>
    <t>- Cây chỉ còn requirement R.1.1.3 (Missing, tên có inactive)</t>
  </si>
  <si>
    <t>Ô tìm kiếm tìm theo những trường nào ngoài mã và tên requirement (mô tả, tên nhóm), và khi có nhiều điều kiện thì bộ lọc và từ khoá áp cùng lúc đúng không? (UC EVA-01 chỉ ghi “search and filter”; hệ thống tìm được theo mã và tên, không phân biệt chữ hoa; chưa thử mô tả, tên nhóm) → Q-EA-06</t>
  </si>
  <si>
    <t>Không requirement khớp</t>
  </si>
  <si>
    <t>Assisted workspace_031</t>
  </si>
  <si>
    <t>Kiểm tra lọc khi không có requirement khớp</t>
  </si>
  <si>
    <t>Khi bộ lọc trạng thái không có requirement nào khớp thì hiện thông báo gì? (hệ thống chỉ có thông báo cho trường hợp tìm kiếm: “No matching requirements” / “Try another search or filter”; Figma không có trạng thái này) → Q-EA-07</t>
  </si>
  <si>
    <t>Chi tiết requirement - Requirement detail</t>
  </si>
  <si>
    <t>Phần đầu requirement</t>
  </si>
  <si>
    <t>Breadcrumb</t>
  </si>
  <si>
    <t>Nhóm / nhóm con / mã</t>
  </si>
  <si>
    <t>Assisted workspace_032</t>
  </si>
  <si>
    <t>Kiểm tra breadcrumb của requirement</t>
  </si>
  <si>
    <t xml:space="preserve">1. Mở chi tiết [Workspace] (màn Workspaces, bấm tên workspace)
2. Kiểm tra dòng đầu của cột phải</t>
  </si>
  <si>
    <t xml:space="preserve">- Breadcrumb: 1 Access Control / 1.1 Account management / R.1.1.1
- Hai mục đầu màu cam, mục cuối màu đen</t>
  </si>
  <si>
    <t>UC-EVA-02</t>
  </si>
  <si>
    <t>Mã và tier</t>
  </si>
  <si>
    <t>Requirement thuộc Basic</t>
  </si>
  <si>
    <t>Assisted workspace_033</t>
  </si>
  <si>
    <t>Kiểm tra dòng mã và tier của requirement thuộc Basic</t>
  </si>
  <si>
    <t xml:space="preserve">1. Mở chi tiết [Workspace] (màn Workspaces, bấm tên workspace)
2. Kiểm tra dòng nhỏ phía trên tiêu đề của R.1.1.1</t>
  </si>
  <si>
    <t>- Dòng ghi: R.1.1.1 · from Basic</t>
  </si>
  <si>
    <t>Requirement thêm ở Medium</t>
  </si>
  <si>
    <t>Assisted workspace_034</t>
  </si>
  <si>
    <t>Kiểm tra dòng mã và tier của requirement thêm ở Medium</t>
  </si>
  <si>
    <t xml:space="preserve">1. Mở chi tiết [Workspace] (màn Workspaces, bấm tên workspace)
2. Chọn một requirement thêm ở tier Medium
3. Kiểm tra dòng nhỏ phía trên tiêu đề</t>
  </si>
  <si>
    <t>- Dòng ghi: &lt;mã requirement&gt; · from Medium</t>
  </si>
  <si>
    <t>Nhãn “from &lt;tier&gt;” hiện thế nào với requirement thêm ở Medium hoặc High, và với framework không có tier (vd ISO/IEC 27001)? (Figma, hệ thống chỉ có “from Basic”) → Q-EA-08</t>
  </si>
  <si>
    <t>Framework không có tier</t>
  </si>
  <si>
    <t>Assisted workspace_035</t>
  </si>
  <si>
    <t>Kiểm tra dòng mã của requirement thuộc framework không có tier</t>
  </si>
  <si>
    <t>Đăng nhập account Customer Admin; có [Workspace ISO] ISO/IEC 27001 · 2022 của scope [Organization], chế độ Assisted</t>
  </si>
  <si>
    <t xml:space="preserve">1. Mở chi tiết [Workspace ISO] (màn Workspaces, bấm tên workspace)
2. Kiểm tra dòng nhỏ phía trên tiêu đề của requirement đầu tiên</t>
  </si>
  <si>
    <t>Nội dung</t>
  </si>
  <si>
    <t>Tiêu đề, mô tả, chip</t>
  </si>
  <si>
    <t>Assisted workspace_036</t>
  </si>
  <si>
    <t>Kiểm tra tiêu đề, mô tả và chip trạng thái của requirement</t>
  </si>
  <si>
    <t xml:space="preserve">1. Mở chi tiết [Workspace] (màn Workspaces, bấm tên workspace)
2. Kiểm tra khối trên của cột phải</t>
  </si>
  <si>
    <t xml:space="preserve">- Tiêu đề: Establish an account management mechanism
- Chip trạng thái ở góc phải khối
- Mô tả: Establish an account management mechanism, including procedures for account application, creation, modification, activation, deactivation, and deletion.</t>
  </si>
  <si>
    <t>Nhãn lạ</t>
  </si>
  <si>
    <t>No design yet</t>
  </si>
  <si>
    <t>Assisted workspace_037</t>
  </si>
  <si>
    <t>Kiểm tra nhãn No design yet</t>
  </si>
  <si>
    <t xml:space="preserve">1. Mở chi tiết [Workspace] (màn Workspaces, bấm tên workspace)
2. Kiểm tra bên phải ô Owner</t>
  </si>
  <si>
    <t>Nhãn vàng “No design yet” cạnh ô Owner là gì và khi nào hiện? (chỉ có ở hệ thống, requirement nào cũng có; UC và Figma không nêu) → Q-EA-02</t>
  </si>
  <si>
    <t>Yêu cầu làm rõ</t>
  </si>
  <si>
    <t>Đang mở</t>
  </si>
  <si>
    <t>Assisted workspace_038</t>
  </si>
  <si>
    <t>Kiểm tra hiển thị yêu cầu làm rõ đang mở</t>
  </si>
  <si>
    <t xml:space="preserve">1. Mở chi tiết [Workspace] (màn Workspaces, bấm tên workspace)
2. Chọn requirement R.1.1.2
3. Kiểm tra chi tiết requirement</t>
  </si>
  <si>
    <t>Requirement có yêu cầu làm rõ đang mở (Gap Analysis) thì hiện ở khu vực nào của chi tiết requirement? (UC EVA-02: “open clarifications (GAP-03)”; Figma, hệ thống không có) → Q-EA-15</t>
  </si>
  <si>
    <t>Expected evidence</t>
  </si>
  <si>
    <t>Dòng đếm chưa có evidence</t>
  </si>
  <si>
    <t>Assisted workspace_039</t>
  </si>
  <si>
    <t>Kiểm tra dòng đếm expected evidence khi chưa có evidence</t>
  </si>
  <si>
    <t xml:space="preserve">1. Mở chi tiết [Workspace] (màn Workspaces, bấm tên workspace)
2. Kiểm tra khối Expected evidence</t>
  </si>
  <si>
    <t xml:space="preserve">- Tiêu đề: Expected evidence
- Dòng đếm: 1 mandatory item · 0 provided
- Có hai nút: Link existing evidence, Upload evidence</t>
  </si>
  <si>
    <t>Dòng đếm đã có evidence</t>
  </si>
  <si>
    <t>Assisted workspace_040</t>
  </si>
  <si>
    <t>Kiểm tra dòng đếm expected evidence khi đã có evidence</t>
  </si>
  <si>
    <t>- Dòng đếm: 1 mandatory item · 1 provided</t>
  </si>
  <si>
    <t>Thẻ expected evidence</t>
  </si>
  <si>
    <t>Thông tin EE</t>
  </si>
  <si>
    <t>Assisted workspace_041</t>
  </si>
  <si>
    <t>Kiểm tra thẻ expected evidence</t>
  </si>
  <si>
    <t xml:space="preserve">1. Mở chi tiết [Workspace] (màn Workspaces, bấm tên workspace)
2. Kiểm tra thẻ trong khối Expected evidence</t>
  </si>
  <si>
    <t xml:space="preserve">- Dòng đầu: EE-001 · Account Management Procedure
- Mô tả: Documented procedure covering account request, creation, modification, activation, deactivation, and deletion.
- Tag Mandatory ở góc phải thẻ</t>
  </si>
  <si>
    <t>Assisted workspace_042</t>
  </si>
  <si>
    <t>Kiểm tra thẻ expected evidence chưa có evidence</t>
  </si>
  <si>
    <t xml:space="preserve">1. Mở chi tiết [Workspace] (màn Workspaces, bấm tên workspace)
2. Kiểm tra thẻ EE-001</t>
  </si>
  <si>
    <t xml:space="preserve">- Thẻ không có dòng evidence nào
- Dòng chữ: No evidence yet. Upload a file or link one that is already in this workspace.</t>
  </si>
  <si>
    <t>Câu “No evidence yet. Upload a file or link one that is already in this workspace.” có đúng văn bản chính thức không? (chỉ lấy từ hệ thống; Figma chưa có thẻ expected evidence trống) → Q-EA-10</t>
  </si>
  <si>
    <t>Nhiều expected evidence</t>
  </si>
  <si>
    <t>Assisted workspace_043</t>
  </si>
  <si>
    <t>Kiểm tra requirement có nhiều expected evidence</t>
  </si>
  <si>
    <t>Đăng nhập account Customer Admin; có [Workspace] Appendix 10 · 2022 · Medium của scope [System], chế độ Assisted; R.1.1.4 có hai expected evidence bắt buộc</t>
  </si>
  <si>
    <t xml:space="preserve">1. Mở chi tiết [Workspace] (màn Workspaces, bấm tên workspace)
2. Chọn requirement R.1.1.4
3. Kiểm tra khối Expected evidence</t>
  </si>
  <si>
    <t>Requirement có nhiều expected evidence thì thẻ nào nhận file khi bấm Upload evidence hoặc Link existing evidence, dòng đếm ghi thế nào, và có expected evidence không bắt buộc (Optional) không? (Figma, hệ thống chỉ có requirement một expected evidence “Mandatory”; hộp thoại Upload ghi “For &lt;requirement&gt; · &lt;EE&gt;”) → Q-EA-09</t>
  </si>
  <si>
    <t>Dòng evidence - Evidence row</t>
  </si>
  <si>
    <t>Thông tin evidence</t>
  </si>
  <si>
    <t>Assisted workspace_044</t>
  </si>
  <si>
    <t>Kiểm tra dòng evidence trong thẻ expected evidence</t>
  </si>
  <si>
    <t>Đăng nhập account Customer Admin; có [Workspace] Appendix 10 · 2022 · Medium của scope [System], chế độ Assisted; evidence Access control policy (version 3, access-control-policy-v3.pdf, Wei Chen upload 12/09/2026, hết hạn 12/09/2027) gắn R.1.1.1 và R.1.2.1</t>
  </si>
  <si>
    <t xml:space="preserve">1. Mở chi tiết [Workspace] (màn Workspaces, bấm tên workspace)
2. Kiểm tra dòng evidence dưới EE-001</t>
  </si>
  <si>
    <t xml:space="preserve">- Icon file, tên evidence (Access control policy)
- Dòng phụ: access-control-policy-v3.pdf • Uploaded Sep 12, 2026 by Wei Chen • valid until Sep 2027 • also used in R.1.2.1
- Chip Provided, icon mắt ở bên phải</t>
  </si>
  <si>
    <t>Định dạng ngày ở dòng evidence là “Uploaded Sep 12, 2026” hay “12 Sep 2026”? (Figma dòng evidence ghi “Sep 12, 2026”, Figma chi tiết evidence và hộp thoại Upload ghi “12 Sep 2026”) → Q-EA-12</t>
  </si>
  <si>
    <t>Evidence chỉ dùng cho một requirement</t>
  </si>
  <si>
    <t>Assisted workspace_045</t>
  </si>
  <si>
    <t>Kiểm tra dòng evidence chỉ gắn một requirement</t>
  </si>
  <si>
    <t>Đăng nhập account Customer Admin; có [Workspace] Appendix 10 · 2022 · Medium của scope [System], chế độ Assisted; evidence Access control policy chỉ gắn R.1.1.1</t>
  </si>
  <si>
    <t>- Dòng phụ không có đoạn also used in</t>
  </si>
  <si>
    <t>Evidence dùng cho hai requirement</t>
  </si>
  <si>
    <t>Assisted workspace_046</t>
  </si>
  <si>
    <t>Kiểm tra dòng evidence gắn hai requirement ở requirement còn lại</t>
  </si>
  <si>
    <t>Đăng nhập account Customer Admin; có [Workspace] Appendix 10 · 2022 · Medium của scope [System], chế độ Assisted; evidence Access control policy gắn R.1.1.1 và R.1.2.1</t>
  </si>
  <si>
    <t xml:space="preserve">1. Mở chi tiết [Workspace] (màn Workspaces, bấm tên workspace)
2. Chọn requirement R.1.2.1
3. Kiểm tra dòng evidence</t>
  </si>
  <si>
    <t>- Dòng phụ ghi: also used in R.1.1.1</t>
  </si>
  <si>
    <t>Không có ngày hết hạn</t>
  </si>
  <si>
    <t>Assisted workspace_047</t>
  </si>
  <si>
    <t>Kiểm tra dòng evidence không có Valid until</t>
  </si>
  <si>
    <t>Đăng nhập account Customer Admin; có [Workspace] Appendix 10 · 2022 · Medium của scope [System], chế độ Assisted; evidence của R.1.1.1 không điền Valid until</t>
  </si>
  <si>
    <t>Evidence không có ngày hết hạn thì dòng evidence hiện thế nào (bỏ “valid until” hay ghi “no expiry”)? (Figma chỉ có evidence có “valid until Sep 2027”; hộp thoại Upload ghi “Leave empty if it doesn't expire.”) → Q-EA-13</t>
  </si>
  <si>
    <t>Nhiều version</t>
  </si>
  <si>
    <t>Assisted workspace_048</t>
  </si>
  <si>
    <t>Kiểm tra requirement chỉ hiện version hiện hành của evidence</t>
  </si>
  <si>
    <t>Đăng nhập account Customer Admin; có [Workspace] Appendix 10 · 2022 · Medium của scope [System], chế độ Assisted; evidence Access control policy có 3 version, gắn R.1.1.1</t>
  </si>
  <si>
    <t xml:space="preserve">- Chỉ có một dòng evidence, file là access-control-policy-v3.pdf (version 3 hiện hành)
- Không có dòng riêng cho version 1, version 2</t>
  </si>
  <si>
    <t>Dòng evidence ở màn requirement có hiện nhãn version (v1, v2, v3) như D21 không? (UC D21: “requirements show only the current version of each document with a version label”; Figma chỉ có tên file access-control-policy-v3.pdf, không có nhãn) → Q-EA-11</t>
  </si>
  <si>
    <t>Evidence quá hạn</t>
  </si>
  <si>
    <t>Assisted workspace_049</t>
  </si>
  <si>
    <t>Kiểm tra dòng evidence quá ngày Valid until</t>
  </si>
  <si>
    <t>Đăng nhập account Customer Admin; có [Workspace] Appendix 10 · 2022 · Medium của scope [System], chế độ Assisted; evidence của R.1.1.1 có Valid until là ngày đã qua</t>
  </si>
  <si>
    <t xml:space="preserve">1. Mở chi tiết [Workspace] (màn Workspaces, bấm tên workspace)
2. Kiểm tra dòng evidence dưới EE-001 và chip của requirement</t>
  </si>
  <si>
    <t>Evidence quá ngày Valid until thì requirement còn Provided không, và dòng evidence có chip Expired không? (UC D7: hết hạn chỉ hiện dạng ngày, không phải trạng thái; Figma Documents lại có chip Expired và Expires soon) → Q-EA-14</t>
  </si>
  <si>
    <t>Chi tiết evidence</t>
  </si>
  <si>
    <t>Bấm icon mắt</t>
  </si>
  <si>
    <t>Assisted workspace_050</t>
  </si>
  <si>
    <t>Kiểm tra mở chi tiết evidence từ dòng evidence</t>
  </si>
  <si>
    <t>Đăng nhập account Customer Admin; có [Workspace] Appendix 10 · 2022 · Medium của scope [System], chế độ Assisted; evidence Access control policy (3 version) gắn R.1.1.1 (EE-001) và R.1.2.1 (EE-009)</t>
  </si>
  <si>
    <t xml:space="preserve">1. Mở chi tiết [Workspace] (màn Workspaces, bấm tên workspace)
2. Bấm icon mắt ở dòng evidence dưới EE-001</t>
  </si>
  <si>
    <t xml:space="preserve">- Khung chi tiết trượt ra bên phải, tiêu đề Access control policy, dòng phụ: access-control-policy-v3.pdf · 1.2 MB · scanned, clean
- Workspace: Appendix 10 · 2022 · [System]; Valid: 12 Sep 2026 – 12 Sep 2027; Review: Not reviewed by SGS yet
- Bảng Used for: R.1.1.1 với EE-001, R.1.2.1 với EE-009
- Bảng Versions: version 3, 2, 1 với tên file, ngày, người upload
- Ba nút ở chân khung: Unlink from R.1.1.1, Download, Upload new version
- Dấu × ở góc phải đóng khung</t>
  </si>
  <si>
    <t>UC-EVC-02</t>
  </si>
  <si>
    <t>Upload evidence</t>
  </si>
  <si>
    <t>Hộp thoại</t>
  </si>
  <si>
    <t>Bấm Upload evidence</t>
  </si>
  <si>
    <t>Assisted workspace_051</t>
  </si>
  <si>
    <t>Kiểm tra mở hộp thoại Upload evidence</t>
  </si>
  <si>
    <t xml:space="preserve">1. Mở chi tiết [Workspace] (màn Workspaces, bấm tên workspace)
2. Bấm nút Upload evidence ở khối Expected evidence</t>
  </si>
  <si>
    <t xml:space="preserve">- Hiện hộp thoại Upload evidence, dấu × ở góc phải
- Dòng ngữ cảnh: For R.1.1.1 Establish an account management mechanism · EE-001 Account Management Procedure</t>
  </si>
  <si>
    <t>UC-EVA-03</t>
  </si>
  <si>
    <t>Các ô</t>
  </si>
  <si>
    <t>Ô và nút</t>
  </si>
  <si>
    <t>Assisted workspace_052</t>
  </si>
  <si>
    <t>Kiểm tra các ô và nút của hộp thoại Upload evidence</t>
  </si>
  <si>
    <t xml:space="preserve">1. Mở chi tiết [Workspace] (màn Workspaces, bấm tên workspace)
2. Bấm nút Upload evidence
3. Kiểm tra các ô trong hộp thoại</t>
  </si>
  <si>
    <t xml:space="preserve">- Ô File * là vùng kéo thả: icon tải lên, Drag files here or browse., dòng nhỏ Any file type · up to 20 MB · scanned for viruses
- Ô Name * trống
- Ô Valid from (optional) và Valid until (optional), placeholder DD MMM YYYY, icon lịch; dưới Valid until có dòng Leave empty if it doesn't expire.
- Ô Also use for (optional), placeholder Other requirements in this workspace
- Nút Cancel và Upload</t>
  </si>
  <si>
    <t>Valid from có điền sẵn ngày hôm nay không, và Valid until trước Valid from thì báo lỗi gì? (Figma hộp thoại Upload điền sẵn Valid from “20 Sep 2026”, hệ thống để trống; UC không nêu) → Q-EA-16</t>
  </si>
  <si>
    <t>Một file</t>
  </si>
  <si>
    <t>Bằng nút browse</t>
  </si>
  <si>
    <t>Assisted workspace_053</t>
  </si>
  <si>
    <t>Kiểm tra chọn một file bằng browse</t>
  </si>
  <si>
    <t xml:space="preserve">1. Mở chi tiết [Workspace] (màn Workspaces, bấm tên workspace)
2. Bấm nút Upload evidence
3. Bấm browse, chọn file ad-inactive-accounts.png (402 KB)</t>
  </si>
  <si>
    <t xml:space="preserve">- Dưới vùng kéo thả có dòng file: ad-inactive-accounts.png, Scanning for viruses… · 402 KB
- Ô Name được điền sẵn từ tên file</t>
  </si>
  <si>
    <t>Ô Name điền sẵn từ tên file thế nào (bỏ đuôi file, thay dấu gạch bằng khoảng trắng hay giữ nguyên)? (UC EVA-03: “titles from file names”; Figma ô Name ghi “AD inactive account policy – screenshot” cho file ad-inactive-accounts.png) → Q-EA-17</t>
  </si>
  <si>
    <t>Nhiều file</t>
  </si>
  <si>
    <t>Chọn ba file</t>
  </si>
  <si>
    <t>Assisted workspace_054</t>
  </si>
  <si>
    <t>Kiểm tra chọn ba file cùng lúc</t>
  </si>
  <si>
    <t xml:space="preserve">1. Mở chi tiết [Workspace] (màn Workspaces, bấm tên workspace)
2. Bấm nút Upload evidence
3. Bấm browse, chọn ba file a.pdf, b.pdf, c.pdf</t>
  </si>
  <si>
    <t xml:space="preserve">- Ba file được nhận một lần, mỗi file thành một evidence có title lấy từ tên file
- Valid from, Valid until, Also use for áp chung cho cả ba file</t>
  </si>
  <si>
    <t>Hộp thoại Upload chọn nhiều file thì hiện thế nào (mỗi file một dòng với ô Name riêng hay chung)? (UC EVA-03 và D21: nhiều file một lần, title từ tên file, metadata dùng chung; Figma chỉ có một dòng file và một ô Name) → Q-EA-18</t>
  </si>
  <si>
    <t>Kiểm tra bắt buộc</t>
  </si>
  <si>
    <t>File và Name</t>
  </si>
  <si>
    <t>Assisted workspace_055</t>
  </si>
  <si>
    <t>Kiểm tra bấm Upload khi chưa chọn file và chưa nhập Name</t>
  </si>
  <si>
    <t xml:space="preserve">1. Mở chi tiết [Workspace] (màn Workspaces, bấm tên workspace)
2. Bấm nút Upload evidence
3. Bấm nút Upload</t>
  </si>
  <si>
    <t xml:space="preserve">- Hộp thoại vẫn mở, không tạo evidence
- Dưới ô File: Choose a file.
- Dưới ô Name: Enter a name.</t>
  </si>
  <si>
    <t>Câu báo lỗi khi bỏ trống File và Name có đúng văn bản chính thức không? (hệ thống: “Choose a file.” và “Enter a name.”; UC D8 chỉ ghi không lưu được khi thiếu; Figma không có trạng thái lỗi) → Q-EA-19</t>
  </si>
  <si>
    <t>Thiếu một ô</t>
  </si>
  <si>
    <t>Có file, bỏ trống Name</t>
  </si>
  <si>
    <t>Assisted workspace_056</t>
  </si>
  <si>
    <t>Kiểm tra bấm Upload khi đã chọn file nhưng xoá Name</t>
  </si>
  <si>
    <t xml:space="preserve">1. Mở chi tiết [Workspace] (màn Workspaces, bấm tên workspace)
2. Bấm nút Upload evidence
3. Chọn file ad-inactive-accounts.png
4. Xoá hết nội dung ô Name
5. Bấm nút Upload</t>
  </si>
  <si>
    <t xml:space="preserve">- Hộp thoại vẫn mở, không tạo evidence
- Dưới ô Name: Enter a name.
- Không có lỗi ở ô File</t>
  </si>
  <si>
    <t>Có Name, chưa chọn file</t>
  </si>
  <si>
    <t>Assisted workspace_057</t>
  </si>
  <si>
    <t>Kiểm tra bấm Upload khi đã nhập Name nhưng chưa chọn file</t>
  </si>
  <si>
    <t xml:space="preserve">1. Mở chi tiết [Workspace] (màn Workspaces, bấm tên workspace)
2. Bấm nút Upload evidence
3. Nhập Name: Inactive account policy
4. Bấm nút Upload</t>
  </si>
  <si>
    <t xml:space="preserve">- Hộp thoại vẫn mở, không tạo evidence
- Dưới ô File: Choose a file.
- Không có lỗi ở ô Name</t>
  </si>
  <si>
    <t>Name</t>
  </si>
  <si>
    <t>Chỉ khoảng trắng</t>
  </si>
  <si>
    <t>Assisted workspace_058</t>
  </si>
  <si>
    <t>Kiểm tra Name chỉ có khoảng trắng</t>
  </si>
  <si>
    <t xml:space="preserve">1. Mở chi tiết [Workspace] (màn Workspaces, bấm tên workspace)
2. Bấm nút Upload evidence
3. Chọn file ad-inactive-accounts.png
4. Xoá nội dung ô Name, nhập ba dấu cách
5. Bấm nút Upload</t>
  </si>
  <si>
    <t xml:space="preserve">- Hộp thoại vẫn mở, không tạo evidence
- Dưới ô Name: Enter a name.</t>
  </si>
  <si>
    <t>Name có giới hạn độ dài không, và Name chỉ có khoảng trắng có bị coi là trống không? (UC D8 chỉ ghi Name bắt buộc) → Q-EA-20</t>
  </si>
  <si>
    <t>Name rất dài</t>
  </si>
  <si>
    <t>Assisted workspace_059</t>
  </si>
  <si>
    <t>Kiểm tra Name rất dài</t>
  </si>
  <si>
    <t xml:space="preserve">1. Mở chi tiết [Workspace] (màn Workspaces, bấm tên workspace)
2. Bấm nút Upload evidence
3. Chọn file ad-inactive-accounts.png
4. Nhập vào ô Name chuỗi 1000 ký tự
5. Bấm nút Upload</t>
  </si>
  <si>
    <t>Kích thước file</t>
  </si>
  <si>
    <t>Dưới giới hạn</t>
  </si>
  <si>
    <t>19,99 MB</t>
  </si>
  <si>
    <t>Assisted workspace_060</t>
  </si>
  <si>
    <t>Kiểm tra chọn file dưới 20 MB</t>
  </si>
  <si>
    <t xml:space="preserve">1. Mở chi tiết [Workspace] (màn Workspaces, bấm tên workspace)
2. Bấm nút Upload evidence
3. Chọn file big-ok.pdf (19,99 MB)</t>
  </si>
  <si>
    <t>- File được nhận, dưới vùng kéo thả có dòng big-ok.pdf · 19.99 MB</t>
  </si>
  <si>
    <t>Đúng giới hạn</t>
  </si>
  <si>
    <t>20 MB</t>
  </si>
  <si>
    <t>Assisted workspace_061</t>
  </si>
  <si>
    <t>Kiểm tra chọn file đúng 20 MB</t>
  </si>
  <si>
    <t xml:space="preserve">1. Mở chi tiết [Workspace] (màn Workspaces, bấm tên workspace)
2. Bấm nút Upload evidence
3. Chọn file big-20.pdf (đúng 20 MB)</t>
  </si>
  <si>
    <t>File đúng 20 MB có được nhận không (1 MB là 1.048.576 hay 1.000.000 byte), và file lớn hơn 20 MB báo lỗi gì? (Figma ghi “Any file type · up to 20 MB”; UC, hệ thống không nêu thông báo) → Q-EA-21</t>
  </si>
  <si>
    <t>Quá giới hạn</t>
  </si>
  <si>
    <t>Lớn hơn 20 MB</t>
  </si>
  <si>
    <t>Assisted workspace_062</t>
  </si>
  <si>
    <t xml:space="preserve">1. Mở chi tiết [Workspace] (màn Workspaces, bấm tên workspace)
2. Bấm nút Upload evidence
3. Chọn file big-over.pdf (21 MB)</t>
  </si>
  <si>
    <t xml:space="preserve">- File không được nhận, không có dòng file dưới vùng kéo thả
- Hiển thị thông báo lỗi kích thước</t>
  </si>
  <si>
    <t>File đặc biệt</t>
  </si>
  <si>
    <t>0 KB, .exe</t>
  </si>
  <si>
    <t>Assisted workspace_063</t>
  </si>
  <si>
    <t>Kiểm tra chọn file 0 KB và file .exe</t>
  </si>
  <si>
    <t xml:space="preserve">1. Mở chi tiết [Workspace] (màn Workspaces, bấm tên workspace)
2. Bấm nút Upload evidence
3. Chọn file empty.txt (0 KB)
4. Chọn file tool.exe</t>
  </si>
  <si>
    <t>File 0 KB và file thực thi (.exe) có được tải lên không? (Figma ghi “Any file type”; UC EVC-07: quét mã độc trước khi dùng) → Q-EA-22</t>
  </si>
  <si>
    <t>Ngày hiệu lực</t>
  </si>
  <si>
    <t>Chọn ngày</t>
  </si>
  <si>
    <t>Valid from và Valid until</t>
  </si>
  <si>
    <t>Assisted workspace_064</t>
  </si>
  <si>
    <t>Kiểm tra chọn ngày hiệu lực</t>
  </si>
  <si>
    <t xml:space="preserve">1. Mở chi tiết [Workspace] (màn Workspaces, bấm tên workspace)
2. Bấm nút Upload evidence
3. Bấm icon lịch ở Valid from, chọn 20/09/2026
4. Bấm icon lịch ở Valid until, chọn 20/09/2027</t>
  </si>
  <si>
    <t>- Valid from hiển thị 20 Sep 2026, Valid until hiển thị 20 Sep 2027 (định dạng DD MMM YYYY)</t>
  </si>
  <si>
    <t>Ngày sai</t>
  </si>
  <si>
    <t>Valid until trước Valid from</t>
  </si>
  <si>
    <t>Assisted workspace_065</t>
  </si>
  <si>
    <t>Kiểm tra Valid until trước Valid from</t>
  </si>
  <si>
    <t xml:space="preserve">1. Mở chi tiết [Workspace] (màn Workspaces, bấm tên workspace)
2. Bấm nút Upload evidence
3. Chọn file ad-inactive-accounts.png
4. Chọn Valid from 20/09/2026, Valid until 19/09/2026
5. Bấm nút Upload</t>
  </si>
  <si>
    <t>Valid until trước Valid from thì có báo lỗi không? (UC, Figma, hệ thống chưa nêu) → Q-EA-23</t>
  </si>
  <si>
    <t>Also use for</t>
  </si>
  <si>
    <t>Requirement khác</t>
  </si>
  <si>
    <t>Assisted workspace_066</t>
  </si>
  <si>
    <t>Kiểm tra danh sách ô Also use for</t>
  </si>
  <si>
    <t xml:space="preserve">1. Mở chi tiết [Workspace] (màn Workspaces, bấm tên workspace)
2. Bấm nút Upload evidence
3. Bấm ô Also use for</t>
  </si>
  <si>
    <t xml:space="preserve">- Danh sách liệt kê các requirement khác trong workspace
- Không có R.1.1.1 (requirement đang upload)</t>
  </si>
  <si>
    <t>Ô “Also use for” chọn được nhiều requirement không, có liệt kê requirement ngoài tier không, và evidence gắn vào expected evidence nào của requirement kia? (Figma ghi “Other requirements in this workspace”, một giá trị; UC không nêu) → Q-EA-24</t>
  </si>
  <si>
    <t>Hủy</t>
  </si>
  <si>
    <t>Cancel</t>
  </si>
  <si>
    <t>Assisted workspace_067</t>
  </si>
  <si>
    <t>Kiểm tra bấm Cancel trong hộp thoại Upload</t>
  </si>
  <si>
    <t xml:space="preserve">1. Mở chi tiết [Workspace] (màn Workspaces, bấm tên workspace)
2. Bấm nút Upload evidence
3. Chọn file ad-inactive-accounts.png
4. Bấm nút Cancel</t>
  </si>
  <si>
    <t xml:space="preserve">- Hộp thoại đóng
- R.1.1.1 vẫn Missing, không có evidence mới</t>
  </si>
  <si>
    <t>Đóng</t>
  </si>
  <si>
    <t>Bấm dấu ×</t>
  </si>
  <si>
    <t>Assisted workspace_068</t>
  </si>
  <si>
    <t>Kiểm tra bấm dấu × trong hộp thoại Upload</t>
  </si>
  <si>
    <t xml:space="preserve">1. Mở chi tiết [Workspace] (màn Workspaces, bấm tên workspace)
2. Bấm nút Upload evidence
3. Chọn file ad-inactive-accounts.png
4. Bấm dấu × ở góc phải hộp thoại</t>
  </si>
  <si>
    <t>Upload thành công</t>
  </si>
  <si>
    <t>Hiện dưới expected evidence</t>
  </si>
  <si>
    <t>Assisted workspace_069</t>
  </si>
  <si>
    <t>Kiểm tra evidence hiện dưới expected evidence sau khi upload</t>
  </si>
  <si>
    <t xml:space="preserve">1. Mở chi tiết [Workspace] (màn Workspaces, bấm tên workspace)
2. Bấm nút Upload evidence
3. Chọn file ad-inactive-accounts.png, giữ Name điền sẵn
4. Bấm nút Upload</t>
  </si>
  <si>
    <t xml:space="preserve">- Hộp thoại đóng
- Dưới EE-001 có dòng evidence mới: tên theo Name, tên file ad-inactive-accounts.png, Uploaded &lt;ngày hôm nay&gt; by &lt;tên người đăng nhập&gt;</t>
  </si>
  <si>
    <t>Số liệu</t>
  </si>
  <si>
    <t>Coverage tăng</t>
  </si>
  <si>
    <t>Assisted workspace_070</t>
  </si>
  <si>
    <t>Kiểm tra số liệu coverage sau khi upload evidence cho R.1.1.1</t>
  </si>
  <si>
    <t xml:space="preserve">1. Mở chi tiết [Workspace] (màn Workspaces, bấm tên workspace)
2. Bấm nút Upload evidence
3. Chọn file ad-inactive-accounts.png
4. Bấm nút Upload
5. Chờ file quét xong, kiểm tra cây và khung tóm tắt</t>
  </si>
  <si>
    <t xml:space="preserve">- R.1.1.1 có chip Provided; dòng đếm: 1 mandatory item · 1 provided
- Khung tóm tắt: 2% và dòng 1 of 61 requirements have their mandatory evidence · not a compliance decision
- Nhóm 1 Access Control (11 requirement): 9%
- Chip phần đầu trang: Preparing · 2% coverage</t>
  </si>
  <si>
    <t>Màn Workspaces</t>
  </si>
  <si>
    <t>Coverage ở danh sách</t>
  </si>
  <si>
    <t>Assisted workspace_071</t>
  </si>
  <si>
    <t>Kiểm tra coverage ở màn Workspaces sau khi upload</t>
  </si>
  <si>
    <t xml:space="preserve">1. Mở chi tiết [Workspace] (màn Workspaces, bấm tên workspace)
2. Bấm nút Upload evidence
3. Chọn file ad-inactive-accounts.png, bấm Upload, chờ quét xong
4. Bấm menu Workspaces ở menu trái</t>
  </si>
  <si>
    <t>- Dòng [Workspace]: cột Evidence coverage ghi 1 of 61 requirements và 2%</t>
  </si>
  <si>
    <t>UC-WSP-02</t>
  </si>
  <si>
    <t>Evidence Library</t>
  </si>
  <si>
    <t>Hiện trong thư viện</t>
  </si>
  <si>
    <t>Assisted workspace_072</t>
  </si>
  <si>
    <t>Kiểm tra evidence vừa upload hiện trong Evidence Library</t>
  </si>
  <si>
    <t xml:space="preserve">1. Mở chi tiết [Workspace] (màn Workspaces, bấm tên workspace)
2. Bấm nút Upload evidence
3. Chọn file ad-inactive-accounts.png, bấm Upload
4. Bấm nút Evidence library</t>
  </si>
  <si>
    <t xml:space="preserve">- Bảng Documents có dòng evidence mới: tên theo Name, tên file ad-inactive-accounts.png, Workspace Appendix 10 · 2022 · [System], Used for R.1.1.1, Uploaded &lt;tên người đăng nhập&gt; · &lt;ngày hôm nay&gt;
- Số trên tab All tăng 1</t>
  </si>
  <si>
    <t>Dùng cho requirement khác</t>
  </si>
  <si>
    <t>Assisted workspace_073</t>
  </si>
  <si>
    <t>Kiểm tra upload có chọn Also use for</t>
  </si>
  <si>
    <t xml:space="preserve">1. Mở chi tiết [Workspace] (màn Workspaces, bấm tên workspace)
2. Bấm nút Upload evidence
3. Chọn file ad-inactive-accounts.png
4. Chọn R.1.1.4 ở ô Also use for
5. Bấm nút Upload</t>
  </si>
  <si>
    <t xml:space="preserve">- Dòng evidence mới hiện ở R.1.1.1 với also used in R.1.1.4
- Chọn R.1.1.4: dòng evidence mới cũng hiện ở R.1.1.4 với also used in R.1.1.1</t>
  </si>
  <si>
    <t>Trạng thái quét</t>
  </si>
  <si>
    <t>Scanning</t>
  </si>
  <si>
    <t>Vừa upload xong</t>
  </si>
  <si>
    <t>Assisted workspace_074</t>
  </si>
  <si>
    <t>Kiểm tra trạng thái ngay sau khi upload</t>
  </si>
  <si>
    <t xml:space="preserve">1. Mở chi tiết [Workspace] (màn Workspaces, bấm tên workspace)
2. Bấm nút Upload evidence
3. Chọn file ad-inactive-accounts.png, bấm Upload
4. Kiểm tra dòng evidence ngay sau khi upload</t>
  </si>
  <si>
    <t>- Dòng evidence có trạng thái Scanning</t>
  </si>
  <si>
    <t>Trạng thái Scanning, Blocked, Scan failed hiện ở đâu trên dòng evidence, và requirement có tính Provided khi file chưa quét xong hoặc bị chặn không? Test bằng scanner thật hay file mẫu nào? (UC EVA-07 và EVC-07: quét trước khi dùng, scanner adapter còn chờ CrowdStrike; Figma chỉ có “Scanning for viruses…” trong hộp thoại và “scanned, clean” ở chi tiết) → Q-EA-25</t>
  </si>
  <si>
    <t>File bị chặn</t>
  </si>
  <si>
    <t>Assisted workspace_075</t>
  </si>
  <si>
    <t>Kiểm tra evidence khi file bị chặn</t>
  </si>
  <si>
    <t xml:space="preserve">1. Mở chi tiết [Workspace] (màn Workspaces, bấm tên workspace)
2. Bấm nút Upload evidence
3. Chọn file bị scanner chặn, bấm Upload
4. Chờ quét xong, kiểm tra dòng evidence và chip requirement</t>
  </si>
  <si>
    <t>- Dòng evidence có trạng thái Blocked</t>
  </si>
  <si>
    <t>Scan failed</t>
  </si>
  <si>
    <t>Quét lỗi</t>
  </si>
  <si>
    <t>Assisted workspace_076</t>
  </si>
  <si>
    <t>Kiểm tra evidence khi quét lỗi</t>
  </si>
  <si>
    <t xml:space="preserve">1. Mở chi tiết [Workspace] (màn Workspaces, bấm tên workspace)
2. Bấm nút Upload evidence
3. Chọn file, bấm Upload, để scanner trả lỗi
4. Kiểm tra dòng evidence</t>
  </si>
  <si>
    <t>- Dòng evidence có trạng thái Scan failed</t>
  </si>
  <si>
    <t>Trùng file</t>
  </si>
  <si>
    <t>Upload lại file đã có</t>
  </si>
  <si>
    <t>Assisted workspace_077</t>
  </si>
  <si>
    <t>Kiểm tra upload lại đúng file đã có</t>
  </si>
  <si>
    <t>Đăng nhập account Customer Admin; có [Workspace] Appendix 10 · 2022 · Medium của scope [System], chế độ Assisted; file ad-inactive-accounts.png đã upload cho R.1.1.1</t>
  </si>
  <si>
    <t xml:space="preserve">1. Mở chi tiết [Workspace] (màn Workspaces, bấm tên workspace)
2. Chọn requirement R.1.1.2
3. Bấm nút Upload evidence
4. Chọn file ad-inactive-accounts.png (cùng nội dung), bấm Upload</t>
  </si>
  <si>
    <t>Upload lại đúng file đã có (cùng nội dung) cho requirement khác thì hệ thống xử lý thế nào? (UC EVC-04: file giống hệt bị từ chối khi thêm version; EVA-03 chưa nêu) → Q-EA-26</t>
  </si>
  <si>
    <t>Link existing evidence</t>
  </si>
  <si>
    <t>Bấm Link existing evidence</t>
  </si>
  <si>
    <t>Assisted workspace_078</t>
  </si>
  <si>
    <t>Kiểm tra mở hộp thoại Link existing evidence</t>
  </si>
  <si>
    <t>Đăng nhập account Customer Admin; có [Workspace] Appendix 10 · 2022 · Medium của scope [System], chế độ Assisted; evidence Access control policy (access-control-policy-v3.pdf) gắn R.1.1.1 và R.1.2.1</t>
  </si>
  <si>
    <t xml:space="preserve">1. Mở chi tiết [Workspace] (màn Workspaces, bấm tên workspace)
2. Chọn requirement R.1.1.2
3. Bấm nút Link existing evidence</t>
  </si>
  <si>
    <t xml:space="preserve">- Hiện hộp thoại Link existing evidence, dấu × ở góc phải
- Dòng giải thích: Evidence already in this workspace. Linking doesn't copy the file; a new version updates every requirement that uses it.
- Ô Search evidence có icon kính lúp
- Danh sách evidence, mỗi dòng có ô tick, tên evidence, dòng phụ &lt;tên file&gt; · used in &lt;requirement&gt;
- Nút Cancel và nút Link</t>
  </si>
  <si>
    <t>UC-EVA-04</t>
  </si>
  <si>
    <t>Nút Link</t>
  </si>
  <si>
    <t>Chưa chọn</t>
  </si>
  <si>
    <t>Assisted workspace_079</t>
  </si>
  <si>
    <t>Kiểm tra nút Link khi chưa chọn evidence</t>
  </si>
  <si>
    <t>Đăng nhập account Customer Admin; có [Workspace] Appendix 10 · 2022 · Medium của scope [System], chế độ Assisted; evidence Access control policy gắn R.1.1.1</t>
  </si>
  <si>
    <t>- Nút Link màu xám, không bấm được</t>
  </si>
  <si>
    <t>Chọn một evidence</t>
  </si>
  <si>
    <t>Assisted workspace_080</t>
  </si>
  <si>
    <t>Kiểm tra nút Link khi chọn một evidence</t>
  </si>
  <si>
    <t xml:space="preserve">1. Mở chi tiết [Workspace] (màn Workspaces, bấm tên workspace)
2. Chọn requirement R.1.1.2
3. Bấm nút Link existing evidence
4. Tick evidence Access control policy</t>
  </si>
  <si>
    <t xml:space="preserve">- Ô tick của evidence được chọn có dấu tích
- Nút đổi thành Link 1 item, màu cam, bấm được</t>
  </si>
  <si>
    <t>Chọn hai evidence</t>
  </si>
  <si>
    <t>Assisted workspace_081</t>
  </si>
  <si>
    <t>Kiểm tra nút Link khi chọn hai evidence</t>
  </si>
  <si>
    <t>Đăng nhập account Customer Admin; có [Workspace] Appendix 10 · 2022 · Medium của scope [System], chế độ Assisted; có hai evidence gắn R.1.1.1</t>
  </si>
  <si>
    <t xml:space="preserve">1. Mở chi tiết [Workspace] (màn Workspaces, bấm tên workspace)
2. Chọn requirement R.1.1.2
3. Bấm nút Link existing evidence
4. Tick hai evidence</t>
  </si>
  <si>
    <t>Nút xác nhận hiện thế nào khi chọn nhiều evidence (“Link 2 items”?), và requirement một expected evidence có hai file thì dòng đếm “1 mandatory item · 1 provided” có đổi không? (Figma, hệ thống chỉ có “Link 1 item”) → Q-EA-29</t>
  </si>
  <si>
    <t>Tìm trong hộp thoại</t>
  </si>
  <si>
    <t>Một phần tên evidence</t>
  </si>
  <si>
    <t>Assisted workspace_082</t>
  </si>
  <si>
    <t>Kiểm tra tìm evidence trong hộp thoại Link</t>
  </si>
  <si>
    <t>Đăng nhập account Customer Admin; có [Workspace] Appendix 10 · 2022 · Medium của scope [System], chế độ Assisted; có evidence Access control policy và evidence Account review minutes Q2 gắn R.1.1.4</t>
  </si>
  <si>
    <t xml:space="preserve">1. Mở chi tiết [Workspace] (màn Workspaces, bấm tên workspace)
2. Chọn requirement R.1.1.2
3. Bấm nút Link existing evidence
4. Nhập Access vào ô Search evidence</t>
  </si>
  <si>
    <t>- Danh sách chỉ còn evidence có tên chứa Access</t>
  </si>
  <si>
    <t>Ô “Search evidence” tìm theo tên evidence hay cả tên file, và khi không có kết quả thì hiện gì? (Figma, hệ thống chỉ có ô tìm kiếm) → Q-EA-28</t>
  </si>
  <si>
    <t>Danh sách evidence</t>
  </si>
  <si>
    <t>Evidence chưa gắn</t>
  </si>
  <si>
    <t>Chưa dùng cho requirement nào</t>
  </si>
  <si>
    <t>Assisted workspace_083</t>
  </si>
  <si>
    <t>Kiểm tra evidence chưa gắn requirement nào trong danh sách</t>
  </si>
  <si>
    <t>Đăng nhập account Customer Admin; có [Workspace] Appendix 10 · 2022 · Medium của scope [System], chế độ Assisted; có evidence đã gỡ khỏi mọi requirement</t>
  </si>
  <si>
    <t>Dòng phụ của evidence chưa gắn requirement nào ghi gì trong danh sách Link (“not linked yet” như hệ thống, hay Not mapped như UC)? (UC EVA-07 và EVC-09: Not mapped; hệ thống ghi “not linked yet”; Figma chỉ có dòng “used in …”) → Q-EA-38</t>
  </si>
  <si>
    <t>Điều kiện</t>
  </si>
  <si>
    <t>Evidence chưa quét xong hoặc bị chặn</t>
  </si>
  <si>
    <t>Assisted workspace_084</t>
  </si>
  <si>
    <t>Kiểm tra danh sách không cho chọn evidence chưa sạch</t>
  </si>
  <si>
    <t>Đăng nhập account Customer Admin; có [Workspace] Appendix 10 · 2022 · Medium của scope [System], chế độ Assisted; có evidence Blocked và evidence đang Scanning</t>
  </si>
  <si>
    <t>Danh sách Link existing evidence gồm những evidence nào: có evidence Not mapped (upload từ Evidence Library), có evidence đã gắn sẵn requirement này, có evidence Blocked hoặc Scanning không? (UC EVA-04 “Only clean files”, EVC-09; Figma ghi “Evidence already in this workspace” và tick sẵn evidence đã dùng ở R.1.1.1; Figma Documents ghi “Each file belongs to one workspace” còn UC EVC-09 gắn evidence với scope) → Q-EA-27</t>
  </si>
  <si>
    <t>Phạm vi</t>
  </si>
  <si>
    <t>Evidence của workspace khác</t>
  </si>
  <si>
    <t>Assisted workspace_085</t>
  </si>
  <si>
    <t>Kiểm tra danh sách không có evidence của workspace khác</t>
  </si>
  <si>
    <t>Đăng nhập account Customer Admin; có [Workspace] Appendix 10 · 2022 · Medium của scope [System], chế độ Assisted; scope [System] có thêm workspace [Workspace khác] khác framework, đã có evidence</t>
  </si>
  <si>
    <t>- Danh sách không có evidence thuộc [Workspace khác] dù cùng scope</t>
  </si>
  <si>
    <t>Workspace chưa có evidence</t>
  </si>
  <si>
    <t>Assisted workspace_086</t>
  </si>
  <si>
    <t>Kiểm tra hộp thoại Link khi workspace chưa có evidence</t>
  </si>
  <si>
    <t xml:space="preserve">1. Mở chi tiết [Workspace] (màn Workspaces, bấm tên workspace)
2. Bấm nút Link existing evidence</t>
  </si>
  <si>
    <t xml:space="preserve">- Không có dòng evidence nào để chọn
- Hiển thị câu: Every file of this workspace is already linked here.
- Nút Link màu xám</t>
  </si>
  <si>
    <t>Khi không còn evidence nào để chọn thì hiện câu gì? (hệ thống hiện “Every file of this workspace is already linked here.” cả khi workspace chưa có evidence nào; Figma chưa có trạng thái này) → Q-EA-30</t>
  </si>
  <si>
    <t>Assisted workspace_087</t>
  </si>
  <si>
    <t>Kiểm tra bấm Cancel trong hộp thoại Link</t>
  </si>
  <si>
    <t xml:space="preserve">1. Mở chi tiết [Workspace] (màn Workspaces, bấm tên workspace)
2. Chọn requirement R.1.1.2
3. Bấm nút Link existing evidence
4. Tick evidence Access control policy
5. Bấm nút Cancel</t>
  </si>
  <si>
    <t xml:space="preserve">- Hộp thoại đóng
- R.1.1.2 không có evidence mới</t>
  </si>
  <si>
    <t>Liên kết thành công</t>
  </si>
  <si>
    <t>Một evidence</t>
  </si>
  <si>
    <t>Assisted workspace_088</t>
  </si>
  <si>
    <t>Kiểm tra evidence hiện dưới expected evidence sau khi link</t>
  </si>
  <si>
    <t>Đăng nhập account Customer Admin; có [Workspace] Appendix 10 · 2022 · Medium của scope [System], chế độ Assisted; R.1.1.2 chưa có evidence; evidence Access control policy sạch, gắn R.1.1.1</t>
  </si>
  <si>
    <t xml:space="preserve">1. Mở chi tiết [Workspace] (màn Workspaces, bấm tên workspace)
2. Chọn requirement R.1.1.2
3. Bấm nút Link existing evidence
4. Tick evidence Access control policy
5. Bấm nút Link 1 item</t>
  </si>
  <si>
    <t xml:space="preserve">- Hộp thoại đóng
- Dưới thẻ expected evidence của R.1.1.2 có dòng evidence Access control policy với also used in R.1.1.1
- R.1.1.2 có chip Provided</t>
  </si>
  <si>
    <t>Assisted workspace_089</t>
  </si>
  <si>
    <t>Kiểm tra số liệu coverage sau khi link evidence cho R.1.1.2</t>
  </si>
  <si>
    <t>Đăng nhập account Customer Admin; có [Workspace] Appendix 10 · 2022 · Medium của scope [System], chế độ Assisted; 1 of 61 requirement Provided (R.1.1.1 có evidence Access control policy sạch); R.1.1.2 chưa có evidence</t>
  </si>
  <si>
    <t xml:space="preserve">- Khung tóm tắt: 3% và dòng 2 of 61 requirements have their mandatory evidence · not a compliance decision
- Nhóm 1 Access Control (11 requirement): 18%
- Dòng evidence ở R.1.1.1 đổi thành also used in R.1.1.2</t>
  </si>
  <si>
    <t>Không sao chép</t>
  </si>
  <si>
    <t>Một file duy nhất</t>
  </si>
  <si>
    <t>Assisted workspace_090</t>
  </si>
  <si>
    <t>Kiểm tra link không tạo thêm file trong Evidence Library</t>
  </si>
  <si>
    <t xml:space="preserve">1. Mở chi tiết [Workspace] (màn Workspaces, bấm tên workspace)
2. Chọn requirement R.1.1.2
3. Bấm nút Link existing evidence
4. Tick evidence Access control policy, bấm Link 1 item
5. Bấm nút Evidence library</t>
  </si>
  <si>
    <t xml:space="preserve">- Documents chỉ có một dòng Access control policy
- Cột Used for của dòng đó ghi R.1.1.1, R.1.1.2</t>
  </si>
  <si>
    <t>Gỡ liên kết - Unlink</t>
  </si>
  <si>
    <t>Gỡ evidence</t>
  </si>
  <si>
    <t>Evidence duy nhất</t>
  </si>
  <si>
    <t>Requirement về Missing</t>
  </si>
  <si>
    <t>Assisted workspace_091</t>
  </si>
  <si>
    <t>Kiểm tra gỡ evidence duy nhất khỏi requirement</t>
  </si>
  <si>
    <t>Đăng nhập account Customer Admin; có [Workspace] Appendix 10 · 2022 · Medium của scope [System], chế độ Assisted; 1 of 61 requirement Provided (R.1.1.1 có evidence Access control policy chỉ gắn R.1.1.1)</t>
  </si>
  <si>
    <t xml:space="preserve">1. Mở chi tiết [Workspace] (màn Workspaces, bấm tên workspace)
2. Bấm icon mắt ở dòng evidence dưới EE-001
3. Bấm Unlink from R.1.1.1</t>
  </si>
  <si>
    <t xml:space="preserve">- Dòng evidence biến mất khỏi EE-001, thẻ không còn dòng evidence nào
- R.1.1.1 đổi chip Provided thành Missing; dòng đếm: 1 mandatory item · 0 provided
- Khung tóm tắt: 0% và dòng 0 of 61 requirements…; nhóm 1: 0%</t>
  </si>
  <si>
    <t>Có hộp thoại xác nhận trước khi gỡ liên kết không, và thông báo sau khi gỡ ghi gì? (hệ thống gỡ ngay, báo “Mapping removed from 4.1. The file stays in your library.”; UC EVA-05 chỉ ghi “The document stays in the library”; Figma chưa có) → Q-EA-31</t>
  </si>
  <si>
    <t>UC-EVA-05</t>
  </si>
  <si>
    <t>Evidence dùng hai nơi</t>
  </si>
  <si>
    <t>Requirement kia giữ nguyên</t>
  </si>
  <si>
    <t>Assisted workspace_092</t>
  </si>
  <si>
    <t>Kiểm tra gỡ evidence dùng cho hai requirement</t>
  </si>
  <si>
    <t xml:space="preserve">1. Mở chi tiết [Workspace] (màn Workspaces, bấm tên workspace)
2. Bấm icon mắt ở dòng evidence dưới EE-001
3. Bấm Unlink from R.1.1.1
4. Chọn requirement R.1.2.1</t>
  </si>
  <si>
    <t xml:space="preserve">- R.1.1.1 không còn dòng evidence
- R.1.2.1 vẫn có dòng evidence Access control policy và chip Provided</t>
  </si>
  <si>
    <t>Used for sau khi gỡ</t>
  </si>
  <si>
    <t>Assisted workspace_093</t>
  </si>
  <si>
    <t>Kiểm tra bảng Used for sau khi gỡ khỏi một requirement</t>
  </si>
  <si>
    <t>Đăng nhập account Customer Admin; có [Workspace] Appendix 10 · 2022 · Medium của scope [System], chế độ Assisted; evidence Access control policy gắn R.1.1.1 (EE-001) và R.1.2.1 (EE-009)</t>
  </si>
  <si>
    <t xml:space="preserve">1. Mở chi tiết [Workspace] (màn Workspaces, bấm tên workspace)
2. Bấm icon mắt ở dòng evidence dưới EE-001
3. Bấm Unlink from R.1.1.1
4. Chọn R.1.2.1, bấm icon mắt ở dòng evidence</t>
  </si>
  <si>
    <t>- Bảng Used for chỉ còn R.1.2.1 với EE-009</t>
  </si>
  <si>
    <t>Evidence còn trong thư viện</t>
  </si>
  <si>
    <t>Gỡ khỏi mọi requirement</t>
  </si>
  <si>
    <t>Evidence không bị xoá</t>
  </si>
  <si>
    <t>Assisted workspace_094</t>
  </si>
  <si>
    <t>Kiểm tra evidence còn trong Evidence Library sau khi gỡ</t>
  </si>
  <si>
    <t xml:space="preserve">1. Mở chi tiết [Workspace] (màn Workspaces, bấm tên workspace)
2. Bấm icon mắt ở dòng evidence dưới EE-001
3. Bấm Unlink from R.1.1.1
4. Bấm nút Evidence library</t>
  </si>
  <si>
    <t xml:space="preserve">- Documents vẫn có dòng Access control policy (file access-control-policy-v3.pdf)
- Cột Used for không còn R.1.1.1</t>
  </si>
  <si>
    <t>Evidence vừa gỡ khỏi mọi requirement hiện trong Evidence Library là “Not mapped” hay “Not linked”? (UC EVA-07 và EVC-09: Not mapped; Figma Documents: chip và tab “Not linked”; hệ thống: “Not linked to any requirement”) → Q-EA-32</t>
  </si>
  <si>
    <t>Xác nhận</t>
  </si>
  <si>
    <t>Trước khi gỡ</t>
  </si>
  <si>
    <t>Assisted workspace_095</t>
  </si>
  <si>
    <t>Kiểm tra hộp thoại xác nhận khi gỡ evidence</t>
  </si>
  <si>
    <t>Chủ sở hữu requirement - Owner</t>
  </si>
  <si>
    <t>Ô Owner</t>
  </si>
  <si>
    <t>Chưa gán owner</t>
  </si>
  <si>
    <t>Assisted workspace_096</t>
  </si>
  <si>
    <t>Kiểm tra ô Owner khi requirement chưa có owner</t>
  </si>
  <si>
    <t xml:space="preserve">1. Mở chi tiết [Workspace] (màn Workspaces, bấm tên workspace)
2. Kiểm tra ô Owner ở chi tiết R.1.1.1</t>
  </si>
  <si>
    <t>- Chi tiết requirement có ô Owner dạng danh sách chọn, chưa chọn người nào</t>
  </si>
  <si>
    <t>Chi tiết requirement có ô Owner không và chưa gán thì hiện gì? (UC EVA-06 có gán owner, hệ thống có ô Owner ghi “Nobody yet”; Figma Workspace / Requirement không có ô Owner) → Q-EA-33</t>
  </si>
  <si>
    <t>UC-EVA-06</t>
  </si>
  <si>
    <t>Người có quyền vào scope</t>
  </si>
  <si>
    <t>Assisted workspace_097</t>
  </si>
  <si>
    <t>Kiểm tra danh sách chọn owner</t>
  </si>
  <si>
    <t>Đăng nhập account Customer Admin; có [Workspace] Appendix 10 · 2022 · Medium của scope [System], chế độ Assisted, chưa có evidence nào; Linh Tran được gán scope [System], Mei Lin không được gán</t>
  </si>
  <si>
    <t xml:space="preserve">1. Mở chi tiết [Workspace] (màn Workspaces, bấm tên workspace)
2. Bấm ô Owner ở chi tiết R.1.1.1</t>
  </si>
  <si>
    <t xml:space="preserve">- Danh sách chỉ có người được vào scope [System] (Linh Tran)
- Không có Mei Lin (không được gán scope [System])</t>
  </si>
  <si>
    <t>Danh sách Owner có người Customer Viewer không, có chọn “bỏ owner” được không, và gán owner có gửi thông báo cho người đó không? (UC EVA-06 ghi “The owner must have access to the scope”; hệ thống chỉ liệt kê người có quyền vào scope) → Q-EA-34</t>
  </si>
  <si>
    <t>Gán owner</t>
  </si>
  <si>
    <t>Gán lần đầu</t>
  </si>
  <si>
    <t>Chọn một người</t>
  </si>
  <si>
    <t>Assisted workspace_098</t>
  </si>
  <si>
    <t>Kiểm tra gán owner cho requirement</t>
  </si>
  <si>
    <t xml:space="preserve">1. Mở chi tiết [Workspace] (màn Workspaces, bấm tên workspace)
2. Bấm ô Owner ở chi tiết R.1.1.1
3. Chọn Linh Tran
4. Tải lại trang, chọn requirement R.1.1.1 và R.1.1.2</t>
  </si>
  <si>
    <t xml:space="preserve">- Ô Owner của R.1.1.1 hiển thị Linh Tran, vẫn hiển thị sau khi tải lại trang
- Ô Owner của R.1.1.2 vẫn chưa chọn người nào</t>
  </si>
  <si>
    <t>Đổi owner</t>
  </si>
  <si>
    <t>Chọn người khác</t>
  </si>
  <si>
    <t>Assisted workspace_099</t>
  </si>
  <si>
    <t>Kiểm tra đổi owner của requirement</t>
  </si>
  <si>
    <t>Đăng nhập account Customer Admin; có [Workspace] Appendix 10 · 2022 · Medium của scope [System], chế độ Assisted, chưa có evidence nào; Linh Tran và Wei Chen đều được gán scope [System]; R.1.1.1 có owner Linh Tran</t>
  </si>
  <si>
    <t xml:space="preserve">1. Mở chi tiết [Workspace] (màn Workspaces, bấm tên workspace)
2. Bấm ô Owner ở chi tiết R.1.1.1
3. Chọn Wei Chen</t>
  </si>
  <si>
    <t>- Ô Owner của R.1.1.1 hiển thị Wei Chen thay cho Linh Tran</t>
  </si>
  <si>
    <t>Requirement theo tier - Effective scope</t>
  </si>
  <si>
    <t>Số requirement</t>
  </si>
  <si>
    <t>Tier Basic</t>
  </si>
  <si>
    <t>44 requirement</t>
  </si>
  <si>
    <t>Assisted workspace_100</t>
  </si>
  <si>
    <t>Kiểm tra số requirement của workspace Basic</t>
  </si>
  <si>
    <t>Đăng nhập account Customer Admin; có [Workspace Basic] Appendix 10 · 2022 · Basic của scope [System], chế độ Assisted, chưa có evidence</t>
  </si>
  <si>
    <t xml:space="preserve">1. Mở chi tiết [Workspace Basic] (màn Workspaces, bấm tên workspace)
2. Kiểm tra khung tóm tắt và dòng mã của các requirement</t>
  </si>
  <si>
    <t xml:space="preserve">- Khung tóm tắt ghi 0 of 44 requirements have their mandatory evidence · not a compliance decision
- Mọi requirement trong cây có nhãn from Basic</t>
  </si>
  <si>
    <t>Tier Medium</t>
  </si>
  <si>
    <t>61 requirement</t>
  </si>
  <si>
    <t>Assisted workspace_101</t>
  </si>
  <si>
    <t>Kiểm tra số requirement của workspace Medium</t>
  </si>
  <si>
    <t xml:space="preserve">1. Mở chi tiết [Workspace] (màn Workspaces, bấm tên workspace)
2. Kiểm tra khung tóm tắt</t>
  </si>
  <si>
    <t xml:space="preserve">- Khung tóm tắt ghi 0 of 61 requirements have their mandatory evidence · not a compliance decision
- Cây có requirement nhãn from Basic và from Medium, không có requirement chỉ thuộc tier High</t>
  </si>
  <si>
    <t>Tier High</t>
  </si>
  <si>
    <t>76 requirement</t>
  </si>
  <si>
    <t>Assisted workspace_102</t>
  </si>
  <si>
    <t>Kiểm tra số requirement của workspace High</t>
  </si>
  <si>
    <t>Đăng nhập account Customer Admin; có [Workspace High] Appendix 10 · 2022 · High của scope [System], chế độ Assisted, chưa có evidence</t>
  </si>
  <si>
    <t xml:space="preserve">1. Mở chi tiết [Workspace High] (màn Workspaces, bấm tên workspace)
2. Kiểm tra khung tóm tắt</t>
  </si>
  <si>
    <t>- Khung tóm tắt ghi 0 of 76 requirements have their mandatory evidence · not a compliance decision</t>
  </si>
  <si>
    <t>Requirement retired</t>
  </si>
  <si>
    <t>Không tính</t>
  </si>
  <si>
    <t>Assisted workspace_103</t>
  </si>
  <si>
    <t>Kiểm tra requirement retired không được tính</t>
  </si>
  <si>
    <t>Đăng nhập account Customer Admin; có workspace của framework có một requirement đã retired</t>
  </si>
  <si>
    <t xml:space="preserve">1. Mở chi tiết [Workspace] (màn Workspaces, bấm tên workspace)
2. Kiểm tra khung tóm tắt và cây</t>
  </si>
  <si>
    <t>Dữ liệu requirement retired tạo ở đâu và hiện thế nào trong workspace đã có từ trước? (UC WSP-06; Figma, hệ thống chưa có framework có requirement retired) → Q-EA-35</t>
  </si>
  <si>
    <t>Workspace đã Archive</t>
  </si>
  <si>
    <t>Mở workspace Archived</t>
  </si>
  <si>
    <t>Không ghi được</t>
  </si>
  <si>
    <t>Assisted workspace_104</t>
  </si>
  <si>
    <t>Kiểm tra workspace Archived chỉ đọc</t>
  </si>
  <si>
    <t>Đăng nhập account Customer Admin; có [Workspace Archived] đã Archive, đã có evidence</t>
  </si>
  <si>
    <t xml:space="preserve">1. Mở chi tiết [Workspace Archived] (màn Workspaces, bấm tên workspace)
2. Kiểm tra các nút Upload evidence, Link existing evidence, Unlink from &lt;requirement&gt;, ô Owner</t>
  </si>
  <si>
    <t>Workspace đã Archive hiện thế nào khi mở: nút Upload, Link, Gỡ, ô Owner bị ẩn hay vô hiệu, có dòng thông báo chỉ đọc không? (UC WSP-04 “Make the workspace read-only”; Figma, hệ thống chưa có workspace Archived) → Q-EA-36</t>
  </si>
  <si>
    <t>UC-WSP-04</t>
  </si>
  <si>
    <t>Xem</t>
  </si>
  <si>
    <t>Mở cây và chi tiết</t>
  </si>
  <si>
    <t>Assisted workspace_105</t>
  </si>
  <si>
    <t>Kiểm tra Customer User xem cây requirement và chi tiết</t>
  </si>
  <si>
    <t>Đăng nhập account Customer User; được gán scope [System]; có [Workspace] Appendix 10 · 2022 · Medium của scope [System], chế độ Assisted</t>
  </si>
  <si>
    <t>- Hiển thị cây requirement và chi tiết requirement như Customer Admin</t>
  </si>
  <si>
    <t>Upload, Link, Gỡ</t>
  </si>
  <si>
    <t>Có quyền</t>
  </si>
  <si>
    <t>Assisted workspace_106</t>
  </si>
  <si>
    <t>Kiểm tra Customer User có nút Upload và Link</t>
  </si>
  <si>
    <t>Đăng nhập account Customer User; được gán scope [System]; có [Workspace] Appendix 10 · 2022 · Medium của scope [System], chế độ Assisted; R.1.1.1 đã có evidence</t>
  </si>
  <si>
    <t xml:space="preserve">- Có nút Link existing evidence và Upload evidence
- Mở chi tiết evidence có nút Unlink from &lt;requirement&gt;</t>
  </si>
  <si>
    <t>Owner</t>
  </si>
  <si>
    <t>Không được gán owner</t>
  </si>
  <si>
    <t>Assisted workspace_107</t>
  </si>
  <si>
    <t>Kiểm tra Customer User không đổi được Owner</t>
  </si>
  <si>
    <t>- Ô Owner màu xám, không mở được danh sách chọn</t>
  </si>
  <si>
    <t>Assisted workspace_108</t>
  </si>
  <si>
    <t>Kiểm tra Customer Viewer xem cây requirement và chi tiết</t>
  </si>
  <si>
    <t>Đăng nhập account Customer Viewer; được gán scope [System]; có [Workspace] Appendix 10 · 2022 · Medium của scope [System], chế độ Assisted</t>
  </si>
  <si>
    <t>- Hiển thị cây requirement và chi tiết requirement</t>
  </si>
  <si>
    <t>Upload, Link</t>
  </si>
  <si>
    <t>Không có quyền</t>
  </si>
  <si>
    <t>Assisted workspace_109</t>
  </si>
  <si>
    <t>Kiểm tra Customer Viewer không có nút Upload và Link</t>
  </si>
  <si>
    <t>Đăng nhập account Customer Viewer; được gán scope [System]; có [Workspace] Appendix 10 · 2022 · Medium của scope [System], chế độ Assisted; R.1.1.1 đã có evidence</t>
  </si>
  <si>
    <t>- Không có nút Link existing evidence và Upload evidence</t>
  </si>
  <si>
    <t>Chỉ tải về</t>
  </si>
  <si>
    <t>Assisted workspace_110</t>
  </si>
  <si>
    <t>Kiểm tra Customer Viewer mở chi tiết evidence</t>
  </si>
  <si>
    <t xml:space="preserve">- Khung chi tiết hiển thị đủ thông tin
- Chân khung chỉ có nút Download, không có Unlink from R.1.1.1 và Upload new version</t>
  </si>
  <si>
    <t>Assisted workspace_111</t>
  </si>
  <si>
    <t>Kiểm tra Customer Viewer không đổi được Owner</t>
  </si>
  <si>
    <t>Phạm vi scope</t>
  </si>
  <si>
    <t>Workspace của scope không được gán</t>
  </si>
  <si>
    <t>Assisted workspace_112</t>
  </si>
  <si>
    <t>Kiểm tra mở workspace của scope không được gán bằng URL</t>
  </si>
  <si>
    <t>Đăng nhập account Customer User; được gán scope [System], không được gán scope [Organization]; scope [Organization] đã có workspace [Workspace Organization]</t>
  </si>
  <si>
    <t>1. Mở url chi tiết của [Workspace Organization]</t>
  </si>
  <si>
    <t>- Không hiển thị cây requirement và evidence của [Workspace Organization]</t>
  </si>
  <si>
    <t>Mở workspace của scope mà người dùng không được gán thì hiện trang gì? (hệ thống hiện “This workspace doesn't exist” / “It may have been removed, or it belongs to an organisation you can't see.” cho Customer User; Figma chưa có) → Q-EA-37</t>
  </si>
  <si>
    <t>Dữ liệu nhập</t>
  </si>
  <si>
    <t>Tên evidence</t>
  </si>
  <si>
    <t>Chứa mã HTML</t>
  </si>
  <si>
    <t>Assisted workspace_113</t>
  </si>
  <si>
    <t>Kiểm tra Name chứa mã HTML</t>
  </si>
  <si>
    <t xml:space="preserve">1. Mở chi tiết [Workspace] (màn Workspaces, bấm tên workspace)
2. Bấm nút Upload evidence
3. Chọn file ad-inactive-accounts.png
4. Nhập Name: &lt;img src=x onerror=alert(1)&gt;
5. Bấm Upload, chờ quét xong</t>
  </si>
  <si>
    <t xml:space="preserve">- Dòng evidence hiển thị đúng chuỗi &lt;img src=x onerror=alert(1)&gt; như văn bản
- Không chạy script, không hiện hộp thoại alert</t>
  </si>
  <si>
    <t>Tên file</t>
  </si>
  <si>
    <t>Assisted workspace_114</t>
  </si>
  <si>
    <t>Kiểm tra tên file chứa mã HTML</t>
  </si>
  <si>
    <t xml:space="preserve">1. Mở chi tiết [Workspace] (màn Workspaces, bấm tên workspace)
2. Bấm nút Upload evidence
3. Chọn file có tên &lt;b&gt;x&lt;/b&gt;.txt
4. Bấm Upload, chờ quét xong</t>
  </si>
  <si>
    <t>- Tên file ở dòng evidence và ở khung chi tiết hiển thị đúng chuỗi &lt;b&gt;x&lt;/b&gt;.txt như văn bản, không in đậm</t>
  </si>
  <si>
    <t>EVA-L0001_Evidence trong Assisted workspace</t>
  </si>
  <si>
    <t>Assisted workspace · Customer Portal</t>
  </si>
  <si>
    <t>UC v5.3 EVA-01..07, WSP-06 (P1 Use Cases, Decision log D5, D7, D8, D21, D41, D43) · Figma SGS-DTP-DS · Screens 05 Workspaces &amp; Evidence (Workspace / Requirement, Upload evidence, Link existing evidence, Evidence detail, Evidence library from workspace) · prototype (Customer Admin, Customer User, Customer Viewer)</t>
  </si>
  <si>
    <t>Assisted workspace</t>
  </si>
  <si>
    <t>1.13</t>
  </si>
  <si>
    <t>Thêm sheet Assisted workspace: cây requirement, chi tiết requirement, Upload evidence, Link existing evidence, gỡ liên kết, Owner, requirement theo tier, phân quyền, bảo mật; đọc đủ UC v5.3, Figma và hệ thống trước khi viết</t>
  </si>
  <si>
    <t>FB-065</t>
  </si>
  <si>
    <t>Version 1.13</t>
  </si>
  <si>
    <t>Case Customer Viewer xem danh sách: viết Expected vì UC v5.3 WSP-02 có Customer Viewer và hệ thống cho Customer Viewer xem danh sách; bỏ Q-W-11 ở case này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</si>
</sst>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20">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Fill="1" applyBorder="1" applyAlignment="1" quotePrefix="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4099</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111" t="s">
        <v>3384</v>
      </c>
      <c r="C25" s="112" t="s">
        <v>3387</v>
      </c>
      <c r="D25" s="113" t="s">
        <v>3386</v>
      </c>
      <c r="E25" s="114" t="s">
        <v>21</v>
      </c>
      <c r="F25" s="113" t="s">
        <v>3388</v>
      </c>
      <c r="G25" s="115" t="s">
        <v>3389</v>
      </c>
    </row>
    <row r="26" ht="15.75" customHeight="1">
      <c r="B26" s="111" t="s">
        <v>3384</v>
      </c>
      <c r="C26" s="112" t="s">
        <v>3391</v>
      </c>
      <c r="D26" s="113" t="s">
        <v>3386</v>
      </c>
      <c r="E26" s="114" t="s">
        <v>27</v>
      </c>
      <c r="F26" s="113" t="s">
        <v>3392</v>
      </c>
      <c r="G26" s="115" t="s">
        <v>3393</v>
      </c>
    </row>
    <row r="27" ht="15.75" customHeight="1">
      <c r="B27" s="111" t="s">
        <v>3384</v>
      </c>
      <c r="C27" s="112" t="s">
        <v>4096</v>
      </c>
      <c r="D27" s="113" t="s">
        <v>4095</v>
      </c>
      <c r="E27" s="114" t="s">
        <v>21</v>
      </c>
      <c r="F27" s="113" t="s">
        <v>4097</v>
      </c>
      <c r="G27" s="115" t="s">
        <v>4098</v>
      </c>
    </row>
    <row r="28" ht="15.75" customHeight="1">
      <c r="B28" s="111" t="s">
        <v>3384</v>
      </c>
      <c r="C28" s="112" t="s">
        <v>4096</v>
      </c>
      <c r="D28" s="113" t="s">
        <v>3386</v>
      </c>
      <c r="E28" s="114" t="s">
        <v>27</v>
      </c>
      <c r="F28" s="113" t="s">
        <v>4100</v>
      </c>
      <c r="G28" s="115" t="s">
        <v>4098</v>
      </c>
    </row>
    <row r="29" ht="15.75" customHeight="1">
      <c r="B29" s="34" t="s">
        <v>60</v>
      </c>
    </row>
    <row r="30" ht="15.75" customHeight="1">
      <c r="B30" s="1" t="s">
        <v>61</v>
      </c>
    </row>
    <row r="31" ht="15.75" customHeight="1">
      <c r="B31" s="1" t="s">
        <v>62</v>
      </c>
    </row>
    <row r="32" ht="15.75" customHeight="1">
      <c r="B32" s="1" t="s">
        <v>63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4095</v>
      </c>
      <c r="C64" s="42" t="s">
        <v>80</v>
      </c>
      <c r="D64" s="42" t="s">
        <v>3175</v>
      </c>
      <c r="E64" s="43">
        <f>F64/G64</f>
      </c>
      <c r="F64" s="44">
        <f>SUM(H64:L64)</f>
      </c>
      <c r="G64" s="44">
        <f>SUM(H64:M64)</f>
      </c>
      <c r="H64" s="44">
        <f>COUNTIF('Assisted workspace'!$M$13:$M$13,H$3)</f>
      </c>
      <c r="I64" s="44">
        <f>COUNTIF('Assisted workspace'!$M$13:$M$13,I$3)</f>
      </c>
      <c r="J64" s="44">
        <f>COUNTIF('Assisted workspace'!$M$13:$M$13,J$3)</f>
      </c>
      <c r="K64" s="44">
        <f>COUNTIF('Assisted workspace'!$M$13:$M$13,K$3)</f>
      </c>
      <c r="L64" s="44">
        <f>COUNTIF('Assisted workspace'!$M$13:$M$13,L$3)</f>
      </c>
      <c r="M64" s="44">
        <f>COUNTA('Assisted workspace'!$G$13:$G$13)-SUM(H64:L64)</f>
      </c>
      <c r="N64" s="43">
        <f>O64/P64</f>
      </c>
      <c r="O64" s="44">
        <f>SUM(Q64:U64)</f>
      </c>
      <c r="P64" s="44">
        <f>SUM(Q64:V64)</f>
      </c>
      <c r="Q64" s="44">
        <f>COUNTIF('Assisted workspace'!$R$13:$R$13,Q$3)</f>
      </c>
      <c r="R64" s="44">
        <f>COUNTIF('Assisted workspace'!$R$13:$R$13,R$3)</f>
      </c>
      <c r="S64" s="44">
        <f>COUNTIF('Assisted workspace'!$R$13:$R$13,S$3)</f>
      </c>
      <c r="T64" s="44">
        <f>COUNTIF('Assisted workspace'!$R$13:$R$13,T$3)</f>
      </c>
      <c r="U64" s="44">
        <f>COUNTIF('Assisted workspace'!$R$13:$R$13,U$3)</f>
      </c>
      <c r="V64" s="44">
        <f>COUNTA('Assisted workspace'!$G$13:$G$13)-SUM(Q64:U64)</f>
      </c>
    </row>
    <row r="65" ht="15.75" customHeight="1">
      <c r="A65"/>
      <c r="B65" s="45"/>
      <c r="C65" s="42" t="s">
        <v>80</v>
      </c>
      <c r="D65" s="42" t="s">
        <v>3401</v>
      </c>
      <c r="E65" s="43">
        <f>F65/G65</f>
      </c>
      <c r="F65" s="44">
        <f>SUM(H65:L65)</f>
      </c>
      <c r="G65" s="44">
        <f>SUM(H65:M65)</f>
      </c>
      <c r="H65" s="44">
        <f>COUNTIF('Assisted workspace'!$M$14:$M$15,H$3)</f>
      </c>
      <c r="I65" s="44">
        <f>COUNTIF('Assisted workspace'!$M$14:$M$15,I$3)</f>
      </c>
      <c r="J65" s="44">
        <f>COUNTIF('Assisted workspace'!$M$14:$M$15,J$3)</f>
      </c>
      <c r="K65" s="44">
        <f>COUNTIF('Assisted workspace'!$M$14:$M$15,K$3)</f>
      </c>
      <c r="L65" s="44">
        <f>COUNTIF('Assisted workspace'!$M$14:$M$15,L$3)</f>
      </c>
      <c r="M65" s="44">
        <f>COUNTA('Assisted workspace'!$G$14:$G$15)-SUM(H65:L65)</f>
      </c>
      <c r="N65" s="43">
        <f>O65/P65</f>
      </c>
      <c r="O65" s="44">
        <f>SUM(Q65:U65)</f>
      </c>
      <c r="P65" s="44">
        <f>SUM(Q65:V65)</f>
      </c>
      <c r="Q65" s="44">
        <f>COUNTIF('Assisted workspace'!$R$14:$R$15,Q$3)</f>
      </c>
      <c r="R65" s="44">
        <f>COUNTIF('Assisted workspace'!$R$14:$R$15,R$3)</f>
      </c>
      <c r="S65" s="44">
        <f>COUNTIF('Assisted workspace'!$R$14:$R$15,S$3)</f>
      </c>
      <c r="T65" s="44">
        <f>COUNTIF('Assisted workspace'!$R$14:$R$15,T$3)</f>
      </c>
      <c r="U65" s="44">
        <f>COUNTIF('Assisted workspace'!$R$14:$R$15,U$3)</f>
      </c>
      <c r="V65" s="44">
        <f>COUNTA('Assisted workspace'!$G$14:$G$15)-SUM(Q65:U65)</f>
      </c>
    </row>
    <row r="66" ht="15.75" customHeight="1">
      <c r="A66"/>
      <c r="B66" s="45"/>
      <c r="C66" s="42" t="s">
        <v>3415</v>
      </c>
      <c r="D66" s="42" t="s">
        <v>3416</v>
      </c>
      <c r="E66" s="43">
        <f>F66/G66</f>
      </c>
      <c r="F66" s="44">
        <f>SUM(H66:L66)</f>
      </c>
      <c r="G66" s="44">
        <f>SUM(H66:M66)</f>
      </c>
      <c r="H66" s="44">
        <f>COUNTIF('Assisted workspace'!$M$16:$M$17,H$3)</f>
      </c>
      <c r="I66" s="44">
        <f>COUNTIF('Assisted workspace'!$M$16:$M$17,I$3)</f>
      </c>
      <c r="J66" s="44">
        <f>COUNTIF('Assisted workspace'!$M$16:$M$17,J$3)</f>
      </c>
      <c r="K66" s="44">
        <f>COUNTIF('Assisted workspace'!$M$16:$M$17,K$3)</f>
      </c>
      <c r="L66" s="44">
        <f>COUNTIF('Assisted workspace'!$M$16:$M$17,L$3)</f>
      </c>
      <c r="M66" s="44">
        <f>COUNTA('Assisted workspace'!$G$16:$G$17)-SUM(H66:L66)</f>
      </c>
      <c r="N66" s="43">
        <f>O66/P66</f>
      </c>
      <c r="O66" s="44">
        <f>SUM(Q66:U66)</f>
      </c>
      <c r="P66" s="44">
        <f>SUM(Q66:V66)</f>
      </c>
      <c r="Q66" s="44">
        <f>COUNTIF('Assisted workspace'!$R$16:$R$17,Q$3)</f>
      </c>
      <c r="R66" s="44">
        <f>COUNTIF('Assisted workspace'!$R$16:$R$17,R$3)</f>
      </c>
      <c r="S66" s="44">
        <f>COUNTIF('Assisted workspace'!$R$16:$R$17,S$3)</f>
      </c>
      <c r="T66" s="44">
        <f>COUNTIF('Assisted workspace'!$R$16:$R$17,T$3)</f>
      </c>
      <c r="U66" s="44">
        <f>COUNTIF('Assisted workspace'!$R$16:$R$17,U$3)</f>
      </c>
      <c r="V66" s="44">
        <f>COUNTA('Assisted workspace'!$G$16:$G$17)-SUM(Q66:U66)</f>
      </c>
    </row>
    <row r="67" ht="15.75" customHeight="1">
      <c r="A67"/>
      <c r="B67" s="45"/>
      <c r="C67" s="42" t="s">
        <v>3415</v>
      </c>
      <c r="D67" s="42" t="s">
        <v>3430</v>
      </c>
      <c r="E67" s="43">
        <f>F67/G67</f>
      </c>
      <c r="F67" s="44">
        <f>SUM(H67:L67)</f>
      </c>
      <c r="G67" s="44">
        <f>SUM(H67:M67)</f>
      </c>
      <c r="H67" s="44">
        <f>COUNTIF('Assisted workspace'!$M$18:$M$19,H$3)</f>
      </c>
      <c r="I67" s="44">
        <f>COUNTIF('Assisted workspace'!$M$18:$M$19,I$3)</f>
      </c>
      <c r="J67" s="44">
        <f>COUNTIF('Assisted workspace'!$M$18:$M$19,J$3)</f>
      </c>
      <c r="K67" s="44">
        <f>COUNTIF('Assisted workspace'!$M$18:$M$19,K$3)</f>
      </c>
      <c r="L67" s="44">
        <f>COUNTIF('Assisted workspace'!$M$18:$M$19,L$3)</f>
      </c>
      <c r="M67" s="44">
        <f>COUNTA('Assisted workspace'!$G$18:$G$19)-SUM(H67:L67)</f>
      </c>
      <c r="N67" s="43">
        <f>O67/P67</f>
      </c>
      <c r="O67" s="44">
        <f>SUM(Q67:U67)</f>
      </c>
      <c r="P67" s="44">
        <f>SUM(Q67:V67)</f>
      </c>
      <c r="Q67" s="44">
        <f>COUNTIF('Assisted workspace'!$R$18:$R$19,Q$3)</f>
      </c>
      <c r="R67" s="44">
        <f>COUNTIF('Assisted workspace'!$R$18:$R$19,R$3)</f>
      </c>
      <c r="S67" s="44">
        <f>COUNTIF('Assisted workspace'!$R$18:$R$19,S$3)</f>
      </c>
      <c r="T67" s="44">
        <f>COUNTIF('Assisted workspace'!$R$18:$R$19,T$3)</f>
      </c>
      <c r="U67" s="44">
        <f>COUNTIF('Assisted workspace'!$R$18:$R$19,U$3)</f>
      </c>
      <c r="V67" s="44">
        <f>COUNTA('Assisted workspace'!$G$18:$G$19)-SUM(Q67:U67)</f>
      </c>
    </row>
    <row r="68" ht="31.5" customHeight="1">
      <c r="A68"/>
      <c r="B68" s="45"/>
      <c r="C68" s="42" t="s">
        <v>3444</v>
      </c>
      <c r="D68" s="42" t="s">
        <v>3445</v>
      </c>
      <c r="E68" s="43">
        <f>F68/G68</f>
      </c>
      <c r="F68" s="44">
        <f>SUM(H68:L68)</f>
      </c>
      <c r="G68" s="44">
        <f>SUM(H68:M68)</f>
      </c>
      <c r="H68" s="44">
        <f>COUNTIF('Assisted workspace'!$M$20:$M$25,H$3)</f>
      </c>
      <c r="I68" s="44">
        <f>COUNTIF('Assisted workspace'!$M$20:$M$25,I$3)</f>
      </c>
      <c r="J68" s="44">
        <f>COUNTIF('Assisted workspace'!$M$20:$M$25,J$3)</f>
      </c>
      <c r="K68" s="44">
        <f>COUNTIF('Assisted workspace'!$M$20:$M$25,K$3)</f>
      </c>
      <c r="L68" s="44">
        <f>COUNTIF('Assisted workspace'!$M$20:$M$25,L$3)</f>
      </c>
      <c r="M68" s="44">
        <f>COUNTA('Assisted workspace'!$G$20:$G$25)-SUM(H68:L68)</f>
      </c>
      <c r="N68" s="43">
        <f>O68/P68</f>
      </c>
      <c r="O68" s="44">
        <f>SUM(Q68:U68)</f>
      </c>
      <c r="P68" s="44">
        <f>SUM(Q68:V68)</f>
      </c>
      <c r="Q68" s="44">
        <f>COUNTIF('Assisted workspace'!$R$20:$R$25,Q$3)</f>
      </c>
      <c r="R68" s="44">
        <f>COUNTIF('Assisted workspace'!$R$20:$R$25,R$3)</f>
      </c>
      <c r="S68" s="44">
        <f>COUNTIF('Assisted workspace'!$R$20:$R$25,S$3)</f>
      </c>
      <c r="T68" s="44">
        <f>COUNTIF('Assisted workspace'!$R$20:$R$25,T$3)</f>
      </c>
      <c r="U68" s="44">
        <f>COUNTIF('Assisted workspace'!$R$20:$R$25,U$3)</f>
      </c>
      <c r="V68" s="44">
        <f>COUNTA('Assisted workspace'!$G$20:$G$25)-SUM(Q68:U68)</f>
      </c>
    </row>
    <row r="69" ht="31.5" customHeight="1">
      <c r="A69"/>
      <c r="B69" s="45"/>
      <c r="C69" s="42" t="s">
        <v>3444</v>
      </c>
      <c r="D69" s="42" t="s">
        <v>3478</v>
      </c>
      <c r="E69" s="43">
        <f>F69/G69</f>
      </c>
      <c r="F69" s="44">
        <f>SUM(H69:L69)</f>
      </c>
      <c r="G69" s="44">
        <f>SUM(H69:M69)</f>
      </c>
      <c r="H69" s="44">
        <f>COUNTIF('Assisted workspace'!$M$26:$M$30,H$3)</f>
      </c>
      <c r="I69" s="44">
        <f>COUNTIF('Assisted workspace'!$M$26:$M$30,I$3)</f>
      </c>
      <c r="J69" s="44">
        <f>COUNTIF('Assisted workspace'!$M$26:$M$30,J$3)</f>
      </c>
      <c r="K69" s="44">
        <f>COUNTIF('Assisted workspace'!$M$26:$M$30,K$3)</f>
      </c>
      <c r="L69" s="44">
        <f>COUNTIF('Assisted workspace'!$M$26:$M$30,L$3)</f>
      </c>
      <c r="M69" s="44">
        <f>COUNTA('Assisted workspace'!$G$26:$G$30)-SUM(H69:L69)</f>
      </c>
      <c r="N69" s="43">
        <f>O69/P69</f>
      </c>
      <c r="O69" s="44">
        <f>SUM(Q69:U69)</f>
      </c>
      <c r="P69" s="44">
        <f>SUM(Q69:V69)</f>
      </c>
      <c r="Q69" s="44">
        <f>COUNTIF('Assisted workspace'!$R$26:$R$30,Q$3)</f>
      </c>
      <c r="R69" s="44">
        <f>COUNTIF('Assisted workspace'!$R$26:$R$30,R$3)</f>
      </c>
      <c r="S69" s="44">
        <f>COUNTIF('Assisted workspace'!$R$26:$R$30,S$3)</f>
      </c>
      <c r="T69" s="44">
        <f>COUNTIF('Assisted workspace'!$R$26:$R$30,T$3)</f>
      </c>
      <c r="U69" s="44">
        <f>COUNTIF('Assisted workspace'!$R$26:$R$30,U$3)</f>
      </c>
      <c r="V69" s="44">
        <f>COUNTA('Assisted workspace'!$G$26:$G$30)-SUM(Q69:U69)</f>
      </c>
    </row>
    <row r="70" ht="31.5" customHeight="1">
      <c r="A70"/>
      <c r="B70" s="45"/>
      <c r="C70" s="42" t="s">
        <v>3444</v>
      </c>
      <c r="D70" s="42" t="s">
        <v>3510</v>
      </c>
      <c r="E70" s="43">
        <f>F70/G70</f>
      </c>
      <c r="F70" s="44">
        <f>SUM(H70:L70)</f>
      </c>
      <c r="G70" s="44">
        <f>SUM(H70:M70)</f>
      </c>
      <c r="H70" s="44">
        <f>COUNTIF('Assisted workspace'!$M$31:$M$37,H$3)</f>
      </c>
      <c r="I70" s="44">
        <f>COUNTIF('Assisted workspace'!$M$31:$M$37,I$3)</f>
      </c>
      <c r="J70" s="44">
        <f>COUNTIF('Assisted workspace'!$M$31:$M$37,J$3)</f>
      </c>
      <c r="K70" s="44">
        <f>COUNTIF('Assisted workspace'!$M$31:$M$37,K$3)</f>
      </c>
      <c r="L70" s="44">
        <f>COUNTIF('Assisted workspace'!$M$31:$M$37,L$3)</f>
      </c>
      <c r="M70" s="44">
        <f>COUNTA('Assisted workspace'!$G$31:$G$37)-SUM(H70:L70)</f>
      </c>
      <c r="N70" s="43">
        <f>O70/P70</f>
      </c>
      <c r="O70" s="44">
        <f>SUM(Q70:U70)</f>
      </c>
      <c r="P70" s="44">
        <f>SUM(Q70:V70)</f>
      </c>
      <c r="Q70" s="44">
        <f>COUNTIF('Assisted workspace'!$R$31:$R$37,Q$3)</f>
      </c>
      <c r="R70" s="44">
        <f>COUNTIF('Assisted workspace'!$R$31:$R$37,R$3)</f>
      </c>
      <c r="S70" s="44">
        <f>COUNTIF('Assisted workspace'!$R$31:$R$37,S$3)</f>
      </c>
      <c r="T70" s="44">
        <f>COUNTIF('Assisted workspace'!$R$31:$R$37,T$3)</f>
      </c>
      <c r="U70" s="44">
        <f>COUNTIF('Assisted workspace'!$R$31:$R$37,U$3)</f>
      </c>
      <c r="V70" s="44">
        <f>COUNTA('Assisted workspace'!$G$31:$G$37)-SUM(Q70:U70)</f>
      </c>
    </row>
    <row r="71" ht="31.5" customHeight="1">
      <c r="A71"/>
      <c r="B71" s="45"/>
      <c r="C71" s="42" t="s">
        <v>3444</v>
      </c>
      <c r="D71" s="42" t="s">
        <v>3248</v>
      </c>
      <c r="E71" s="43">
        <f>F71/G71</f>
      </c>
      <c r="F71" s="44">
        <f>SUM(H71:L71)</f>
      </c>
      <c r="G71" s="44">
        <f>SUM(H71:M71)</f>
      </c>
      <c r="H71" s="44">
        <f>COUNTIF('Assisted workspace'!$M$38:$M$43,H$3)</f>
      </c>
      <c r="I71" s="44">
        <f>COUNTIF('Assisted workspace'!$M$38:$M$43,I$3)</f>
      </c>
      <c r="J71" s="44">
        <f>COUNTIF('Assisted workspace'!$M$38:$M$43,J$3)</f>
      </c>
      <c r="K71" s="44">
        <f>COUNTIF('Assisted workspace'!$M$38:$M$43,K$3)</f>
      </c>
      <c r="L71" s="44">
        <f>COUNTIF('Assisted workspace'!$M$38:$M$43,L$3)</f>
      </c>
      <c r="M71" s="44">
        <f>COUNTA('Assisted workspace'!$G$38:$G$43)-SUM(H71:L71)</f>
      </c>
      <c r="N71" s="43">
        <f>O71/P71</f>
      </c>
      <c r="O71" s="44">
        <f>SUM(Q71:U71)</f>
      </c>
      <c r="P71" s="44">
        <f>SUM(Q71:V71)</f>
      </c>
      <c r="Q71" s="44">
        <f>COUNTIF('Assisted workspace'!$R$38:$R$43,Q$3)</f>
      </c>
      <c r="R71" s="44">
        <f>COUNTIF('Assisted workspace'!$R$38:$R$43,R$3)</f>
      </c>
      <c r="S71" s="44">
        <f>COUNTIF('Assisted workspace'!$R$38:$R$43,S$3)</f>
      </c>
      <c r="T71" s="44">
        <f>COUNTIF('Assisted workspace'!$R$38:$R$43,T$3)</f>
      </c>
      <c r="U71" s="44">
        <f>COUNTIF('Assisted workspace'!$R$38:$R$43,U$3)</f>
      </c>
      <c r="V71" s="44">
        <f>COUNTA('Assisted workspace'!$G$38:$G$43)-SUM(Q71:U71)</f>
      </c>
    </row>
    <row r="72" ht="31.5" customHeight="1">
      <c r="A72"/>
      <c r="B72" s="45"/>
      <c r="C72" s="42" t="s">
        <v>3573</v>
      </c>
      <c r="D72" s="42" t="s">
        <v>3574</v>
      </c>
      <c r="E72" s="43">
        <f>F72/G72</f>
      </c>
      <c r="F72" s="44">
        <f>SUM(H72:L72)</f>
      </c>
      <c r="G72" s="44">
        <f>SUM(H72:M72)</f>
      </c>
      <c r="H72" s="44">
        <f>COUNTIF('Assisted workspace'!$M$44:$M$50,H$3)</f>
      </c>
      <c r="I72" s="44">
        <f>COUNTIF('Assisted workspace'!$M$44:$M$50,I$3)</f>
      </c>
      <c r="J72" s="44">
        <f>COUNTIF('Assisted workspace'!$M$44:$M$50,J$3)</f>
      </c>
      <c r="K72" s="44">
        <f>COUNTIF('Assisted workspace'!$M$44:$M$50,K$3)</f>
      </c>
      <c r="L72" s="44">
        <f>COUNTIF('Assisted workspace'!$M$44:$M$50,L$3)</f>
      </c>
      <c r="M72" s="44">
        <f>COUNTA('Assisted workspace'!$G$44:$G$50)-SUM(H72:L72)</f>
      </c>
      <c r="N72" s="43">
        <f>O72/P72</f>
      </c>
      <c r="O72" s="44">
        <f>SUM(Q72:U72)</f>
      </c>
      <c r="P72" s="44">
        <f>SUM(Q72:V72)</f>
      </c>
      <c r="Q72" s="44">
        <f>COUNTIF('Assisted workspace'!$R$44:$R$50,Q$3)</f>
      </c>
      <c r="R72" s="44">
        <f>COUNTIF('Assisted workspace'!$R$44:$R$50,R$3)</f>
      </c>
      <c r="S72" s="44">
        <f>COUNTIF('Assisted workspace'!$R$44:$R$50,S$3)</f>
      </c>
      <c r="T72" s="44">
        <f>COUNTIF('Assisted workspace'!$R$44:$R$50,T$3)</f>
      </c>
      <c r="U72" s="44">
        <f>COUNTIF('Assisted workspace'!$R$44:$R$50,U$3)</f>
      </c>
      <c r="V72" s="44">
        <f>COUNTA('Assisted workspace'!$G$44:$G$50)-SUM(Q72:U72)</f>
      </c>
    </row>
    <row r="73" ht="31.5" customHeight="1">
      <c r="A73"/>
      <c r="B73" s="45"/>
      <c r="C73" s="42" t="s">
        <v>3573</v>
      </c>
      <c r="D73" s="42" t="s">
        <v>3617</v>
      </c>
      <c r="E73" s="43">
        <f>F73/G73</f>
      </c>
      <c r="F73" s="44">
        <f>SUM(H73:L73)</f>
      </c>
      <c r="G73" s="44">
        <f>SUM(H73:M73)</f>
      </c>
      <c r="H73" s="44">
        <f>COUNTIF('Assisted workspace'!$M$51:$M$55,H$3)</f>
      </c>
      <c r="I73" s="44">
        <f>COUNTIF('Assisted workspace'!$M$51:$M$55,I$3)</f>
      </c>
      <c r="J73" s="44">
        <f>COUNTIF('Assisted workspace'!$M$51:$M$55,J$3)</f>
      </c>
      <c r="K73" s="44">
        <f>COUNTIF('Assisted workspace'!$M$51:$M$55,K$3)</f>
      </c>
      <c r="L73" s="44">
        <f>COUNTIF('Assisted workspace'!$M$51:$M$55,L$3)</f>
      </c>
      <c r="M73" s="44">
        <f>COUNTA('Assisted workspace'!$G$51:$G$55)-SUM(H73:L73)</f>
      </c>
      <c r="N73" s="43">
        <f>O73/P73</f>
      </c>
      <c r="O73" s="44">
        <f>SUM(Q73:U73)</f>
      </c>
      <c r="P73" s="44">
        <f>SUM(Q73:V73)</f>
      </c>
      <c r="Q73" s="44">
        <f>COUNTIF('Assisted workspace'!$R$51:$R$55,Q$3)</f>
      </c>
      <c r="R73" s="44">
        <f>COUNTIF('Assisted workspace'!$R$51:$R$55,R$3)</f>
      </c>
      <c r="S73" s="44">
        <f>COUNTIF('Assisted workspace'!$R$51:$R$55,S$3)</f>
      </c>
      <c r="T73" s="44">
        <f>COUNTIF('Assisted workspace'!$R$51:$R$55,T$3)</f>
      </c>
      <c r="U73" s="44">
        <f>COUNTIF('Assisted workspace'!$R$51:$R$55,U$3)</f>
      </c>
      <c r="V73" s="44">
        <f>COUNTA('Assisted workspace'!$G$51:$G$55)-SUM(Q73:U73)</f>
      </c>
    </row>
    <row r="74" ht="31.5" customHeight="1">
      <c r="A74"/>
      <c r="B74" s="45"/>
      <c r="C74" s="42" t="s">
        <v>3573</v>
      </c>
      <c r="D74" s="42" t="s">
        <v>3644</v>
      </c>
      <c r="E74" s="43">
        <f>F74/G74</f>
      </c>
      <c r="F74" s="44">
        <f>SUM(H74:L74)</f>
      </c>
      <c r="G74" s="44">
        <f>SUM(H74:M74)</f>
      </c>
      <c r="H74" s="44">
        <f>COUNTIF('Assisted workspace'!$M$56:$M$61,H$3)</f>
      </c>
      <c r="I74" s="44">
        <f>COUNTIF('Assisted workspace'!$M$56:$M$61,I$3)</f>
      </c>
      <c r="J74" s="44">
        <f>COUNTIF('Assisted workspace'!$M$56:$M$61,J$3)</f>
      </c>
      <c r="K74" s="44">
        <f>COUNTIF('Assisted workspace'!$M$56:$M$61,K$3)</f>
      </c>
      <c r="L74" s="44">
        <f>COUNTIF('Assisted workspace'!$M$56:$M$61,L$3)</f>
      </c>
      <c r="M74" s="44">
        <f>COUNTA('Assisted workspace'!$G$56:$G$61)-SUM(H74:L74)</f>
      </c>
      <c r="N74" s="43">
        <f>O74/P74</f>
      </c>
      <c r="O74" s="44">
        <f>SUM(Q74:U74)</f>
      </c>
      <c r="P74" s="44">
        <f>SUM(Q74:V74)</f>
      </c>
      <c r="Q74" s="44">
        <f>COUNTIF('Assisted workspace'!$R$56:$R$61,Q$3)</f>
      </c>
      <c r="R74" s="44">
        <f>COUNTIF('Assisted workspace'!$R$56:$R$61,R$3)</f>
      </c>
      <c r="S74" s="44">
        <f>COUNTIF('Assisted workspace'!$R$56:$R$61,S$3)</f>
      </c>
      <c r="T74" s="44">
        <f>COUNTIF('Assisted workspace'!$R$56:$R$61,T$3)</f>
      </c>
      <c r="U74" s="44">
        <f>COUNTIF('Assisted workspace'!$R$56:$R$61,U$3)</f>
      </c>
      <c r="V74" s="44">
        <f>COUNTA('Assisted workspace'!$G$56:$G$61)-SUM(Q74:U74)</f>
      </c>
    </row>
    <row r="75" ht="31.5" customHeight="1">
      <c r="A75"/>
      <c r="B75" s="45"/>
      <c r="C75" s="42" t="s">
        <v>3573</v>
      </c>
      <c r="D75" s="42" t="s">
        <v>3680</v>
      </c>
      <c r="E75" s="43">
        <f>F75/G75</f>
      </c>
      <c r="F75" s="44">
        <f>SUM(H75:L75)</f>
      </c>
      <c r="G75" s="44">
        <f>SUM(H75:M75)</f>
      </c>
      <c r="H75" s="44">
        <f>COUNTIF('Assisted workspace'!$M$62:$M$62,H$3)</f>
      </c>
      <c r="I75" s="44">
        <f>COUNTIF('Assisted workspace'!$M$62:$M$62,I$3)</f>
      </c>
      <c r="J75" s="44">
        <f>COUNTIF('Assisted workspace'!$M$62:$M$62,J$3)</f>
      </c>
      <c r="K75" s="44">
        <f>COUNTIF('Assisted workspace'!$M$62:$M$62,K$3)</f>
      </c>
      <c r="L75" s="44">
        <f>COUNTIF('Assisted workspace'!$M$62:$M$62,L$3)</f>
      </c>
      <c r="M75" s="44">
        <f>COUNTA('Assisted workspace'!$G$62:$G$62)-SUM(H75:L75)</f>
      </c>
      <c r="N75" s="43">
        <f>O75/P75</f>
      </c>
      <c r="O75" s="44">
        <f>SUM(Q75:U75)</f>
      </c>
      <c r="P75" s="44">
        <f>SUM(Q75:V75)</f>
      </c>
      <c r="Q75" s="44">
        <f>COUNTIF('Assisted workspace'!$R$62:$R$62,Q$3)</f>
      </c>
      <c r="R75" s="44">
        <f>COUNTIF('Assisted workspace'!$R$62:$R$62,R$3)</f>
      </c>
      <c r="S75" s="44">
        <f>COUNTIF('Assisted workspace'!$R$62:$R$62,S$3)</f>
      </c>
      <c r="T75" s="44">
        <f>COUNTIF('Assisted workspace'!$R$62:$R$62,T$3)</f>
      </c>
      <c r="U75" s="44">
        <f>COUNTIF('Assisted workspace'!$R$62:$R$62,U$3)</f>
      </c>
      <c r="V75" s="44">
        <f>COUNTA('Assisted workspace'!$G$62:$G$62)-SUM(Q75:U75)</f>
      </c>
    </row>
    <row r="76" ht="15.75" customHeight="1">
      <c r="A76"/>
      <c r="B76" s="45"/>
      <c r="C76" s="42" t="s">
        <v>3688</v>
      </c>
      <c r="D76" s="42" t="s">
        <v>3689</v>
      </c>
      <c r="E76" s="43">
        <f>F76/G76</f>
      </c>
      <c r="F76" s="44">
        <f>SUM(H76:L76)</f>
      </c>
      <c r="G76" s="44">
        <f>SUM(H76:M76)</f>
      </c>
      <c r="H76" s="44">
        <f>COUNTIF('Assisted workspace'!$M$63:$M$64,H$3)</f>
      </c>
      <c r="I76" s="44">
        <f>COUNTIF('Assisted workspace'!$M$63:$M$64,I$3)</f>
      </c>
      <c r="J76" s="44">
        <f>COUNTIF('Assisted workspace'!$M$63:$M$64,J$3)</f>
      </c>
      <c r="K76" s="44">
        <f>COUNTIF('Assisted workspace'!$M$63:$M$64,K$3)</f>
      </c>
      <c r="L76" s="44">
        <f>COUNTIF('Assisted workspace'!$M$63:$M$64,L$3)</f>
      </c>
      <c r="M76" s="44">
        <f>COUNTA('Assisted workspace'!$G$63:$G$64)-SUM(H76:L76)</f>
      </c>
      <c r="N76" s="43">
        <f>O76/P76</f>
      </c>
      <c r="O76" s="44">
        <f>SUM(Q76:U76)</f>
      </c>
      <c r="P76" s="44">
        <f>SUM(Q76:V76)</f>
      </c>
      <c r="Q76" s="44">
        <f>COUNTIF('Assisted workspace'!$R$63:$R$64,Q$3)</f>
      </c>
      <c r="R76" s="44">
        <f>COUNTIF('Assisted workspace'!$R$63:$R$64,R$3)</f>
      </c>
      <c r="S76" s="44">
        <f>COUNTIF('Assisted workspace'!$R$63:$R$64,S$3)</f>
      </c>
      <c r="T76" s="44">
        <f>COUNTIF('Assisted workspace'!$R$63:$R$64,T$3)</f>
      </c>
      <c r="U76" s="44">
        <f>COUNTIF('Assisted workspace'!$R$63:$R$64,U$3)</f>
      </c>
      <c r="V76" s="44">
        <f>COUNTA('Assisted workspace'!$G$63:$G$64)-SUM(Q76:U76)</f>
      </c>
    </row>
    <row r="77" ht="15.75" customHeight="1">
      <c r="A77"/>
      <c r="B77" s="45"/>
      <c r="C77" s="42" t="s">
        <v>3688</v>
      </c>
      <c r="D77" s="42" t="s">
        <v>2404</v>
      </c>
      <c r="E77" s="43">
        <f>F77/G77</f>
      </c>
      <c r="F77" s="44">
        <f>SUM(H77:L77)</f>
      </c>
      <c r="G77" s="44">
        <f>SUM(H77:M77)</f>
      </c>
      <c r="H77" s="44">
        <f>COUNTIF('Assisted workspace'!$M$65:$M$66,H$3)</f>
      </c>
      <c r="I77" s="44">
        <f>COUNTIF('Assisted workspace'!$M$65:$M$66,I$3)</f>
      </c>
      <c r="J77" s="44">
        <f>COUNTIF('Assisted workspace'!$M$65:$M$66,J$3)</f>
      </c>
      <c r="K77" s="44">
        <f>COUNTIF('Assisted workspace'!$M$65:$M$66,K$3)</f>
      </c>
      <c r="L77" s="44">
        <f>COUNTIF('Assisted workspace'!$M$65:$M$66,L$3)</f>
      </c>
      <c r="M77" s="44">
        <f>COUNTA('Assisted workspace'!$G$65:$G$66)-SUM(H77:L77)</f>
      </c>
      <c r="N77" s="43">
        <f>O77/P77</f>
      </c>
      <c r="O77" s="44">
        <f>SUM(Q77:U77)</f>
      </c>
      <c r="P77" s="44">
        <f>SUM(Q77:V77)</f>
      </c>
      <c r="Q77" s="44">
        <f>COUNTIF('Assisted workspace'!$R$65:$R$66,Q$3)</f>
      </c>
      <c r="R77" s="44">
        <f>COUNTIF('Assisted workspace'!$R$65:$R$66,R$3)</f>
      </c>
      <c r="S77" s="44">
        <f>COUNTIF('Assisted workspace'!$R$65:$R$66,S$3)</f>
      </c>
      <c r="T77" s="44">
        <f>COUNTIF('Assisted workspace'!$R$65:$R$66,T$3)</f>
      </c>
      <c r="U77" s="44">
        <f>COUNTIF('Assisted workspace'!$R$65:$R$66,U$3)</f>
      </c>
      <c r="V77" s="44">
        <f>COUNTA('Assisted workspace'!$G$65:$G$66)-SUM(Q77:U77)</f>
      </c>
    </row>
    <row r="78" ht="15.75" customHeight="1">
      <c r="A78"/>
      <c r="B78" s="45"/>
      <c r="C78" s="42" t="s">
        <v>3688</v>
      </c>
      <c r="D78" s="42" t="s">
        <v>3717</v>
      </c>
      <c r="E78" s="43">
        <f>F78/G78</f>
      </c>
      <c r="F78" s="44">
        <f>SUM(H78:L78)</f>
      </c>
      <c r="G78" s="44">
        <f>SUM(H78:M78)</f>
      </c>
      <c r="H78" s="44">
        <f>COUNTIF('Assisted workspace'!$M$67:$M$71,H$3)</f>
      </c>
      <c r="I78" s="44">
        <f>COUNTIF('Assisted workspace'!$M$67:$M$71,I$3)</f>
      </c>
      <c r="J78" s="44">
        <f>COUNTIF('Assisted workspace'!$M$67:$M$71,J$3)</f>
      </c>
      <c r="K78" s="44">
        <f>COUNTIF('Assisted workspace'!$M$67:$M$71,K$3)</f>
      </c>
      <c r="L78" s="44">
        <f>COUNTIF('Assisted workspace'!$M$67:$M$71,L$3)</f>
      </c>
      <c r="M78" s="44">
        <f>COUNTA('Assisted workspace'!$G$67:$G$71)-SUM(H78:L78)</f>
      </c>
      <c r="N78" s="43">
        <f>O78/P78</f>
      </c>
      <c r="O78" s="44">
        <f>SUM(Q78:U78)</f>
      </c>
      <c r="P78" s="44">
        <f>SUM(Q78:V78)</f>
      </c>
      <c r="Q78" s="44">
        <f>COUNTIF('Assisted workspace'!$R$67:$R$71,Q$3)</f>
      </c>
      <c r="R78" s="44">
        <f>COUNTIF('Assisted workspace'!$R$67:$R$71,R$3)</f>
      </c>
      <c r="S78" s="44">
        <f>COUNTIF('Assisted workspace'!$R$67:$R$71,S$3)</f>
      </c>
      <c r="T78" s="44">
        <f>COUNTIF('Assisted workspace'!$R$67:$R$71,T$3)</f>
      </c>
      <c r="U78" s="44">
        <f>COUNTIF('Assisted workspace'!$R$67:$R$71,U$3)</f>
      </c>
      <c r="V78" s="44">
        <f>COUNTA('Assisted workspace'!$G$67:$G$71)-SUM(Q78:U78)</f>
      </c>
    </row>
    <row r="79" ht="15.75" customHeight="1">
      <c r="A79"/>
      <c r="B79" s="45"/>
      <c r="C79" s="42" t="s">
        <v>3688</v>
      </c>
      <c r="D79" s="42" t="s">
        <v>3746</v>
      </c>
      <c r="E79" s="43">
        <f>F79/G79</f>
      </c>
      <c r="F79" s="44">
        <f>SUM(H79:L79)</f>
      </c>
      <c r="G79" s="44">
        <f>SUM(H79:M79)</f>
      </c>
      <c r="H79" s="44">
        <f>COUNTIF('Assisted workspace'!$M$72:$M$75,H$3)</f>
      </c>
      <c r="I79" s="44">
        <f>COUNTIF('Assisted workspace'!$M$72:$M$75,I$3)</f>
      </c>
      <c r="J79" s="44">
        <f>COUNTIF('Assisted workspace'!$M$72:$M$75,J$3)</f>
      </c>
      <c r="K79" s="44">
        <f>COUNTIF('Assisted workspace'!$M$72:$M$75,K$3)</f>
      </c>
      <c r="L79" s="44">
        <f>COUNTIF('Assisted workspace'!$M$72:$M$75,L$3)</f>
      </c>
      <c r="M79" s="44">
        <f>COUNTA('Assisted workspace'!$G$72:$G$75)-SUM(H79:L79)</f>
      </c>
      <c r="N79" s="43">
        <f>O79/P79</f>
      </c>
      <c r="O79" s="44">
        <f>SUM(Q79:U79)</f>
      </c>
      <c r="P79" s="44">
        <f>SUM(Q79:V79)</f>
      </c>
      <c r="Q79" s="44">
        <f>COUNTIF('Assisted workspace'!$R$72:$R$75,Q$3)</f>
      </c>
      <c r="R79" s="44">
        <f>COUNTIF('Assisted workspace'!$R$72:$R$75,R$3)</f>
      </c>
      <c r="S79" s="44">
        <f>COUNTIF('Assisted workspace'!$R$72:$R$75,S$3)</f>
      </c>
      <c r="T79" s="44">
        <f>COUNTIF('Assisted workspace'!$R$72:$R$75,T$3)</f>
      </c>
      <c r="U79" s="44">
        <f>COUNTIF('Assisted workspace'!$R$72:$R$75,U$3)</f>
      </c>
      <c r="V79" s="44">
        <f>COUNTA('Assisted workspace'!$G$72:$G$75)-SUM(Q79:U79)</f>
      </c>
    </row>
    <row r="80" ht="15.75" customHeight="1">
      <c r="A80"/>
      <c r="B80" s="45"/>
      <c r="C80" s="42" t="s">
        <v>3688</v>
      </c>
      <c r="D80" s="42" t="s">
        <v>3770</v>
      </c>
      <c r="E80" s="43">
        <f>F80/G80</f>
      </c>
      <c r="F80" s="44">
        <f>SUM(H80:L80)</f>
      </c>
      <c r="G80" s="44">
        <f>SUM(H80:M80)</f>
      </c>
      <c r="H80" s="44">
        <f>COUNTIF('Assisted workspace'!$M$76:$M$77,H$3)</f>
      </c>
      <c r="I80" s="44">
        <f>COUNTIF('Assisted workspace'!$M$76:$M$77,I$3)</f>
      </c>
      <c r="J80" s="44">
        <f>COUNTIF('Assisted workspace'!$M$76:$M$77,J$3)</f>
      </c>
      <c r="K80" s="44">
        <f>COUNTIF('Assisted workspace'!$M$76:$M$77,K$3)</f>
      </c>
      <c r="L80" s="44">
        <f>COUNTIF('Assisted workspace'!$M$76:$M$77,L$3)</f>
      </c>
      <c r="M80" s="44">
        <f>COUNTA('Assisted workspace'!$G$76:$G$77)-SUM(H80:L80)</f>
      </c>
      <c r="N80" s="43">
        <f>O80/P80</f>
      </c>
      <c r="O80" s="44">
        <f>SUM(Q80:U80)</f>
      </c>
      <c r="P80" s="44">
        <f>SUM(Q80:V80)</f>
      </c>
      <c r="Q80" s="44">
        <f>COUNTIF('Assisted workspace'!$R$76:$R$77,Q$3)</f>
      </c>
      <c r="R80" s="44">
        <f>COUNTIF('Assisted workspace'!$R$76:$R$77,R$3)</f>
      </c>
      <c r="S80" s="44">
        <f>COUNTIF('Assisted workspace'!$R$76:$R$77,S$3)</f>
      </c>
      <c r="T80" s="44">
        <f>COUNTIF('Assisted workspace'!$R$76:$R$77,T$3)</f>
      </c>
      <c r="U80" s="44">
        <f>COUNTIF('Assisted workspace'!$R$76:$R$77,U$3)</f>
      </c>
      <c r="V80" s="44">
        <f>COUNTA('Assisted workspace'!$G$76:$G$77)-SUM(Q80:U80)</f>
      </c>
    </row>
    <row r="81" ht="15.75" customHeight="1">
      <c r="A81"/>
      <c r="B81" s="45"/>
      <c r="C81" s="42" t="s">
        <v>3688</v>
      </c>
      <c r="D81" s="42" t="s">
        <v>3783</v>
      </c>
      <c r="E81" s="43">
        <f>F81/G81</f>
      </c>
      <c r="F81" s="44">
        <f>SUM(H81:L81)</f>
      </c>
      <c r="G81" s="44">
        <f>SUM(H81:M81)</f>
      </c>
      <c r="H81" s="44">
        <f>COUNTIF('Assisted workspace'!$M$78:$M$78,H$3)</f>
      </c>
      <c r="I81" s="44">
        <f>COUNTIF('Assisted workspace'!$M$78:$M$78,I$3)</f>
      </c>
      <c r="J81" s="44">
        <f>COUNTIF('Assisted workspace'!$M$78:$M$78,J$3)</f>
      </c>
      <c r="K81" s="44">
        <f>COUNTIF('Assisted workspace'!$M$78:$M$78,K$3)</f>
      </c>
      <c r="L81" s="44">
        <f>COUNTIF('Assisted workspace'!$M$78:$M$78,L$3)</f>
      </c>
      <c r="M81" s="44">
        <f>COUNTA('Assisted workspace'!$G$78:$G$78)-SUM(H81:L81)</f>
      </c>
      <c r="N81" s="43">
        <f>O81/P81</f>
      </c>
      <c r="O81" s="44">
        <f>SUM(Q81:U81)</f>
      </c>
      <c r="P81" s="44">
        <f>SUM(Q81:V81)</f>
      </c>
      <c r="Q81" s="44">
        <f>COUNTIF('Assisted workspace'!$R$78:$R$78,Q$3)</f>
      </c>
      <c r="R81" s="44">
        <f>COUNTIF('Assisted workspace'!$R$78:$R$78,R$3)</f>
      </c>
      <c r="S81" s="44">
        <f>COUNTIF('Assisted workspace'!$R$78:$R$78,S$3)</f>
      </c>
      <c r="T81" s="44">
        <f>COUNTIF('Assisted workspace'!$R$78:$R$78,T$3)</f>
      </c>
      <c r="U81" s="44">
        <f>COUNTIF('Assisted workspace'!$R$78:$R$78,U$3)</f>
      </c>
      <c r="V81" s="44">
        <f>COUNTA('Assisted workspace'!$G$78:$G$78)-SUM(Q81:U81)</f>
      </c>
    </row>
    <row r="82" ht="15.75" customHeight="1">
      <c r="A82"/>
      <c r="B82" s="45"/>
      <c r="C82" s="42" t="s">
        <v>3688</v>
      </c>
      <c r="D82" s="42" t="s">
        <v>3790</v>
      </c>
      <c r="E82" s="43">
        <f>F82/G82</f>
      </c>
      <c r="F82" s="44">
        <f>SUM(H82:L82)</f>
      </c>
      <c r="G82" s="44">
        <f>SUM(H82:M82)</f>
      </c>
      <c r="H82" s="44">
        <f>COUNTIF('Assisted workspace'!$M$79:$M$80,H$3)</f>
      </c>
      <c r="I82" s="44">
        <f>COUNTIF('Assisted workspace'!$M$79:$M$80,I$3)</f>
      </c>
      <c r="J82" s="44">
        <f>COUNTIF('Assisted workspace'!$M$79:$M$80,J$3)</f>
      </c>
      <c r="K82" s="44">
        <f>COUNTIF('Assisted workspace'!$M$79:$M$80,K$3)</f>
      </c>
      <c r="L82" s="44">
        <f>COUNTIF('Assisted workspace'!$M$79:$M$80,L$3)</f>
      </c>
      <c r="M82" s="44">
        <f>COUNTA('Assisted workspace'!$G$79:$G$80)-SUM(H82:L82)</f>
      </c>
      <c r="N82" s="43">
        <f>O82/P82</f>
      </c>
      <c r="O82" s="44">
        <f>SUM(Q82:U82)</f>
      </c>
      <c r="P82" s="44">
        <f>SUM(Q82:V82)</f>
      </c>
      <c r="Q82" s="44">
        <f>COUNTIF('Assisted workspace'!$R$79:$R$80,Q$3)</f>
      </c>
      <c r="R82" s="44">
        <f>COUNTIF('Assisted workspace'!$R$79:$R$80,R$3)</f>
      </c>
      <c r="S82" s="44">
        <f>COUNTIF('Assisted workspace'!$R$79:$R$80,S$3)</f>
      </c>
      <c r="T82" s="44">
        <f>COUNTIF('Assisted workspace'!$R$79:$R$80,T$3)</f>
      </c>
      <c r="U82" s="44">
        <f>COUNTIF('Assisted workspace'!$R$79:$R$80,U$3)</f>
      </c>
      <c r="V82" s="44">
        <f>COUNTA('Assisted workspace'!$G$79:$G$80)-SUM(Q82:U82)</f>
      </c>
    </row>
    <row r="83" ht="15.75" customHeight="1">
      <c r="A83"/>
      <c r="B83" s="45"/>
      <c r="C83" s="42" t="s">
        <v>3688</v>
      </c>
      <c r="D83" s="42" t="s">
        <v>3801</v>
      </c>
      <c r="E83" s="43">
        <f>F83/G83</f>
      </c>
      <c r="F83" s="44">
        <f>SUM(H83:L83)</f>
      </c>
      <c r="G83" s="44">
        <f>SUM(H83:M83)</f>
      </c>
      <c r="H83" s="44">
        <f>COUNTIF('Assisted workspace'!$M$81:$M$85,H$3)</f>
      </c>
      <c r="I83" s="44">
        <f>COUNTIF('Assisted workspace'!$M$81:$M$85,I$3)</f>
      </c>
      <c r="J83" s="44">
        <f>COUNTIF('Assisted workspace'!$M$81:$M$85,J$3)</f>
      </c>
      <c r="K83" s="44">
        <f>COUNTIF('Assisted workspace'!$M$81:$M$85,K$3)</f>
      </c>
      <c r="L83" s="44">
        <f>COUNTIF('Assisted workspace'!$M$81:$M$85,L$3)</f>
      </c>
      <c r="M83" s="44">
        <f>COUNTA('Assisted workspace'!$G$81:$G$85)-SUM(H83:L83)</f>
      </c>
      <c r="N83" s="43">
        <f>O83/P83</f>
      </c>
      <c r="O83" s="44">
        <f>SUM(Q83:U83)</f>
      </c>
      <c r="P83" s="44">
        <f>SUM(Q83:V83)</f>
      </c>
      <c r="Q83" s="44">
        <f>COUNTIF('Assisted workspace'!$R$81:$R$85,Q$3)</f>
      </c>
      <c r="R83" s="44">
        <f>COUNTIF('Assisted workspace'!$R$81:$R$85,R$3)</f>
      </c>
      <c r="S83" s="44">
        <f>COUNTIF('Assisted workspace'!$R$81:$R$85,S$3)</f>
      </c>
      <c r="T83" s="44">
        <f>COUNTIF('Assisted workspace'!$R$81:$R$85,T$3)</f>
      </c>
      <c r="U83" s="44">
        <f>COUNTIF('Assisted workspace'!$R$81:$R$85,U$3)</f>
      </c>
      <c r="V83" s="44">
        <f>COUNTA('Assisted workspace'!$G$81:$G$85)-SUM(Q83:U83)</f>
      </c>
    </row>
    <row r="84" ht="15.75" customHeight="1">
      <c r="A84"/>
      <c r="B84" s="45"/>
      <c r="C84" s="42" t="s">
        <v>3688</v>
      </c>
      <c r="D84" s="42" t="s">
        <v>3831</v>
      </c>
      <c r="E84" s="43">
        <f>F84/G84</f>
      </c>
      <c r="F84" s="44">
        <f>SUM(H84:L84)</f>
      </c>
      <c r="G84" s="44">
        <f>SUM(H84:M84)</f>
      </c>
      <c r="H84" s="44">
        <f>COUNTIF('Assisted workspace'!$M$86:$M$89,H$3)</f>
      </c>
      <c r="I84" s="44">
        <f>COUNTIF('Assisted workspace'!$M$86:$M$89,I$3)</f>
      </c>
      <c r="J84" s="44">
        <f>COUNTIF('Assisted workspace'!$M$86:$M$89,J$3)</f>
      </c>
      <c r="K84" s="44">
        <f>COUNTIF('Assisted workspace'!$M$86:$M$89,K$3)</f>
      </c>
      <c r="L84" s="44">
        <f>COUNTIF('Assisted workspace'!$M$86:$M$89,L$3)</f>
      </c>
      <c r="M84" s="44">
        <f>COUNTA('Assisted workspace'!$G$86:$G$89)-SUM(H84:L84)</f>
      </c>
      <c r="N84" s="43">
        <f>O84/P84</f>
      </c>
      <c r="O84" s="44">
        <f>SUM(Q84:U84)</f>
      </c>
      <c r="P84" s="44">
        <f>SUM(Q84:V84)</f>
      </c>
      <c r="Q84" s="44">
        <f>COUNTIF('Assisted workspace'!$R$86:$R$89,Q$3)</f>
      </c>
      <c r="R84" s="44">
        <f>COUNTIF('Assisted workspace'!$R$86:$R$89,R$3)</f>
      </c>
      <c r="S84" s="44">
        <f>COUNTIF('Assisted workspace'!$R$86:$R$89,S$3)</f>
      </c>
      <c r="T84" s="44">
        <f>COUNTIF('Assisted workspace'!$R$86:$R$89,T$3)</f>
      </c>
      <c r="U84" s="44">
        <f>COUNTIF('Assisted workspace'!$R$86:$R$89,U$3)</f>
      </c>
      <c r="V84" s="44">
        <f>COUNTA('Assisted workspace'!$G$86:$G$89)-SUM(Q84:U84)</f>
      </c>
    </row>
    <row r="85" ht="15.75" customHeight="1">
      <c r="A85"/>
      <c r="B85" s="45"/>
      <c r="C85" s="42" t="s">
        <v>3857</v>
      </c>
      <c r="D85" s="42" t="s">
        <v>3689</v>
      </c>
      <c r="E85" s="43">
        <f>F85/G85</f>
      </c>
      <c r="F85" s="44">
        <f>SUM(H85:L85)</f>
      </c>
      <c r="G85" s="44">
        <f>SUM(H85:M85)</f>
      </c>
      <c r="H85" s="44">
        <f>COUNTIF('Assisted workspace'!$M$90:$M$93,H$3)</f>
      </c>
      <c r="I85" s="44">
        <f>COUNTIF('Assisted workspace'!$M$90:$M$93,I$3)</f>
      </c>
      <c r="J85" s="44">
        <f>COUNTIF('Assisted workspace'!$M$90:$M$93,J$3)</f>
      </c>
      <c r="K85" s="44">
        <f>COUNTIF('Assisted workspace'!$M$90:$M$93,K$3)</f>
      </c>
      <c r="L85" s="44">
        <f>COUNTIF('Assisted workspace'!$M$90:$M$93,L$3)</f>
      </c>
      <c r="M85" s="44">
        <f>COUNTA('Assisted workspace'!$G$90:$G$93)-SUM(H85:L85)</f>
      </c>
      <c r="N85" s="43">
        <f>O85/P85</f>
      </c>
      <c r="O85" s="44">
        <f>SUM(Q85:U85)</f>
      </c>
      <c r="P85" s="44">
        <f>SUM(Q85:V85)</f>
      </c>
      <c r="Q85" s="44">
        <f>COUNTIF('Assisted workspace'!$R$90:$R$93,Q$3)</f>
      </c>
      <c r="R85" s="44">
        <f>COUNTIF('Assisted workspace'!$R$90:$R$93,R$3)</f>
      </c>
      <c r="S85" s="44">
        <f>COUNTIF('Assisted workspace'!$R$90:$R$93,S$3)</f>
      </c>
      <c r="T85" s="44">
        <f>COUNTIF('Assisted workspace'!$R$90:$R$93,T$3)</f>
      </c>
      <c r="U85" s="44">
        <f>COUNTIF('Assisted workspace'!$R$90:$R$93,U$3)</f>
      </c>
      <c r="V85" s="44">
        <f>COUNTA('Assisted workspace'!$G$90:$G$93)-SUM(Q85:U85)</f>
      </c>
    </row>
    <row r="86" ht="15.75" customHeight="1">
      <c r="A86"/>
      <c r="B86" s="45"/>
      <c r="C86" s="42" t="s">
        <v>3857</v>
      </c>
      <c r="D86" s="42" t="s">
        <v>3882</v>
      </c>
      <c r="E86" s="43">
        <f>F86/G86</f>
      </c>
      <c r="F86" s="44">
        <f>SUM(H86:L86)</f>
      </c>
      <c r="G86" s="44">
        <f>SUM(H86:M86)</f>
      </c>
      <c r="H86" s="44">
        <f>COUNTIF('Assisted workspace'!$M$94:$M$94,H$3)</f>
      </c>
      <c r="I86" s="44">
        <f>COUNTIF('Assisted workspace'!$M$94:$M$94,I$3)</f>
      </c>
      <c r="J86" s="44">
        <f>COUNTIF('Assisted workspace'!$M$94:$M$94,J$3)</f>
      </c>
      <c r="K86" s="44">
        <f>COUNTIF('Assisted workspace'!$M$94:$M$94,K$3)</f>
      </c>
      <c r="L86" s="44">
        <f>COUNTIF('Assisted workspace'!$M$94:$M$94,L$3)</f>
      </c>
      <c r="M86" s="44">
        <f>COUNTA('Assisted workspace'!$G$94:$G$94)-SUM(H86:L86)</f>
      </c>
      <c r="N86" s="43">
        <f>O86/P86</f>
      </c>
      <c r="O86" s="44">
        <f>SUM(Q86:U86)</f>
      </c>
      <c r="P86" s="44">
        <f>SUM(Q86:V86)</f>
      </c>
      <c r="Q86" s="44">
        <f>COUNTIF('Assisted workspace'!$R$94:$R$94,Q$3)</f>
      </c>
      <c r="R86" s="44">
        <f>COUNTIF('Assisted workspace'!$R$94:$R$94,R$3)</f>
      </c>
      <c r="S86" s="44">
        <f>COUNTIF('Assisted workspace'!$R$94:$R$94,S$3)</f>
      </c>
      <c r="T86" s="44">
        <f>COUNTIF('Assisted workspace'!$R$94:$R$94,T$3)</f>
      </c>
      <c r="U86" s="44">
        <f>COUNTIF('Assisted workspace'!$R$94:$R$94,U$3)</f>
      </c>
      <c r="V86" s="44">
        <f>COUNTA('Assisted workspace'!$G$94:$G$94)-SUM(Q86:U86)</f>
      </c>
    </row>
    <row r="87" ht="15.75" customHeight="1">
      <c r="A87"/>
      <c r="B87" s="45"/>
      <c r="C87" s="42" t="s">
        <v>3857</v>
      </c>
      <c r="D87" s="42" t="s">
        <v>3890</v>
      </c>
      <c r="E87" s="43">
        <f>F87/G87</f>
      </c>
      <c r="F87" s="44">
        <f>SUM(H87:L87)</f>
      </c>
      <c r="G87" s="44">
        <f>SUM(H87:M87)</f>
      </c>
      <c r="H87" s="44">
        <f>COUNTIF('Assisted workspace'!$M$95:$M$98,H$3)</f>
      </c>
      <c r="I87" s="44">
        <f>COUNTIF('Assisted workspace'!$M$95:$M$98,I$3)</f>
      </c>
      <c r="J87" s="44">
        <f>COUNTIF('Assisted workspace'!$M$95:$M$98,J$3)</f>
      </c>
      <c r="K87" s="44">
        <f>COUNTIF('Assisted workspace'!$M$95:$M$98,K$3)</f>
      </c>
      <c r="L87" s="44">
        <f>COUNTIF('Assisted workspace'!$M$95:$M$98,L$3)</f>
      </c>
      <c r="M87" s="44">
        <f>COUNTA('Assisted workspace'!$G$95:$G$98)-SUM(H87:L87)</f>
      </c>
      <c r="N87" s="43">
        <f>O87/P87</f>
      </c>
      <c r="O87" s="44">
        <f>SUM(Q87:U87)</f>
      </c>
      <c r="P87" s="44">
        <f>SUM(Q87:V87)</f>
      </c>
      <c r="Q87" s="44">
        <f>COUNTIF('Assisted workspace'!$R$95:$R$98,Q$3)</f>
      </c>
      <c r="R87" s="44">
        <f>COUNTIF('Assisted workspace'!$R$95:$R$98,R$3)</f>
      </c>
      <c r="S87" s="44">
        <f>COUNTIF('Assisted workspace'!$R$95:$R$98,S$3)</f>
      </c>
      <c r="T87" s="44">
        <f>COUNTIF('Assisted workspace'!$R$95:$R$98,T$3)</f>
      </c>
      <c r="U87" s="44">
        <f>COUNTIF('Assisted workspace'!$R$95:$R$98,U$3)</f>
      </c>
      <c r="V87" s="44">
        <f>COUNTA('Assisted workspace'!$G$95:$G$98)-SUM(Q87:U87)</f>
      </c>
    </row>
    <row r="88" ht="15.75" customHeight="1">
      <c r="A88"/>
      <c r="B88" s="45"/>
      <c r="C88" s="42" t="s">
        <v>3857</v>
      </c>
      <c r="D88" s="42" t="s">
        <v>3790</v>
      </c>
      <c r="E88" s="43">
        <f>F88/G88</f>
      </c>
      <c r="F88" s="44">
        <f>SUM(H88:L88)</f>
      </c>
      <c r="G88" s="44">
        <f>SUM(H88:M88)</f>
      </c>
      <c r="H88" s="44">
        <f>COUNTIF('Assisted workspace'!$M$99:$M$99,H$3)</f>
      </c>
      <c r="I88" s="44">
        <f>COUNTIF('Assisted workspace'!$M$99:$M$99,I$3)</f>
      </c>
      <c r="J88" s="44">
        <f>COUNTIF('Assisted workspace'!$M$99:$M$99,J$3)</f>
      </c>
      <c r="K88" s="44">
        <f>COUNTIF('Assisted workspace'!$M$99:$M$99,K$3)</f>
      </c>
      <c r="L88" s="44">
        <f>COUNTIF('Assisted workspace'!$M$99:$M$99,L$3)</f>
      </c>
      <c r="M88" s="44">
        <f>COUNTA('Assisted workspace'!$G$99:$G$99)-SUM(H88:L88)</f>
      </c>
      <c r="N88" s="43">
        <f>O88/P88</f>
      </c>
      <c r="O88" s="44">
        <f>SUM(Q88:U88)</f>
      </c>
      <c r="P88" s="44">
        <f>SUM(Q88:V88)</f>
      </c>
      <c r="Q88" s="44">
        <f>COUNTIF('Assisted workspace'!$R$99:$R$99,Q$3)</f>
      </c>
      <c r="R88" s="44">
        <f>COUNTIF('Assisted workspace'!$R$99:$R$99,R$3)</f>
      </c>
      <c r="S88" s="44">
        <f>COUNTIF('Assisted workspace'!$R$99:$R$99,S$3)</f>
      </c>
      <c r="T88" s="44">
        <f>COUNTIF('Assisted workspace'!$R$99:$R$99,T$3)</f>
      </c>
      <c r="U88" s="44">
        <f>COUNTIF('Assisted workspace'!$R$99:$R$99,U$3)</f>
      </c>
      <c r="V88" s="44">
        <f>COUNTA('Assisted workspace'!$G$99:$G$99)-SUM(Q88:U88)</f>
      </c>
    </row>
    <row r="89" ht="15.75" customHeight="1">
      <c r="A89"/>
      <c r="B89" s="45"/>
      <c r="C89" s="42" t="s">
        <v>3857</v>
      </c>
      <c r="D89" s="42" t="s">
        <v>3919</v>
      </c>
      <c r="E89" s="43">
        <f>F89/G89</f>
      </c>
      <c r="F89" s="44">
        <f>SUM(H89:L89)</f>
      </c>
      <c r="G89" s="44">
        <f>SUM(H89:M89)</f>
      </c>
      <c r="H89" s="44">
        <f>COUNTIF('Assisted workspace'!$M$100:$M$102,H$3)</f>
      </c>
      <c r="I89" s="44">
        <f>COUNTIF('Assisted workspace'!$M$100:$M$102,I$3)</f>
      </c>
      <c r="J89" s="44">
        <f>COUNTIF('Assisted workspace'!$M$100:$M$102,J$3)</f>
      </c>
      <c r="K89" s="44">
        <f>COUNTIF('Assisted workspace'!$M$100:$M$102,K$3)</f>
      </c>
      <c r="L89" s="44">
        <f>COUNTIF('Assisted workspace'!$M$100:$M$102,L$3)</f>
      </c>
      <c r="M89" s="44">
        <f>COUNTA('Assisted workspace'!$G$100:$G$102)-SUM(H89:L89)</f>
      </c>
      <c r="N89" s="43">
        <f>O89/P89</f>
      </c>
      <c r="O89" s="44">
        <f>SUM(Q89:U89)</f>
      </c>
      <c r="P89" s="44">
        <f>SUM(Q89:V89)</f>
      </c>
      <c r="Q89" s="44">
        <f>COUNTIF('Assisted workspace'!$R$100:$R$102,Q$3)</f>
      </c>
      <c r="R89" s="44">
        <f>COUNTIF('Assisted workspace'!$R$100:$R$102,R$3)</f>
      </c>
      <c r="S89" s="44">
        <f>COUNTIF('Assisted workspace'!$R$100:$R$102,S$3)</f>
      </c>
      <c r="T89" s="44">
        <f>COUNTIF('Assisted workspace'!$R$100:$R$102,T$3)</f>
      </c>
      <c r="U89" s="44">
        <f>COUNTIF('Assisted workspace'!$R$100:$R$102,U$3)</f>
      </c>
      <c r="V89" s="44">
        <f>COUNTA('Assisted workspace'!$G$100:$G$102)-SUM(Q89:U89)</f>
      </c>
    </row>
    <row r="90" ht="15.75" customHeight="1">
      <c r="A90"/>
      <c r="B90" s="45"/>
      <c r="C90" s="42" t="s">
        <v>3936</v>
      </c>
      <c r="D90" s="42" t="s">
        <v>3937</v>
      </c>
      <c r="E90" s="43">
        <f>F90/G90</f>
      </c>
      <c r="F90" s="44">
        <f>SUM(H90:L90)</f>
      </c>
      <c r="G90" s="44">
        <f>SUM(H90:M90)</f>
      </c>
      <c r="H90" s="44">
        <f>COUNTIF('Assisted workspace'!$M$103:$M$105,H$3)</f>
      </c>
      <c r="I90" s="44">
        <f>COUNTIF('Assisted workspace'!$M$103:$M$105,I$3)</f>
      </c>
      <c r="J90" s="44">
        <f>COUNTIF('Assisted workspace'!$M$103:$M$105,J$3)</f>
      </c>
      <c r="K90" s="44">
        <f>COUNTIF('Assisted workspace'!$M$103:$M$105,K$3)</f>
      </c>
      <c r="L90" s="44">
        <f>COUNTIF('Assisted workspace'!$M$103:$M$105,L$3)</f>
      </c>
      <c r="M90" s="44">
        <f>COUNTA('Assisted workspace'!$G$103:$G$105)-SUM(H90:L90)</f>
      </c>
      <c r="N90" s="43">
        <f>O90/P90</f>
      </c>
      <c r="O90" s="44">
        <f>SUM(Q90:U90)</f>
      </c>
      <c r="P90" s="44">
        <f>SUM(Q90:V90)</f>
      </c>
      <c r="Q90" s="44">
        <f>COUNTIF('Assisted workspace'!$R$103:$R$105,Q$3)</f>
      </c>
      <c r="R90" s="44">
        <f>COUNTIF('Assisted workspace'!$R$103:$R$105,R$3)</f>
      </c>
      <c r="S90" s="44">
        <f>COUNTIF('Assisted workspace'!$R$103:$R$105,S$3)</f>
      </c>
      <c r="T90" s="44">
        <f>COUNTIF('Assisted workspace'!$R$103:$R$105,T$3)</f>
      </c>
      <c r="U90" s="44">
        <f>COUNTIF('Assisted workspace'!$R$103:$R$105,U$3)</f>
      </c>
      <c r="V90" s="44">
        <f>COUNTA('Assisted workspace'!$G$103:$G$105)-SUM(Q90:U90)</f>
      </c>
    </row>
    <row r="91" ht="15.75" customHeight="1">
      <c r="A91"/>
      <c r="B91" s="45"/>
      <c r="C91" s="42" t="s">
        <v>3936</v>
      </c>
      <c r="D91" s="42" t="s">
        <v>3959</v>
      </c>
      <c r="E91" s="43">
        <f>F91/G91</f>
      </c>
      <c r="F91" s="44">
        <f>SUM(H91:L91)</f>
      </c>
      <c r="G91" s="44">
        <f>SUM(H91:M91)</f>
      </c>
      <c r="H91" s="44">
        <f>COUNTIF('Assisted workspace'!$M$106:$M$106,H$3)</f>
      </c>
      <c r="I91" s="44">
        <f>COUNTIF('Assisted workspace'!$M$106:$M$106,I$3)</f>
      </c>
      <c r="J91" s="44">
        <f>COUNTIF('Assisted workspace'!$M$106:$M$106,J$3)</f>
      </c>
      <c r="K91" s="44">
        <f>COUNTIF('Assisted workspace'!$M$106:$M$106,K$3)</f>
      </c>
      <c r="L91" s="44">
        <f>COUNTIF('Assisted workspace'!$M$106:$M$106,L$3)</f>
      </c>
      <c r="M91" s="44">
        <f>COUNTA('Assisted workspace'!$G$106:$G$106)-SUM(H91:L91)</f>
      </c>
      <c r="N91" s="43">
        <f>O91/P91</f>
      </c>
      <c r="O91" s="44">
        <f>SUM(Q91:U91)</f>
      </c>
      <c r="P91" s="44">
        <f>SUM(Q91:V91)</f>
      </c>
      <c r="Q91" s="44">
        <f>COUNTIF('Assisted workspace'!$R$106:$R$106,Q$3)</f>
      </c>
      <c r="R91" s="44">
        <f>COUNTIF('Assisted workspace'!$R$106:$R$106,R$3)</f>
      </c>
      <c r="S91" s="44">
        <f>COUNTIF('Assisted workspace'!$R$106:$R$106,S$3)</f>
      </c>
      <c r="T91" s="44">
        <f>COUNTIF('Assisted workspace'!$R$106:$R$106,T$3)</f>
      </c>
      <c r="U91" s="44">
        <f>COUNTIF('Assisted workspace'!$R$106:$R$106,U$3)</f>
      </c>
      <c r="V91" s="44">
        <f>COUNTA('Assisted workspace'!$G$106:$G$106)-SUM(Q91:U91)</f>
      </c>
    </row>
    <row r="92" ht="15.75" customHeight="1">
      <c r="A92"/>
      <c r="B92" s="45"/>
      <c r="C92" s="42" t="s">
        <v>3936</v>
      </c>
      <c r="D92" s="42" t="s">
        <v>3967</v>
      </c>
      <c r="E92" s="43">
        <f>F92/G92</f>
      </c>
      <c r="F92" s="44">
        <f>SUM(H92:L92)</f>
      </c>
      <c r="G92" s="44">
        <f>SUM(H92:M92)</f>
      </c>
      <c r="H92" s="44">
        <f>COUNTIF('Assisted workspace'!$M$107:$M$107,H$3)</f>
      </c>
      <c r="I92" s="44">
        <f>COUNTIF('Assisted workspace'!$M$107:$M$107,I$3)</f>
      </c>
      <c r="J92" s="44">
        <f>COUNTIF('Assisted workspace'!$M$107:$M$107,J$3)</f>
      </c>
      <c r="K92" s="44">
        <f>COUNTIF('Assisted workspace'!$M$107:$M$107,K$3)</f>
      </c>
      <c r="L92" s="44">
        <f>COUNTIF('Assisted workspace'!$M$107:$M$107,L$3)</f>
      </c>
      <c r="M92" s="44">
        <f>COUNTA('Assisted workspace'!$G$107:$G$107)-SUM(H92:L92)</f>
      </c>
      <c r="N92" s="43">
        <f>O92/P92</f>
      </c>
      <c r="O92" s="44">
        <f>SUM(Q92:U92)</f>
      </c>
      <c r="P92" s="44">
        <f>SUM(Q92:V92)</f>
      </c>
      <c r="Q92" s="44">
        <f>COUNTIF('Assisted workspace'!$R$107:$R$107,Q$3)</f>
      </c>
      <c r="R92" s="44">
        <f>COUNTIF('Assisted workspace'!$R$107:$R$107,R$3)</f>
      </c>
      <c r="S92" s="44">
        <f>COUNTIF('Assisted workspace'!$R$107:$R$107,S$3)</f>
      </c>
      <c r="T92" s="44">
        <f>COUNTIF('Assisted workspace'!$R$107:$R$107,T$3)</f>
      </c>
      <c r="U92" s="44">
        <f>COUNTIF('Assisted workspace'!$R$107:$R$107,U$3)</f>
      </c>
      <c r="V92" s="44">
        <f>COUNTA('Assisted workspace'!$G$107:$G$107)-SUM(Q92:U92)</f>
      </c>
    </row>
    <row r="93" ht="15.75" customHeight="1">
      <c r="A93"/>
      <c r="B93" s="45"/>
      <c r="C93" s="42" t="s">
        <v>3971</v>
      </c>
      <c r="D93" s="42" t="s">
        <v>3972</v>
      </c>
      <c r="E93" s="43">
        <f>F93/G93</f>
      </c>
      <c r="F93" s="44">
        <f>SUM(H93:L93)</f>
      </c>
      <c r="G93" s="44">
        <f>SUM(H93:M93)</f>
      </c>
      <c r="H93" s="44">
        <f>COUNTIF('Assisted workspace'!$M$108:$M$109,H$3)</f>
      </c>
      <c r="I93" s="44">
        <f>COUNTIF('Assisted workspace'!$M$108:$M$109,I$3)</f>
      </c>
      <c r="J93" s="44">
        <f>COUNTIF('Assisted workspace'!$M$108:$M$109,J$3)</f>
      </c>
      <c r="K93" s="44">
        <f>COUNTIF('Assisted workspace'!$M$108:$M$109,K$3)</f>
      </c>
      <c r="L93" s="44">
        <f>COUNTIF('Assisted workspace'!$M$108:$M$109,L$3)</f>
      </c>
      <c r="M93" s="44">
        <f>COUNTA('Assisted workspace'!$G$108:$G$109)-SUM(H93:L93)</f>
      </c>
      <c r="N93" s="43">
        <f>O93/P93</f>
      </c>
      <c r="O93" s="44">
        <f>SUM(Q93:U93)</f>
      </c>
      <c r="P93" s="44">
        <f>SUM(Q93:V93)</f>
      </c>
      <c r="Q93" s="44">
        <f>COUNTIF('Assisted workspace'!$R$108:$R$109,Q$3)</f>
      </c>
      <c r="R93" s="44">
        <f>COUNTIF('Assisted workspace'!$R$108:$R$109,R$3)</f>
      </c>
      <c r="S93" s="44">
        <f>COUNTIF('Assisted workspace'!$R$108:$R$109,S$3)</f>
      </c>
      <c r="T93" s="44">
        <f>COUNTIF('Assisted workspace'!$R$108:$R$109,T$3)</f>
      </c>
      <c r="U93" s="44">
        <f>COUNTIF('Assisted workspace'!$R$108:$R$109,U$3)</f>
      </c>
      <c r="V93" s="44">
        <f>COUNTA('Assisted workspace'!$G$108:$G$109)-SUM(Q93:U93)</f>
      </c>
    </row>
    <row r="94" ht="15.75" customHeight="1">
      <c r="A94"/>
      <c r="B94" s="45"/>
      <c r="C94" s="42" t="s">
        <v>3971</v>
      </c>
      <c r="D94" s="42" t="s">
        <v>3987</v>
      </c>
      <c r="E94" s="43">
        <f>F94/G94</f>
      </c>
      <c r="F94" s="44">
        <f>SUM(H94:L94)</f>
      </c>
      <c r="G94" s="44">
        <f>SUM(H94:M94)</f>
      </c>
      <c r="H94" s="44">
        <f>COUNTIF('Assisted workspace'!$M$110:$M$111,H$3)</f>
      </c>
      <c r="I94" s="44">
        <f>COUNTIF('Assisted workspace'!$M$110:$M$111,I$3)</f>
      </c>
      <c r="J94" s="44">
        <f>COUNTIF('Assisted workspace'!$M$110:$M$111,J$3)</f>
      </c>
      <c r="K94" s="44">
        <f>COUNTIF('Assisted workspace'!$M$110:$M$111,K$3)</f>
      </c>
      <c r="L94" s="44">
        <f>COUNTIF('Assisted workspace'!$M$110:$M$111,L$3)</f>
      </c>
      <c r="M94" s="44">
        <f>COUNTA('Assisted workspace'!$G$110:$G$111)-SUM(H94:L94)</f>
      </c>
      <c r="N94" s="43">
        <f>O94/P94</f>
      </c>
      <c r="O94" s="44">
        <f>SUM(Q94:U94)</f>
      </c>
      <c r="P94" s="44">
        <f>SUM(Q94:V94)</f>
      </c>
      <c r="Q94" s="44">
        <f>COUNTIF('Assisted workspace'!$R$110:$R$111,Q$3)</f>
      </c>
      <c r="R94" s="44">
        <f>COUNTIF('Assisted workspace'!$R$110:$R$111,R$3)</f>
      </c>
      <c r="S94" s="44">
        <f>COUNTIF('Assisted workspace'!$R$110:$R$111,S$3)</f>
      </c>
      <c r="T94" s="44">
        <f>COUNTIF('Assisted workspace'!$R$110:$R$111,T$3)</f>
      </c>
      <c r="U94" s="44">
        <f>COUNTIF('Assisted workspace'!$R$110:$R$111,U$3)</f>
      </c>
      <c r="V94" s="44">
        <f>COUNTA('Assisted workspace'!$G$110:$G$111)-SUM(Q94:U94)</f>
      </c>
    </row>
    <row r="95" ht="31.5" customHeight="1">
      <c r="A95"/>
      <c r="B95" s="45"/>
      <c r="C95" s="42" t="s">
        <v>4001</v>
      </c>
      <c r="D95" s="42" t="s">
        <v>4002</v>
      </c>
      <c r="E95" s="43">
        <f>F95/G95</f>
      </c>
      <c r="F95" s="44">
        <f>SUM(H95:L95)</f>
      </c>
      <c r="G95" s="44">
        <f>SUM(H95:M95)</f>
      </c>
      <c r="H95" s="44">
        <f>COUNTIF('Assisted workspace'!$M$112:$M$115,H$3)</f>
      </c>
      <c r="I95" s="44">
        <f>COUNTIF('Assisted workspace'!$M$112:$M$115,I$3)</f>
      </c>
      <c r="J95" s="44">
        <f>COUNTIF('Assisted workspace'!$M$112:$M$115,J$3)</f>
      </c>
      <c r="K95" s="44">
        <f>COUNTIF('Assisted workspace'!$M$112:$M$115,K$3)</f>
      </c>
      <c r="L95" s="44">
        <f>COUNTIF('Assisted workspace'!$M$112:$M$115,L$3)</f>
      </c>
      <c r="M95" s="44">
        <f>COUNTA('Assisted workspace'!$G$112:$G$115)-SUM(H95:L95)</f>
      </c>
      <c r="N95" s="43">
        <f>O95/P95</f>
      </c>
      <c r="O95" s="44">
        <f>SUM(Q95:U95)</f>
      </c>
      <c r="P95" s="44">
        <f>SUM(Q95:V95)</f>
      </c>
      <c r="Q95" s="44">
        <f>COUNTIF('Assisted workspace'!$R$112:$R$115,Q$3)</f>
      </c>
      <c r="R95" s="44">
        <f>COUNTIF('Assisted workspace'!$R$112:$R$115,R$3)</f>
      </c>
      <c r="S95" s="44">
        <f>COUNTIF('Assisted workspace'!$R$112:$R$115,S$3)</f>
      </c>
      <c r="T95" s="44">
        <f>COUNTIF('Assisted workspace'!$R$112:$R$115,T$3)</f>
      </c>
      <c r="U95" s="44">
        <f>COUNTIF('Assisted workspace'!$R$112:$R$115,U$3)</f>
      </c>
      <c r="V95" s="44">
        <f>COUNTA('Assisted workspace'!$G$112:$G$115)-SUM(Q95:U95)</f>
      </c>
    </row>
    <row r="96" ht="15.75" customHeight="1">
      <c r="A96"/>
      <c r="B96" s="45"/>
      <c r="C96" s="42" t="s">
        <v>4030</v>
      </c>
      <c r="D96" s="42" t="s">
        <v>1216</v>
      </c>
      <c r="E96" s="43">
        <f>F96/G96</f>
      </c>
      <c r="F96" s="44">
        <f>SUM(H96:L96)</f>
      </c>
      <c r="G96" s="44">
        <f>SUM(H96:M96)</f>
      </c>
      <c r="H96" s="44">
        <f>COUNTIF('Assisted workspace'!$M$116:$M$116,H$3)</f>
      </c>
      <c r="I96" s="44">
        <f>COUNTIF('Assisted workspace'!$M$116:$M$116,I$3)</f>
      </c>
      <c r="J96" s="44">
        <f>COUNTIF('Assisted workspace'!$M$116:$M$116,J$3)</f>
      </c>
      <c r="K96" s="44">
        <f>COUNTIF('Assisted workspace'!$M$116:$M$116,K$3)</f>
      </c>
      <c r="L96" s="44">
        <f>COUNTIF('Assisted workspace'!$M$116:$M$116,L$3)</f>
      </c>
      <c r="M96" s="44">
        <f>COUNTA('Assisted workspace'!$G$116:$G$116)-SUM(H96:L96)</f>
      </c>
      <c r="N96" s="43">
        <f>O96/P96</f>
      </c>
      <c r="O96" s="44">
        <f>SUM(Q96:U96)</f>
      </c>
      <c r="P96" s="44">
        <f>SUM(Q96:V96)</f>
      </c>
      <c r="Q96" s="44">
        <f>COUNTIF('Assisted workspace'!$R$116:$R$116,Q$3)</f>
      </c>
      <c r="R96" s="44">
        <f>COUNTIF('Assisted workspace'!$R$116:$R$116,R$3)</f>
      </c>
      <c r="S96" s="44">
        <f>COUNTIF('Assisted workspace'!$R$116:$R$116,S$3)</f>
      </c>
      <c r="T96" s="44">
        <f>COUNTIF('Assisted workspace'!$R$116:$R$116,T$3)</f>
      </c>
      <c r="U96" s="44">
        <f>COUNTIF('Assisted workspace'!$R$116:$R$116,U$3)</f>
      </c>
      <c r="V96" s="44">
        <f>COUNTA('Assisted workspace'!$G$116:$G$116)-SUM(Q96:U96)</f>
      </c>
    </row>
    <row r="97" ht="15.75" customHeight="1">
      <c r="A97"/>
      <c r="B97" s="45"/>
      <c r="C97" s="42" t="s">
        <v>110</v>
      </c>
      <c r="D97" s="42" t="s">
        <v>111</v>
      </c>
      <c r="E97" s="43">
        <f>F97/G97</f>
      </c>
      <c r="F97" s="44">
        <f>SUM(H97:L97)</f>
      </c>
      <c r="G97" s="44">
        <f>SUM(H97:M97)</f>
      </c>
      <c r="H97" s="44">
        <f>COUNTIF('Assisted workspace'!$M$117:$M$119,H$3)</f>
      </c>
      <c r="I97" s="44">
        <f>COUNTIF('Assisted workspace'!$M$117:$M$119,I$3)</f>
      </c>
      <c r="J97" s="44">
        <f>COUNTIF('Assisted workspace'!$M$117:$M$119,J$3)</f>
      </c>
      <c r="K97" s="44">
        <f>COUNTIF('Assisted workspace'!$M$117:$M$119,K$3)</f>
      </c>
      <c r="L97" s="44">
        <f>COUNTIF('Assisted workspace'!$M$117:$M$119,L$3)</f>
      </c>
      <c r="M97" s="44">
        <f>COUNTA('Assisted workspace'!$G$117:$G$119)-SUM(H97:L97)</f>
      </c>
      <c r="N97" s="43">
        <f>O97/P97</f>
      </c>
      <c r="O97" s="44">
        <f>SUM(Q97:U97)</f>
      </c>
      <c r="P97" s="44">
        <f>SUM(Q97:V97)</f>
      </c>
      <c r="Q97" s="44">
        <f>COUNTIF('Assisted workspace'!$R$117:$R$119,Q$3)</f>
      </c>
      <c r="R97" s="44">
        <f>COUNTIF('Assisted workspace'!$R$117:$R$119,R$3)</f>
      </c>
      <c r="S97" s="44">
        <f>COUNTIF('Assisted workspace'!$R$117:$R$119,S$3)</f>
      </c>
      <c r="T97" s="44">
        <f>COUNTIF('Assisted workspace'!$R$117:$R$119,T$3)</f>
      </c>
      <c r="U97" s="44">
        <f>COUNTIF('Assisted workspace'!$R$117:$R$119,U$3)</f>
      </c>
      <c r="V97" s="44">
        <f>COUNTA('Assisted workspace'!$G$117:$G$119)-SUM(Q97:U97)</f>
      </c>
    </row>
    <row r="98" ht="15.75" customHeight="1">
      <c r="A98"/>
      <c r="B98" s="45"/>
      <c r="C98" s="42" t="s">
        <v>110</v>
      </c>
      <c r="D98" s="42" t="s">
        <v>112</v>
      </c>
      <c r="E98" s="43">
        <f>F98/G98</f>
      </c>
      <c r="F98" s="44">
        <f>SUM(H98:L98)</f>
      </c>
      <c r="G98" s="44">
        <f>SUM(H98:M98)</f>
      </c>
      <c r="H98" s="44">
        <f>COUNTIF('Assisted workspace'!$M$120:$M$123,H$3)</f>
      </c>
      <c r="I98" s="44">
        <f>COUNTIF('Assisted workspace'!$M$120:$M$123,I$3)</f>
      </c>
      <c r="J98" s="44">
        <f>COUNTIF('Assisted workspace'!$M$120:$M$123,J$3)</f>
      </c>
      <c r="K98" s="44">
        <f>COUNTIF('Assisted workspace'!$M$120:$M$123,K$3)</f>
      </c>
      <c r="L98" s="44">
        <f>COUNTIF('Assisted workspace'!$M$120:$M$123,L$3)</f>
      </c>
      <c r="M98" s="44">
        <f>COUNTA('Assisted workspace'!$G$120:$G$123)-SUM(H98:L98)</f>
      </c>
      <c r="N98" s="43">
        <f>O98/P98</f>
      </c>
      <c r="O98" s="44">
        <f>SUM(Q98:U98)</f>
      </c>
      <c r="P98" s="44">
        <f>SUM(Q98:V98)</f>
      </c>
      <c r="Q98" s="44">
        <f>COUNTIF('Assisted workspace'!$R$120:$R$123,Q$3)</f>
      </c>
      <c r="R98" s="44">
        <f>COUNTIF('Assisted workspace'!$R$120:$R$123,R$3)</f>
      </c>
      <c r="S98" s="44">
        <f>COUNTIF('Assisted workspace'!$R$120:$R$123,S$3)</f>
      </c>
      <c r="T98" s="44">
        <f>COUNTIF('Assisted workspace'!$R$120:$R$123,T$3)</f>
      </c>
      <c r="U98" s="44">
        <f>COUNTIF('Assisted workspace'!$R$120:$R$123,U$3)</f>
      </c>
      <c r="V98" s="44">
        <f>COUNTA('Assisted workspace'!$G$120:$G$123)-SUM(Q98:U98)</f>
      </c>
    </row>
    <row r="99" ht="15.75" customHeight="1">
      <c r="A99"/>
      <c r="B99" s="45"/>
      <c r="C99" s="42" t="s">
        <v>89</v>
      </c>
      <c r="D99" s="42" t="s">
        <v>4072</v>
      </c>
      <c r="E99" s="43">
        <f>F99/G99</f>
      </c>
      <c r="F99" s="44">
        <f>SUM(H99:L99)</f>
      </c>
      <c r="G99" s="44">
        <f>SUM(H99:M99)</f>
      </c>
      <c r="H99" s="44">
        <f>COUNTIF('Assisted workspace'!$M$124:$M$124,H$3)</f>
      </c>
      <c r="I99" s="44">
        <f>COUNTIF('Assisted workspace'!$M$124:$M$124,I$3)</f>
      </c>
      <c r="J99" s="44">
        <f>COUNTIF('Assisted workspace'!$M$124:$M$124,J$3)</f>
      </c>
      <c r="K99" s="44">
        <f>COUNTIF('Assisted workspace'!$M$124:$M$124,K$3)</f>
      </c>
      <c r="L99" s="44">
        <f>COUNTIF('Assisted workspace'!$M$124:$M$124,L$3)</f>
      </c>
      <c r="M99" s="44">
        <f>COUNTA('Assisted workspace'!$G$124:$G$124)-SUM(H99:L99)</f>
      </c>
      <c r="N99" s="43">
        <f>O99/P99</f>
      </c>
      <c r="O99" s="44">
        <f>SUM(Q99:U99)</f>
      </c>
      <c r="P99" s="44">
        <f>SUM(Q99:V99)</f>
      </c>
      <c r="Q99" s="44">
        <f>COUNTIF('Assisted workspace'!$R$124:$R$124,Q$3)</f>
      </c>
      <c r="R99" s="44">
        <f>COUNTIF('Assisted workspace'!$R$124:$R$124,R$3)</f>
      </c>
      <c r="S99" s="44">
        <f>COUNTIF('Assisted workspace'!$R$124:$R$124,S$3)</f>
      </c>
      <c r="T99" s="44">
        <f>COUNTIF('Assisted workspace'!$R$124:$R$124,T$3)</f>
      </c>
      <c r="U99" s="44">
        <f>COUNTIF('Assisted workspace'!$R$124:$R$124,U$3)</f>
      </c>
      <c r="V99" s="44">
        <f>COUNTA('Assisted workspace'!$G$124:$G$124)-SUM(Q99:U99)</f>
      </c>
    </row>
    <row r="100" ht="15.75" customHeight="1">
      <c r="A100"/>
      <c r="B100" s="45"/>
      <c r="C100" s="42" t="s">
        <v>89</v>
      </c>
      <c r="D100" s="42" t="s">
        <v>4080</v>
      </c>
      <c r="E100" s="43">
        <f>F100/G100</f>
      </c>
      <c r="F100" s="44">
        <f>SUM(H100:L100)</f>
      </c>
      <c r="G100" s="44">
        <f>SUM(H100:M100)</f>
      </c>
      <c r="H100" s="44">
        <f>COUNTIF('Assisted workspace'!$M$125:$M$126,H$3)</f>
      </c>
      <c r="I100" s="44">
        <f>COUNTIF('Assisted workspace'!$M$125:$M$126,I$3)</f>
      </c>
      <c r="J100" s="44">
        <f>COUNTIF('Assisted workspace'!$M$125:$M$126,J$3)</f>
      </c>
      <c r="K100" s="44">
        <f>COUNTIF('Assisted workspace'!$M$125:$M$126,K$3)</f>
      </c>
      <c r="L100" s="44">
        <f>COUNTIF('Assisted workspace'!$M$125:$M$126,L$3)</f>
      </c>
      <c r="M100" s="44">
        <f>COUNTA('Assisted workspace'!$G$125:$G$126)-SUM(H100:L100)</f>
      </c>
      <c r="N100" s="43">
        <f>O100/P100</f>
      </c>
      <c r="O100" s="44">
        <f>SUM(Q100:U100)</f>
      </c>
      <c r="P100" s="44">
        <f>SUM(Q100:V100)</f>
      </c>
      <c r="Q100" s="44">
        <f>COUNTIF('Assisted workspace'!$R$125:$R$126,Q$3)</f>
      </c>
      <c r="R100" s="44">
        <f>COUNTIF('Assisted workspace'!$R$125:$R$126,R$3)</f>
      </c>
      <c r="S100" s="44">
        <f>COUNTIF('Assisted workspace'!$R$125:$R$126,S$3)</f>
      </c>
      <c r="T100" s="44">
        <f>COUNTIF('Assisted workspace'!$R$125:$R$126,T$3)</f>
      </c>
      <c r="U100" s="44">
        <f>COUNTIF('Assisted workspace'!$R$125:$R$126,U$3)</f>
      </c>
      <c r="V100" s="44">
        <f>COUNTA('Assisted workspace'!$G$125:$G$126)-SUM(Q100:U100)</f>
      </c>
    </row>
    <row r="101" ht="15.75" customHeight="1">
      <c r="A101"/>
      <c r="B101" s="12"/>
      <c r="C101" s="46" t="s">
        <v>71</v>
      </c>
      <c r="D101" s="46"/>
      <c r="E101" s="47">
        <f>F101/G101</f>
      </c>
      <c r="F101" s="48">
        <f>SUM(H101:L101)</f>
      </c>
      <c r="G101" s="48">
        <f>SUM(H101:M101)</f>
      </c>
      <c r="H101" s="48">
        <f>SUM(H64:H100)</f>
      </c>
      <c r="I101" s="48">
        <f>SUM(I64:I100)</f>
      </c>
      <c r="J101" s="48">
        <f>SUM(J64:J100)</f>
      </c>
      <c r="K101" s="48">
        <f>SUM(K64:K100)</f>
      </c>
      <c r="L101" s="48">
        <f>SUM(L64:L100)</f>
      </c>
      <c r="M101" s="48">
        <f>SUM(M64:M100)</f>
      </c>
      <c r="N101" s="47">
        <f>O101/P101</f>
      </c>
      <c r="O101" s="48">
        <f>SUM(Q101:U101)</f>
      </c>
      <c r="P101" s="48">
        <f>SUM(Q101:V101)</f>
      </c>
      <c r="Q101" s="48">
        <f>SUM(Q64:Q100)</f>
      </c>
      <c r="R101" s="48">
        <f>SUM(R64:R100)</f>
      </c>
      <c r="S101" s="48">
        <f>SUM(S64:S100)</f>
      </c>
      <c r="T101" s="48">
        <f>SUM(T64:T100)</f>
      </c>
      <c r="U101" s="48">
        <f>SUM(U64:U100)</f>
      </c>
      <c r="V101" s="48">
        <f>SUM(V64:V100)</f>
      </c>
    </row>
    <row r="102" ht="15.75" customHeight="1">
      <c r="A102"/>
      <c r="B102" s="41" t="s">
        <v>3386</v>
      </c>
      <c r="C102" s="42" t="s">
        <v>80</v>
      </c>
      <c r="D102" s="42" t="s">
        <v>3164</v>
      </c>
      <c r="E102" s="43">
        <f>F102/G102</f>
      </c>
      <c r="F102" s="44">
        <f>SUM(H102:L102)</f>
      </c>
      <c r="G102" s="44">
        <f>SUM(H102:M102)</f>
      </c>
      <c r="H102" s="44">
        <f>COUNTIF('Workspaces'!$M$13:$M$14,H$3)</f>
      </c>
      <c r="I102" s="44">
        <f>COUNTIF('Workspaces'!$M$13:$M$14,I$3)</f>
      </c>
      <c r="J102" s="44">
        <f>COUNTIF('Workspaces'!$M$13:$M$14,J$3)</f>
      </c>
      <c r="K102" s="44">
        <f>COUNTIF('Workspaces'!$M$13:$M$14,K$3)</f>
      </c>
      <c r="L102" s="44">
        <f>COUNTIF('Workspaces'!$M$13:$M$14,L$3)</f>
      </c>
      <c r="M102" s="44">
        <f>COUNTA('Workspaces'!$G$13:$G$14)-SUM(H102:L102)</f>
      </c>
      <c r="N102" s="43">
        <f>O102/P102</f>
      </c>
      <c r="O102" s="44">
        <f>SUM(Q102:U102)</f>
      </c>
      <c r="P102" s="44">
        <f>SUM(Q102:V102)</f>
      </c>
      <c r="Q102" s="44">
        <f>COUNTIF('Workspaces'!$R$13:$R$14,Q$3)</f>
      </c>
      <c r="R102" s="44">
        <f>COUNTIF('Workspaces'!$R$13:$R$14,R$3)</f>
      </c>
      <c r="S102" s="44">
        <f>COUNTIF('Workspaces'!$R$13:$R$14,S$3)</f>
      </c>
      <c r="T102" s="44">
        <f>COUNTIF('Workspaces'!$R$13:$R$14,T$3)</f>
      </c>
      <c r="U102" s="44">
        <f>COUNTIF('Workspaces'!$R$13:$R$14,U$3)</f>
      </c>
      <c r="V102" s="44">
        <f>COUNTA('Workspaces'!$G$13:$G$14)-SUM(Q102:U102)</f>
      </c>
    </row>
    <row r="103" ht="15.75" customHeight="1">
      <c r="A103"/>
      <c r="B103" s="45"/>
      <c r="C103" s="42" t="s">
        <v>80</v>
      </c>
      <c r="D103" s="42" t="s">
        <v>3175</v>
      </c>
      <c r="E103" s="43">
        <f>F103/G103</f>
      </c>
      <c r="F103" s="44">
        <f>SUM(H103:L103)</f>
      </c>
      <c r="G103" s="44">
        <f>SUM(H103:M103)</f>
      </c>
      <c r="H103" s="44">
        <f>COUNTIF('Workspaces'!$M$15:$M$15,H$3)</f>
      </c>
      <c r="I103" s="44">
        <f>COUNTIF('Workspaces'!$M$15:$M$15,I$3)</f>
      </c>
      <c r="J103" s="44">
        <f>COUNTIF('Workspaces'!$M$15:$M$15,J$3)</f>
      </c>
      <c r="K103" s="44">
        <f>COUNTIF('Workspaces'!$M$15:$M$15,K$3)</f>
      </c>
      <c r="L103" s="44">
        <f>COUNTIF('Workspaces'!$M$15:$M$15,L$3)</f>
      </c>
      <c r="M103" s="44">
        <f>COUNTA('Workspaces'!$G$15:$G$15)-SUM(H103:L103)</f>
      </c>
      <c r="N103" s="43">
        <f>O103/P103</f>
      </c>
      <c r="O103" s="44">
        <f>SUM(Q103:U103)</f>
      </c>
      <c r="P103" s="44">
        <f>SUM(Q103:V103)</f>
      </c>
      <c r="Q103" s="44">
        <f>COUNTIF('Workspaces'!$R$15:$R$15,Q$3)</f>
      </c>
      <c r="R103" s="44">
        <f>COUNTIF('Workspaces'!$R$15:$R$15,R$3)</f>
      </c>
      <c r="S103" s="44">
        <f>COUNTIF('Workspaces'!$R$15:$R$15,S$3)</f>
      </c>
      <c r="T103" s="44">
        <f>COUNTIF('Workspaces'!$R$15:$R$15,T$3)</f>
      </c>
      <c r="U103" s="44">
        <f>COUNTIF('Workspaces'!$R$15:$R$15,U$3)</f>
      </c>
      <c r="V103" s="44">
        <f>COUNTA('Workspaces'!$G$15:$G$15)-SUM(Q103:U103)</f>
      </c>
    </row>
    <row r="104" ht="15.75" customHeight="1">
      <c r="A104"/>
      <c r="B104" s="45"/>
      <c r="C104" s="42" t="s">
        <v>80</v>
      </c>
      <c r="D104" s="42" t="s">
        <v>119</v>
      </c>
      <c r="E104" s="43">
        <f>F104/G104</f>
      </c>
      <c r="F104" s="44">
        <f>SUM(H104:L104)</f>
      </c>
      <c r="G104" s="44">
        <f>SUM(H104:M104)</f>
      </c>
      <c r="H104" s="44">
        <f>COUNTIF('Workspaces'!$M$16:$M$16,H$3)</f>
      </c>
      <c r="I104" s="44">
        <f>COUNTIF('Workspaces'!$M$16:$M$16,I$3)</f>
      </c>
      <c r="J104" s="44">
        <f>COUNTIF('Workspaces'!$M$16:$M$16,J$3)</f>
      </c>
      <c r="K104" s="44">
        <f>COUNTIF('Workspaces'!$M$16:$M$16,K$3)</f>
      </c>
      <c r="L104" s="44">
        <f>COUNTIF('Workspaces'!$M$16:$M$16,L$3)</f>
      </c>
      <c r="M104" s="44">
        <f>COUNTA('Workspaces'!$G$16:$G$16)-SUM(H104:L104)</f>
      </c>
      <c r="N104" s="43">
        <f>O104/P104</f>
      </c>
      <c r="O104" s="44">
        <f>SUM(Q104:U104)</f>
      </c>
      <c r="P104" s="44">
        <f>SUM(Q104:V104)</f>
      </c>
      <c r="Q104" s="44">
        <f>COUNTIF('Workspaces'!$R$16:$R$16,Q$3)</f>
      </c>
      <c r="R104" s="44">
        <f>COUNTIF('Workspaces'!$R$16:$R$16,R$3)</f>
      </c>
      <c r="S104" s="44">
        <f>COUNTIF('Workspaces'!$R$16:$R$16,S$3)</f>
      </c>
      <c r="T104" s="44">
        <f>COUNTIF('Workspaces'!$R$16:$R$16,T$3)</f>
      </c>
      <c r="U104" s="44">
        <f>COUNTIF('Workspaces'!$R$16:$R$16,U$3)</f>
      </c>
      <c r="V104" s="44">
        <f>COUNTA('Workspaces'!$G$16:$G$16)-SUM(Q104:U104)</f>
      </c>
    </row>
    <row r="105" ht="31.5" customHeight="1">
      <c r="A105"/>
      <c r="B105" s="45"/>
      <c r="C105" s="42" t="s">
        <v>3189</v>
      </c>
      <c r="D105" s="42" t="s">
        <v>121</v>
      </c>
      <c r="E105" s="43">
        <f>F105/G105</f>
      </c>
      <c r="F105" s="44">
        <f>SUM(H105:L105)</f>
      </c>
      <c r="G105" s="44">
        <f>SUM(H105:M105)</f>
      </c>
      <c r="H105" s="44">
        <f>COUNTIF('Workspaces'!$M$17:$M$19,H$3)</f>
      </c>
      <c r="I105" s="44">
        <f>COUNTIF('Workspaces'!$M$17:$M$19,I$3)</f>
      </c>
      <c r="J105" s="44">
        <f>COUNTIF('Workspaces'!$M$17:$M$19,J$3)</f>
      </c>
      <c r="K105" s="44">
        <f>COUNTIF('Workspaces'!$M$17:$M$19,K$3)</f>
      </c>
      <c r="L105" s="44">
        <f>COUNTIF('Workspaces'!$M$17:$M$19,L$3)</f>
      </c>
      <c r="M105" s="44">
        <f>COUNTA('Workspaces'!$G$17:$G$19)-SUM(H105:L105)</f>
      </c>
      <c r="N105" s="43">
        <f>O105/P105</f>
      </c>
      <c r="O105" s="44">
        <f>SUM(Q105:U105)</f>
      </c>
      <c r="P105" s="44">
        <f>SUM(Q105:V105)</f>
      </c>
      <c r="Q105" s="44">
        <f>COUNTIF('Workspaces'!$R$17:$R$19,Q$3)</f>
      </c>
      <c r="R105" s="44">
        <f>COUNTIF('Workspaces'!$R$17:$R$19,R$3)</f>
      </c>
      <c r="S105" s="44">
        <f>COUNTIF('Workspaces'!$R$17:$R$19,S$3)</f>
      </c>
      <c r="T105" s="44">
        <f>COUNTIF('Workspaces'!$R$17:$R$19,T$3)</f>
      </c>
      <c r="U105" s="44">
        <f>COUNTIF('Workspaces'!$R$17:$R$19,U$3)</f>
      </c>
      <c r="V105" s="44">
        <f>COUNTA('Workspaces'!$G$17:$G$19)-SUM(Q105:U105)</f>
      </c>
    </row>
    <row r="106" ht="31.5" customHeight="1">
      <c r="A106"/>
      <c r="B106" s="45"/>
      <c r="C106" s="42" t="s">
        <v>3189</v>
      </c>
      <c r="D106" s="42" t="s">
        <v>3205</v>
      </c>
      <c r="E106" s="43">
        <f>F106/G106</f>
      </c>
      <c r="F106" s="44">
        <f>SUM(H106:L106)</f>
      </c>
      <c r="G106" s="44">
        <f>SUM(H106:M106)</f>
      </c>
      <c r="H106" s="44">
        <f>COUNTIF('Workspaces'!$M$20:$M$20,H$3)</f>
      </c>
      <c r="I106" s="44">
        <f>COUNTIF('Workspaces'!$M$20:$M$20,I$3)</f>
      </c>
      <c r="J106" s="44">
        <f>COUNTIF('Workspaces'!$M$20:$M$20,J$3)</f>
      </c>
      <c r="K106" s="44">
        <f>COUNTIF('Workspaces'!$M$20:$M$20,K$3)</f>
      </c>
      <c r="L106" s="44">
        <f>COUNTIF('Workspaces'!$M$20:$M$20,L$3)</f>
      </c>
      <c r="M106" s="44">
        <f>COUNTA('Workspaces'!$G$20:$G$20)-SUM(H106:L106)</f>
      </c>
      <c r="N106" s="43">
        <f>O106/P106</f>
      </c>
      <c r="O106" s="44">
        <f>SUM(Q106:U106)</f>
      </c>
      <c r="P106" s="44">
        <f>SUM(Q106:V106)</f>
      </c>
      <c r="Q106" s="44">
        <f>COUNTIF('Workspaces'!$R$20:$R$20,Q$3)</f>
      </c>
      <c r="R106" s="44">
        <f>COUNTIF('Workspaces'!$R$20:$R$20,R$3)</f>
      </c>
      <c r="S106" s="44">
        <f>COUNTIF('Workspaces'!$R$20:$R$20,S$3)</f>
      </c>
      <c r="T106" s="44">
        <f>COUNTIF('Workspaces'!$R$20:$R$20,T$3)</f>
      </c>
      <c r="U106" s="44">
        <f>COUNTIF('Workspaces'!$R$20:$R$20,U$3)</f>
      </c>
      <c r="V106" s="44">
        <f>COUNTA('Workspaces'!$G$20:$G$20)-SUM(Q106:U106)</f>
      </c>
    </row>
    <row r="107" ht="31.5" customHeight="1">
      <c r="A107"/>
      <c r="B107" s="45"/>
      <c r="C107" s="42" t="s">
        <v>3189</v>
      </c>
      <c r="D107" s="42" t="s">
        <v>96</v>
      </c>
      <c r="E107" s="43">
        <f>F107/G107</f>
      </c>
      <c r="F107" s="44">
        <f>SUM(H107:L107)</f>
      </c>
      <c r="G107" s="44">
        <f>SUM(H107:M107)</f>
      </c>
      <c r="H107" s="44">
        <f>COUNTIF('Workspaces'!$M$21:$M$29,H$3)</f>
      </c>
      <c r="I107" s="44">
        <f>COUNTIF('Workspaces'!$M$21:$M$29,I$3)</f>
      </c>
      <c r="J107" s="44">
        <f>COUNTIF('Workspaces'!$M$21:$M$29,J$3)</f>
      </c>
      <c r="K107" s="44">
        <f>COUNTIF('Workspaces'!$M$21:$M$29,K$3)</f>
      </c>
      <c r="L107" s="44">
        <f>COUNTIF('Workspaces'!$M$21:$M$29,L$3)</f>
      </c>
      <c r="M107" s="44">
        <f>COUNTA('Workspaces'!$G$21:$G$29)-SUM(H107:L107)</f>
      </c>
      <c r="N107" s="43">
        <f>O107/P107</f>
      </c>
      <c r="O107" s="44">
        <f>SUM(Q107:U107)</f>
      </c>
      <c r="P107" s="44">
        <f>SUM(Q107:V107)</f>
      </c>
      <c r="Q107" s="44">
        <f>COUNTIF('Workspaces'!$R$21:$R$29,Q$3)</f>
      </c>
      <c r="R107" s="44">
        <f>COUNTIF('Workspaces'!$R$21:$R$29,R$3)</f>
      </c>
      <c r="S107" s="44">
        <f>COUNTIF('Workspaces'!$R$21:$R$29,S$3)</f>
      </c>
      <c r="T107" s="44">
        <f>COUNTIF('Workspaces'!$R$21:$R$29,T$3)</f>
      </c>
      <c r="U107" s="44">
        <f>COUNTIF('Workspaces'!$R$21:$R$29,U$3)</f>
      </c>
      <c r="V107" s="44">
        <f>COUNTA('Workspaces'!$G$21:$G$29)-SUM(Q107:U107)</f>
      </c>
    </row>
    <row r="108" ht="31.5" customHeight="1">
      <c r="A108"/>
      <c r="B108" s="45"/>
      <c r="C108" s="42" t="s">
        <v>3189</v>
      </c>
      <c r="D108" s="42" t="s">
        <v>3248</v>
      </c>
      <c r="E108" s="43">
        <f>F108/G108</f>
      </c>
      <c r="F108" s="44">
        <f>SUM(H108:L108)</f>
      </c>
      <c r="G108" s="44">
        <f>SUM(H108:M108)</f>
      </c>
      <c r="H108" s="44">
        <f>COUNTIF('Workspaces'!$M$30:$M$30,H$3)</f>
      </c>
      <c r="I108" s="44">
        <f>COUNTIF('Workspaces'!$M$30:$M$30,I$3)</f>
      </c>
      <c r="J108" s="44">
        <f>COUNTIF('Workspaces'!$M$30:$M$30,J$3)</f>
      </c>
      <c r="K108" s="44">
        <f>COUNTIF('Workspaces'!$M$30:$M$30,K$3)</f>
      </c>
      <c r="L108" s="44">
        <f>COUNTIF('Workspaces'!$M$30:$M$30,L$3)</f>
      </c>
      <c r="M108" s="44">
        <f>COUNTA('Workspaces'!$G$30:$G$30)-SUM(H108:L108)</f>
      </c>
      <c r="N108" s="43">
        <f>O108/P108</f>
      </c>
      <c r="O108" s="44">
        <f>SUM(Q108:U108)</f>
      </c>
      <c r="P108" s="44">
        <f>SUM(Q108:V108)</f>
      </c>
      <c r="Q108" s="44">
        <f>COUNTIF('Workspaces'!$R$30:$R$30,Q$3)</f>
      </c>
      <c r="R108" s="44">
        <f>COUNTIF('Workspaces'!$R$30:$R$30,R$3)</f>
      </c>
      <c r="S108" s="44">
        <f>COUNTIF('Workspaces'!$R$30:$R$30,S$3)</f>
      </c>
      <c r="T108" s="44">
        <f>COUNTIF('Workspaces'!$R$30:$R$30,T$3)</f>
      </c>
      <c r="U108" s="44">
        <f>COUNTIF('Workspaces'!$R$30:$R$30,U$3)</f>
      </c>
      <c r="V108" s="44">
        <f>COUNTA('Workspaces'!$G$30:$G$30)-SUM(Q108:U108)</f>
      </c>
    </row>
    <row r="109" ht="31.5" customHeight="1">
      <c r="A109"/>
      <c r="B109" s="45"/>
      <c r="C109" s="42" t="s">
        <v>3189</v>
      </c>
      <c r="D109" s="42" t="s">
        <v>3254</v>
      </c>
      <c r="E109" s="43">
        <f>F109/G109</f>
      </c>
      <c r="F109" s="44">
        <f>SUM(H109:L109)</f>
      </c>
      <c r="G109" s="44">
        <f>SUM(H109:M109)</f>
      </c>
      <c r="H109" s="44">
        <f>COUNTIF('Workspaces'!$M$31:$M$47,H$3)</f>
      </c>
      <c r="I109" s="44">
        <f>COUNTIF('Workspaces'!$M$31:$M$47,I$3)</f>
      </c>
      <c r="J109" s="44">
        <f>COUNTIF('Workspaces'!$M$31:$M$47,J$3)</f>
      </c>
      <c r="K109" s="44">
        <f>COUNTIF('Workspaces'!$M$31:$M$47,K$3)</f>
      </c>
      <c r="L109" s="44">
        <f>COUNTIF('Workspaces'!$M$31:$M$47,L$3)</f>
      </c>
      <c r="M109" s="44">
        <f>COUNTA('Workspaces'!$G$31:$G$47)-SUM(H109:L109)</f>
      </c>
      <c r="N109" s="43">
        <f>O109/P109</f>
      </c>
      <c r="O109" s="44">
        <f>SUM(Q109:U109)</f>
      </c>
      <c r="P109" s="44">
        <f>SUM(Q109:V109)</f>
      </c>
      <c r="Q109" s="44">
        <f>COUNTIF('Workspaces'!$R$31:$R$47,Q$3)</f>
      </c>
      <c r="R109" s="44">
        <f>COUNTIF('Workspaces'!$R$31:$R$47,R$3)</f>
      </c>
      <c r="S109" s="44">
        <f>COUNTIF('Workspaces'!$R$31:$R$47,S$3)</f>
      </c>
      <c r="T109" s="44">
        <f>COUNTIF('Workspaces'!$R$31:$R$47,T$3)</f>
      </c>
      <c r="U109" s="44">
        <f>COUNTIF('Workspaces'!$R$31:$R$47,U$3)</f>
      </c>
      <c r="V109" s="44">
        <f>COUNTA('Workspaces'!$G$31:$G$47)-SUM(Q109:U109)</f>
      </c>
    </row>
    <row r="110" ht="31.5" customHeight="1">
      <c r="A110"/>
      <c r="B110" s="45"/>
      <c r="C110" s="42" t="s">
        <v>3189</v>
      </c>
      <c r="D110" s="42" t="s">
        <v>3338</v>
      </c>
      <c r="E110" s="43">
        <f>F110/G110</f>
      </c>
      <c r="F110" s="44">
        <f>SUM(H110:L110)</f>
      </c>
      <c r="G110" s="44">
        <f>SUM(H110:M110)</f>
      </c>
      <c r="H110" s="44">
        <f>COUNTIF('Workspaces'!$M$48:$M$48,H$3)</f>
      </c>
      <c r="I110" s="44">
        <f>COUNTIF('Workspaces'!$M$48:$M$48,I$3)</f>
      </c>
      <c r="J110" s="44">
        <f>COUNTIF('Workspaces'!$M$48:$M$48,J$3)</f>
      </c>
      <c r="K110" s="44">
        <f>COUNTIF('Workspaces'!$M$48:$M$48,K$3)</f>
      </c>
      <c r="L110" s="44">
        <f>COUNTIF('Workspaces'!$M$48:$M$48,L$3)</f>
      </c>
      <c r="M110" s="44">
        <f>COUNTA('Workspaces'!$G$48:$G$48)-SUM(H110:L110)</f>
      </c>
      <c r="N110" s="43">
        <f>O110/P110</f>
      </c>
      <c r="O110" s="44">
        <f>SUM(Q110:U110)</f>
      </c>
      <c r="P110" s="44">
        <f>SUM(Q110:V110)</f>
      </c>
      <c r="Q110" s="44">
        <f>COUNTIF('Workspaces'!$R$48:$R$48,Q$3)</f>
      </c>
      <c r="R110" s="44">
        <f>COUNTIF('Workspaces'!$R$48:$R$48,R$3)</f>
      </c>
      <c r="S110" s="44">
        <f>COUNTIF('Workspaces'!$R$48:$R$48,S$3)</f>
      </c>
      <c r="T110" s="44">
        <f>COUNTIF('Workspaces'!$R$48:$R$48,T$3)</f>
      </c>
      <c r="U110" s="44">
        <f>COUNTIF('Workspaces'!$R$48:$R$48,U$3)</f>
      </c>
      <c r="V110" s="44">
        <f>COUNTA('Workspaces'!$G$48:$G$48)-SUM(Q110:U110)</f>
      </c>
    </row>
    <row r="111" ht="31.5" customHeight="1">
      <c r="A111"/>
      <c r="B111" s="45"/>
      <c r="C111" s="42" t="s">
        <v>3189</v>
      </c>
      <c r="D111" s="42" t="s">
        <v>98</v>
      </c>
      <c r="E111" s="43">
        <f>F111/G111</f>
      </c>
      <c r="F111" s="44">
        <f>SUM(H111:L111)</f>
      </c>
      <c r="G111" s="44">
        <f>SUM(H111:M111)</f>
      </c>
      <c r="H111" s="44">
        <f>COUNTIF('Workspaces'!$M$49:$M$52,H$3)</f>
      </c>
      <c r="I111" s="44">
        <f>COUNTIF('Workspaces'!$M$49:$M$52,I$3)</f>
      </c>
      <c r="J111" s="44">
        <f>COUNTIF('Workspaces'!$M$49:$M$52,J$3)</f>
      </c>
      <c r="K111" s="44">
        <f>COUNTIF('Workspaces'!$M$49:$M$52,K$3)</f>
      </c>
      <c r="L111" s="44">
        <f>COUNTIF('Workspaces'!$M$49:$M$52,L$3)</f>
      </c>
      <c r="M111" s="44">
        <f>COUNTA('Workspaces'!$G$49:$G$52)-SUM(H111:L111)</f>
      </c>
      <c r="N111" s="43">
        <f>O111/P111</f>
      </c>
      <c r="O111" s="44">
        <f>SUM(Q111:U111)</f>
      </c>
      <c r="P111" s="44">
        <f>SUM(Q111:V111)</f>
      </c>
      <c r="Q111" s="44">
        <f>COUNTIF('Workspaces'!$R$49:$R$52,Q$3)</f>
      </c>
      <c r="R111" s="44">
        <f>COUNTIF('Workspaces'!$R$49:$R$52,R$3)</f>
      </c>
      <c r="S111" s="44">
        <f>COUNTIF('Workspaces'!$R$49:$R$52,S$3)</f>
      </c>
      <c r="T111" s="44">
        <f>COUNTIF('Workspaces'!$R$49:$R$52,T$3)</f>
      </c>
      <c r="U111" s="44">
        <f>COUNTIF('Workspaces'!$R$49:$R$52,U$3)</f>
      </c>
      <c r="V111" s="44">
        <f>COUNTA('Workspaces'!$G$49:$G$52)-SUM(Q111:U111)</f>
      </c>
    </row>
    <row r="112" ht="15.75" customHeight="1">
      <c r="A112"/>
      <c r="B112" s="45"/>
      <c r="C112" s="42" t="s">
        <v>110</v>
      </c>
      <c r="D112" s="42" t="s">
        <v>538</v>
      </c>
      <c r="E112" s="43">
        <f>F112/G112</f>
      </c>
      <c r="F112" s="44">
        <f>SUM(H112:L112)</f>
      </c>
      <c r="G112" s="44">
        <f>SUM(H112:M112)</f>
      </c>
      <c r="H112" s="44">
        <f>COUNTIF('Workspaces'!$M$53:$M$53,H$3)</f>
      </c>
      <c r="I112" s="44">
        <f>COUNTIF('Workspaces'!$M$53:$M$53,I$3)</f>
      </c>
      <c r="J112" s="44">
        <f>COUNTIF('Workspaces'!$M$53:$M$53,J$3)</f>
      </c>
      <c r="K112" s="44">
        <f>COUNTIF('Workspaces'!$M$53:$M$53,K$3)</f>
      </c>
      <c r="L112" s="44">
        <f>COUNTIF('Workspaces'!$M$53:$M$53,L$3)</f>
      </c>
      <c r="M112" s="44">
        <f>COUNTA('Workspaces'!$G$53:$G$53)-SUM(H112:L112)</f>
      </c>
      <c r="N112" s="43">
        <f>O112/P112</f>
      </c>
      <c r="O112" s="44">
        <f>SUM(Q112:U112)</f>
      </c>
      <c r="P112" s="44">
        <f>SUM(Q112:V112)</f>
      </c>
      <c r="Q112" s="44">
        <f>COUNTIF('Workspaces'!$R$53:$R$53,Q$3)</f>
      </c>
      <c r="R112" s="44">
        <f>COUNTIF('Workspaces'!$R$53:$R$53,R$3)</f>
      </c>
      <c r="S112" s="44">
        <f>COUNTIF('Workspaces'!$R$53:$R$53,S$3)</f>
      </c>
      <c r="T112" s="44">
        <f>COUNTIF('Workspaces'!$R$53:$R$53,T$3)</f>
      </c>
      <c r="U112" s="44">
        <f>COUNTIF('Workspaces'!$R$53:$R$53,U$3)</f>
      </c>
      <c r="V112" s="44">
        <f>COUNTA('Workspaces'!$G$53:$G$53)-SUM(Q112:U112)</f>
      </c>
    </row>
    <row r="113" ht="15.75" customHeight="1">
      <c r="A113"/>
      <c r="B113" s="45"/>
      <c r="C113" s="42" t="s">
        <v>110</v>
      </c>
      <c r="D113" s="42" t="s">
        <v>111</v>
      </c>
      <c r="E113" s="43">
        <f>F113/G113</f>
      </c>
      <c r="F113" s="44">
        <f>SUM(H113:L113)</f>
      </c>
      <c r="G113" s="44">
        <f>SUM(H113:M113)</f>
      </c>
      <c r="H113" s="44">
        <f>COUNTIF('Workspaces'!$M$54:$M$54,H$3)</f>
      </c>
      <c r="I113" s="44">
        <f>COUNTIF('Workspaces'!$M$54:$M$54,I$3)</f>
      </c>
      <c r="J113" s="44">
        <f>COUNTIF('Workspaces'!$M$54:$M$54,J$3)</f>
      </c>
      <c r="K113" s="44">
        <f>COUNTIF('Workspaces'!$M$54:$M$54,K$3)</f>
      </c>
      <c r="L113" s="44">
        <f>COUNTIF('Workspaces'!$M$54:$M$54,L$3)</f>
      </c>
      <c r="M113" s="44">
        <f>COUNTA('Workspaces'!$G$54:$G$54)-SUM(H113:L113)</f>
      </c>
      <c r="N113" s="43">
        <f>O113/P113</f>
      </c>
      <c r="O113" s="44">
        <f>SUM(Q113:U113)</f>
      </c>
      <c r="P113" s="44">
        <f>SUM(Q113:V113)</f>
      </c>
      <c r="Q113" s="44">
        <f>COUNTIF('Workspaces'!$R$54:$R$54,Q$3)</f>
      </c>
      <c r="R113" s="44">
        <f>COUNTIF('Workspaces'!$R$54:$R$54,R$3)</f>
      </c>
      <c r="S113" s="44">
        <f>COUNTIF('Workspaces'!$R$54:$R$54,S$3)</f>
      </c>
      <c r="T113" s="44">
        <f>COUNTIF('Workspaces'!$R$54:$R$54,T$3)</f>
      </c>
      <c r="U113" s="44">
        <f>COUNTIF('Workspaces'!$R$54:$R$54,U$3)</f>
      </c>
      <c r="V113" s="44">
        <f>COUNTA('Workspaces'!$G$54:$G$54)-SUM(Q113:U113)</f>
      </c>
    </row>
    <row r="114" ht="15.75" customHeight="1">
      <c r="A114"/>
      <c r="B114" s="45"/>
      <c r="C114" s="42" t="s">
        <v>110</v>
      </c>
      <c r="D114" s="42" t="s">
        <v>112</v>
      </c>
      <c r="E114" s="43">
        <f>F114/G114</f>
      </c>
      <c r="F114" s="44">
        <f>SUM(H114:L114)</f>
      </c>
      <c r="G114" s="44">
        <f>SUM(H114:M114)</f>
      </c>
      <c r="H114" s="44">
        <f>COUNTIF('Workspaces'!$M$55:$M$55,H$3)</f>
      </c>
      <c r="I114" s="44">
        <f>COUNTIF('Workspaces'!$M$55:$M$55,I$3)</f>
      </c>
      <c r="J114" s="44">
        <f>COUNTIF('Workspaces'!$M$55:$M$55,J$3)</f>
      </c>
      <c r="K114" s="44">
        <f>COUNTIF('Workspaces'!$M$55:$M$55,K$3)</f>
      </c>
      <c r="L114" s="44">
        <f>COUNTIF('Workspaces'!$M$55:$M$55,L$3)</f>
      </c>
      <c r="M114" s="44">
        <f>COUNTA('Workspaces'!$G$55:$G$55)-SUM(H114:L114)</f>
      </c>
      <c r="N114" s="43">
        <f>O114/P114</f>
      </c>
      <c r="O114" s="44">
        <f>SUM(Q114:U114)</f>
      </c>
      <c r="P114" s="44">
        <f>SUM(Q114:V114)</f>
      </c>
      <c r="Q114" s="44">
        <f>COUNTIF('Workspaces'!$R$55:$R$55,Q$3)</f>
      </c>
      <c r="R114" s="44">
        <f>COUNTIF('Workspaces'!$R$55:$R$55,R$3)</f>
      </c>
      <c r="S114" s="44">
        <f>COUNTIF('Workspaces'!$R$55:$R$55,S$3)</f>
      </c>
      <c r="T114" s="44">
        <f>COUNTIF('Workspaces'!$R$55:$R$55,T$3)</f>
      </c>
      <c r="U114" s="44">
        <f>COUNTIF('Workspaces'!$R$55:$R$55,U$3)</f>
      </c>
      <c r="V114" s="44">
        <f>COUNTA('Workspaces'!$G$55:$G$55)-SUM(Q114:U114)</f>
      </c>
    </row>
    <row r="115" ht="15.75" customHeight="1">
      <c r="A115"/>
      <c r="B115" s="45"/>
      <c r="C115" s="42" t="s">
        <v>89</v>
      </c>
      <c r="D115" s="42" t="s">
        <v>114</v>
      </c>
      <c r="E115" s="43">
        <f>F115/G115</f>
      </c>
      <c r="F115" s="44">
        <f>SUM(H115:L115)</f>
      </c>
      <c r="G115" s="44">
        <f>SUM(H115:M115)</f>
      </c>
      <c r="H115" s="44">
        <f>COUNTIF('Workspaces'!$M$56:$M$57,H$3)</f>
      </c>
      <c r="I115" s="44">
        <f>COUNTIF('Workspaces'!$M$56:$M$57,I$3)</f>
      </c>
      <c r="J115" s="44">
        <f>COUNTIF('Workspaces'!$M$56:$M$57,J$3)</f>
      </c>
      <c r="K115" s="44">
        <f>COUNTIF('Workspaces'!$M$56:$M$57,K$3)</f>
      </c>
      <c r="L115" s="44">
        <f>COUNTIF('Workspaces'!$M$56:$M$57,L$3)</f>
      </c>
      <c r="M115" s="44">
        <f>COUNTA('Workspaces'!$G$56:$G$57)-SUM(H115:L115)</f>
      </c>
      <c r="N115" s="43">
        <f>O115/P115</f>
      </c>
      <c r="O115" s="44">
        <f>SUM(Q115:U115)</f>
      </c>
      <c r="P115" s="44">
        <f>SUM(Q115:V115)</f>
      </c>
      <c r="Q115" s="44">
        <f>COUNTIF('Workspaces'!$R$56:$R$57,Q$3)</f>
      </c>
      <c r="R115" s="44">
        <f>COUNTIF('Workspaces'!$R$56:$R$57,R$3)</f>
      </c>
      <c r="S115" s="44">
        <f>COUNTIF('Workspaces'!$R$56:$R$57,S$3)</f>
      </c>
      <c r="T115" s="44">
        <f>COUNTIF('Workspaces'!$R$56:$R$57,T$3)</f>
      </c>
      <c r="U115" s="44">
        <f>COUNTIF('Workspaces'!$R$56:$R$57,U$3)</f>
      </c>
      <c r="V115" s="44">
        <f>COUNTA('Workspaces'!$G$56:$G$57)-SUM(Q115:U115)</f>
      </c>
    </row>
    <row r="116" ht="15.75" customHeight="1">
      <c r="A116"/>
      <c r="B116" s="12"/>
      <c r="C116" s="46" t="s">
        <v>71</v>
      </c>
      <c r="D116" s="46"/>
      <c r="E116" s="47">
        <f>F116/G116</f>
      </c>
      <c r="F116" s="48">
        <f>SUM(H116:L116)</f>
      </c>
      <c r="G116" s="48">
        <f>SUM(H116:M116)</f>
      </c>
      <c r="H116" s="48">
        <f>SUM(H102:H115)</f>
      </c>
      <c r="I116" s="48">
        <f>SUM(I102:I115)</f>
      </c>
      <c r="J116" s="48">
        <f>SUM(J102:J115)</f>
      </c>
      <c r="K116" s="48">
        <f>SUM(K102:K115)</f>
      </c>
      <c r="L116" s="48">
        <f>SUM(L102:L115)</f>
      </c>
      <c r="M116" s="48">
        <f>SUM(M102:M115)</f>
      </c>
      <c r="N116" s="47">
        <f>O116/P116</f>
      </c>
      <c r="O116" s="48">
        <f>SUM(Q116:U116)</f>
      </c>
      <c r="P116" s="48">
        <f>SUM(Q116:V116)</f>
      </c>
      <c r="Q116" s="48">
        <f>SUM(Q102:Q115)</f>
      </c>
      <c r="R116" s="48">
        <f>SUM(R102:R115)</f>
      </c>
      <c r="S116" s="48">
        <f>SUM(S102:S115)</f>
      </c>
      <c r="T116" s="48">
        <f>SUM(T102:T115)</f>
      </c>
      <c r="U116" s="48">
        <f>SUM(U102:U115)</f>
      </c>
      <c r="V116" s="48">
        <f>SUM(V102:V115)</f>
      </c>
    </row>
    <row r="117" ht="15.75" customHeight="1">
      <c r="A117"/>
      <c r="B117" s="41" t="s">
        <v>144</v>
      </c>
      <c r="C117" s="42" t="s">
        <v>80</v>
      </c>
      <c r="D117" s="42" t="s">
        <v>145</v>
      </c>
      <c r="E117" s="43">
        <f>F117/G117</f>
      </c>
      <c r="F117" s="44">
        <f>SUM(H117:L117)</f>
      </c>
      <c r="G117" s="44">
        <f>SUM(H117:M117)</f>
      </c>
      <c r="H117" s="44">
        <f>COUNTIF('Users'!$M$13:$M$14,H$3)</f>
      </c>
      <c r="I117" s="44">
        <f>COUNTIF('Users'!$M$13:$M$14,I$3)</f>
      </c>
      <c r="J117" s="44">
        <f>COUNTIF('Users'!$M$13:$M$14,J$3)</f>
      </c>
      <c r="K117" s="44">
        <f>COUNTIF('Users'!$M$13:$M$14,K$3)</f>
      </c>
      <c r="L117" s="44">
        <f>COUNTIF('Users'!$M$13:$M$14,L$3)</f>
      </c>
      <c r="M117" s="44">
        <f>COUNTA('Users'!$G$13:$G$14)-SUM(H117:L117)</f>
      </c>
      <c r="N117" s="43">
        <f>O117/P117</f>
      </c>
      <c r="O117" s="44">
        <f>SUM(Q117:U117)</f>
      </c>
      <c r="P117" s="44">
        <f>SUM(Q117:V117)</f>
      </c>
      <c r="Q117" s="44">
        <f>COUNTIF('Users'!$R$13:$R$14,Q$3)</f>
      </c>
      <c r="R117" s="44">
        <f>COUNTIF('Users'!$R$13:$R$14,R$3)</f>
      </c>
      <c r="S117" s="44">
        <f>COUNTIF('Users'!$R$13:$R$14,S$3)</f>
      </c>
      <c r="T117" s="44">
        <f>COUNTIF('Users'!$R$13:$R$14,T$3)</f>
      </c>
      <c r="U117" s="44">
        <f>COUNTIF('Users'!$R$13:$R$14,U$3)</f>
      </c>
      <c r="V117" s="44">
        <f>COUNTA('Users'!$G$13:$G$14)-SUM(Q117:U117)</f>
      </c>
    </row>
    <row r="118" ht="15.75" customHeight="1">
      <c r="A118"/>
      <c r="B118" s="45"/>
      <c r="C118" s="42" t="s">
        <v>80</v>
      </c>
      <c r="D118" s="42" t="s">
        <v>146</v>
      </c>
      <c r="E118" s="43">
        <f>F118/G118</f>
      </c>
      <c r="F118" s="44">
        <f>SUM(H118:L118)</f>
      </c>
      <c r="G118" s="44">
        <f>SUM(H118:M118)</f>
      </c>
      <c r="H118" s="44">
        <f>COUNTIF('Users'!$M$15:$M$15,H$3)</f>
      </c>
      <c r="I118" s="44">
        <f>COUNTIF('Users'!$M$15:$M$15,I$3)</f>
      </c>
      <c r="J118" s="44">
        <f>COUNTIF('Users'!$M$15:$M$15,J$3)</f>
      </c>
      <c r="K118" s="44">
        <f>COUNTIF('Users'!$M$15:$M$15,K$3)</f>
      </c>
      <c r="L118" s="44">
        <f>COUNTIF('Users'!$M$15:$M$15,L$3)</f>
      </c>
      <c r="M118" s="44">
        <f>COUNTA('Users'!$G$15:$G$15)-SUM(H118:L118)</f>
      </c>
      <c r="N118" s="43">
        <f>O118/P118</f>
      </c>
      <c r="O118" s="44">
        <f>SUM(Q118:U118)</f>
      </c>
      <c r="P118" s="44">
        <f>SUM(Q118:V118)</f>
      </c>
      <c r="Q118" s="44">
        <f>COUNTIF('Users'!$R$15:$R$15,Q$3)</f>
      </c>
      <c r="R118" s="44">
        <f>COUNTIF('Users'!$R$15:$R$15,R$3)</f>
      </c>
      <c r="S118" s="44">
        <f>COUNTIF('Users'!$R$15:$R$15,S$3)</f>
      </c>
      <c r="T118" s="44">
        <f>COUNTIF('Users'!$R$15:$R$15,T$3)</f>
      </c>
      <c r="U118" s="44">
        <f>COUNTIF('Users'!$R$15:$R$15,U$3)</f>
      </c>
      <c r="V118" s="44">
        <f>COUNTA('Users'!$G$15:$G$15)-SUM(Q118:U118)</f>
      </c>
    </row>
    <row r="119" ht="15.75" customHeight="1">
      <c r="A119"/>
      <c r="B119" s="45"/>
      <c r="C119" s="42" t="s">
        <v>147</v>
      </c>
      <c r="D119" s="42" t="s">
        <v>148</v>
      </c>
      <c r="E119" s="43">
        <f>F119/G119</f>
      </c>
      <c r="F119" s="44">
        <f>SUM(H119:L119)</f>
      </c>
      <c r="G119" s="44">
        <f>SUM(H119:M119)</f>
      </c>
      <c r="H119" s="44">
        <f>COUNTIF('Users'!$M$16:$M$17,H$3)</f>
      </c>
      <c r="I119" s="44">
        <f>COUNTIF('Users'!$M$16:$M$17,I$3)</f>
      </c>
      <c r="J119" s="44">
        <f>COUNTIF('Users'!$M$16:$M$17,J$3)</f>
      </c>
      <c r="K119" s="44">
        <f>COUNTIF('Users'!$M$16:$M$17,K$3)</f>
      </c>
      <c r="L119" s="44">
        <f>COUNTIF('Users'!$M$16:$M$17,L$3)</f>
      </c>
      <c r="M119" s="44">
        <f>COUNTA('Users'!$G$16:$G$17)-SUM(H119:L119)</f>
      </c>
      <c r="N119" s="43">
        <f>O119/P119</f>
      </c>
      <c r="O119" s="44">
        <f>SUM(Q119:U119)</f>
      </c>
      <c r="P119" s="44">
        <f>SUM(Q119:V119)</f>
      </c>
      <c r="Q119" s="44">
        <f>COUNTIF('Users'!$R$16:$R$17,Q$3)</f>
      </c>
      <c r="R119" s="44">
        <f>COUNTIF('Users'!$R$16:$R$17,R$3)</f>
      </c>
      <c r="S119" s="44">
        <f>COUNTIF('Users'!$R$16:$R$17,S$3)</f>
      </c>
      <c r="T119" s="44">
        <f>COUNTIF('Users'!$R$16:$R$17,T$3)</f>
      </c>
      <c r="U119" s="44">
        <f>COUNTIF('Users'!$R$16:$R$17,U$3)</f>
      </c>
      <c r="V119" s="44">
        <f>COUNTA('Users'!$G$16:$G$17)-SUM(Q119:U119)</f>
      </c>
    </row>
    <row r="120" ht="15.75" customHeight="1">
      <c r="A120"/>
      <c r="B120" s="45"/>
      <c r="C120" s="42" t="s">
        <v>147</v>
      </c>
      <c r="D120" s="42" t="s">
        <v>149</v>
      </c>
      <c r="E120" s="43">
        <f>F120/G120</f>
      </c>
      <c r="F120" s="44">
        <f>SUM(H120:L120)</f>
      </c>
      <c r="G120" s="44">
        <f>SUM(H120:M120)</f>
      </c>
      <c r="H120" s="44">
        <f>COUNTIF('Users'!$M$18:$M$18,H$3)</f>
      </c>
      <c r="I120" s="44">
        <f>COUNTIF('Users'!$M$18:$M$18,I$3)</f>
      </c>
      <c r="J120" s="44">
        <f>COUNTIF('Users'!$M$18:$M$18,J$3)</f>
      </c>
      <c r="K120" s="44">
        <f>COUNTIF('Users'!$M$18:$M$18,K$3)</f>
      </c>
      <c r="L120" s="44">
        <f>COUNTIF('Users'!$M$18:$M$18,L$3)</f>
      </c>
      <c r="M120" s="44">
        <f>COUNTA('Users'!$G$18:$G$18)-SUM(H120:L120)</f>
      </c>
      <c r="N120" s="43">
        <f>O120/P120</f>
      </c>
      <c r="O120" s="44">
        <f>SUM(Q120:U120)</f>
      </c>
      <c r="P120" s="44">
        <f>SUM(Q120:V120)</f>
      </c>
      <c r="Q120" s="44">
        <f>COUNTIF('Users'!$R$18:$R$18,Q$3)</f>
      </c>
      <c r="R120" s="44">
        <f>COUNTIF('Users'!$R$18:$R$18,R$3)</f>
      </c>
      <c r="S120" s="44">
        <f>COUNTIF('Users'!$R$18:$R$18,S$3)</f>
      </c>
      <c r="T120" s="44">
        <f>COUNTIF('Users'!$R$18:$R$18,T$3)</f>
      </c>
      <c r="U120" s="44">
        <f>COUNTIF('Users'!$R$18:$R$18,U$3)</f>
      </c>
      <c r="V120" s="44">
        <f>COUNTA('Users'!$G$18:$G$18)-SUM(Q120:U120)</f>
      </c>
    </row>
    <row r="121" ht="31.5" customHeight="1">
      <c r="A121"/>
      <c r="B121" s="45"/>
      <c r="C121" s="42" t="s">
        <v>150</v>
      </c>
      <c r="D121" s="42" t="s">
        <v>151</v>
      </c>
      <c r="E121" s="43">
        <f>F121/G121</f>
      </c>
      <c r="F121" s="44">
        <f>SUM(H121:L121)</f>
      </c>
      <c r="G121" s="44">
        <f>SUM(H121:M121)</f>
      </c>
      <c r="H121" s="44">
        <f>COUNTIF('Users'!$M$19:$M$20,H$3)</f>
      </c>
      <c r="I121" s="44">
        <f>COUNTIF('Users'!$M$19:$M$20,I$3)</f>
      </c>
      <c r="J121" s="44">
        <f>COUNTIF('Users'!$M$19:$M$20,J$3)</f>
      </c>
      <c r="K121" s="44">
        <f>COUNTIF('Users'!$M$19:$M$20,K$3)</f>
      </c>
      <c r="L121" s="44">
        <f>COUNTIF('Users'!$M$19:$M$20,L$3)</f>
      </c>
      <c r="M121" s="44">
        <f>COUNTA('Users'!$G$19:$G$20)-SUM(H121:L121)</f>
      </c>
      <c r="N121" s="43">
        <f>O121/P121</f>
      </c>
      <c r="O121" s="44">
        <f>SUM(Q121:U121)</f>
      </c>
      <c r="P121" s="44">
        <f>SUM(Q121:V121)</f>
      </c>
      <c r="Q121" s="44">
        <f>COUNTIF('Users'!$R$19:$R$20,Q$3)</f>
      </c>
      <c r="R121" s="44">
        <f>COUNTIF('Users'!$R$19:$R$20,R$3)</f>
      </c>
      <c r="S121" s="44">
        <f>COUNTIF('Users'!$R$19:$R$20,S$3)</f>
      </c>
      <c r="T121" s="44">
        <f>COUNTIF('Users'!$R$19:$R$20,T$3)</f>
      </c>
      <c r="U121" s="44">
        <f>COUNTIF('Users'!$R$19:$R$20,U$3)</f>
      </c>
      <c r="V121" s="44">
        <f>COUNTA('Users'!$G$19:$G$20)-SUM(Q121:U121)</f>
      </c>
    </row>
    <row r="122" ht="15.75" customHeight="1">
      <c r="A122"/>
      <c r="B122" s="45"/>
      <c r="C122" s="42" t="s">
        <v>152</v>
      </c>
      <c r="D122" s="42" t="s">
        <v>153</v>
      </c>
      <c r="E122" s="43">
        <f>F122/G122</f>
      </c>
      <c r="F122" s="44">
        <f>SUM(H122:L122)</f>
      </c>
      <c r="G122" s="44">
        <f>SUM(H122:M122)</f>
      </c>
      <c r="H122" s="44">
        <f>COUNTIF('Users'!$M$21:$M$22,H$3)</f>
      </c>
      <c r="I122" s="44">
        <f>COUNTIF('Users'!$M$21:$M$22,I$3)</f>
      </c>
      <c r="J122" s="44">
        <f>COUNTIF('Users'!$M$21:$M$22,J$3)</f>
      </c>
      <c r="K122" s="44">
        <f>COUNTIF('Users'!$M$21:$M$22,K$3)</f>
      </c>
      <c r="L122" s="44">
        <f>COUNTIF('Users'!$M$21:$M$22,L$3)</f>
      </c>
      <c r="M122" s="44">
        <f>COUNTA('Users'!$G$21:$G$22)-SUM(H122:L122)</f>
      </c>
      <c r="N122" s="43">
        <f>O122/P122</f>
      </c>
      <c r="O122" s="44">
        <f>SUM(Q122:U122)</f>
      </c>
      <c r="P122" s="44">
        <f>SUM(Q122:V122)</f>
      </c>
      <c r="Q122" s="44">
        <f>COUNTIF('Users'!$R$21:$R$22,Q$3)</f>
      </c>
      <c r="R122" s="44">
        <f>COUNTIF('Users'!$R$21:$R$22,R$3)</f>
      </c>
      <c r="S122" s="44">
        <f>COUNTIF('Users'!$R$21:$R$22,S$3)</f>
      </c>
      <c r="T122" s="44">
        <f>COUNTIF('Users'!$R$21:$R$22,T$3)</f>
      </c>
      <c r="U122" s="44">
        <f>COUNTIF('Users'!$R$21:$R$22,U$3)</f>
      </c>
      <c r="V122" s="44">
        <f>COUNTA('Users'!$G$21:$G$22)-SUM(Q122:U122)</f>
      </c>
    </row>
    <row r="123" ht="15.75" customHeight="1">
      <c r="A123"/>
      <c r="B123" s="45"/>
      <c r="C123" s="42" t="s">
        <v>152</v>
      </c>
      <c r="D123" s="42" t="s">
        <v>154</v>
      </c>
      <c r="E123" s="43">
        <f>F123/G123</f>
      </c>
      <c r="F123" s="44">
        <f>SUM(H123:L123)</f>
      </c>
      <c r="G123" s="44">
        <f>SUM(H123:M123)</f>
      </c>
      <c r="H123" s="44">
        <f>COUNTIF('Users'!$M$23:$M$36,H$3)</f>
      </c>
      <c r="I123" s="44">
        <f>COUNTIF('Users'!$M$23:$M$36,I$3)</f>
      </c>
      <c r="J123" s="44">
        <f>COUNTIF('Users'!$M$23:$M$36,J$3)</f>
      </c>
      <c r="K123" s="44">
        <f>COUNTIF('Users'!$M$23:$M$36,K$3)</f>
      </c>
      <c r="L123" s="44">
        <f>COUNTIF('Users'!$M$23:$M$36,L$3)</f>
      </c>
      <c r="M123" s="44">
        <f>COUNTA('Users'!$G$23:$G$36)-SUM(H123:L123)</f>
      </c>
      <c r="N123" s="43">
        <f>O123/P123</f>
      </c>
      <c r="O123" s="44">
        <f>SUM(Q123:U123)</f>
      </c>
      <c r="P123" s="44">
        <f>SUM(Q123:V123)</f>
      </c>
      <c r="Q123" s="44">
        <f>COUNTIF('Users'!$R$23:$R$36,Q$3)</f>
      </c>
      <c r="R123" s="44">
        <f>COUNTIF('Users'!$R$23:$R$36,R$3)</f>
      </c>
      <c r="S123" s="44">
        <f>COUNTIF('Users'!$R$23:$R$36,S$3)</f>
      </c>
      <c r="T123" s="44">
        <f>COUNTIF('Users'!$R$23:$R$36,T$3)</f>
      </c>
      <c r="U123" s="44">
        <f>COUNTIF('Users'!$R$23:$R$36,U$3)</f>
      </c>
      <c r="V123" s="44">
        <f>COUNTA('Users'!$G$23:$G$36)-SUM(Q123:U123)</f>
      </c>
    </row>
    <row r="124" ht="15.75" customHeight="1">
      <c r="A124"/>
      <c r="B124" s="45"/>
      <c r="C124" s="42" t="s">
        <v>152</v>
      </c>
      <c r="D124" s="42" t="s">
        <v>155</v>
      </c>
      <c r="E124" s="43">
        <f>F124/G124</f>
      </c>
      <c r="F124" s="44">
        <f>SUM(H124:L124)</f>
      </c>
      <c r="G124" s="44">
        <f>SUM(H124:M124)</f>
      </c>
      <c r="H124" s="44">
        <f>COUNTIF('Users'!$M$37:$M$40,H$3)</f>
      </c>
      <c r="I124" s="44">
        <f>COUNTIF('Users'!$M$37:$M$40,I$3)</f>
      </c>
      <c r="J124" s="44">
        <f>COUNTIF('Users'!$M$37:$M$40,J$3)</f>
      </c>
      <c r="K124" s="44">
        <f>COUNTIF('Users'!$M$37:$M$40,K$3)</f>
      </c>
      <c r="L124" s="44">
        <f>COUNTIF('Users'!$M$37:$M$40,L$3)</f>
      </c>
      <c r="M124" s="44">
        <f>COUNTA('Users'!$G$37:$G$40)-SUM(H124:L124)</f>
      </c>
      <c r="N124" s="43">
        <f>O124/P124</f>
      </c>
      <c r="O124" s="44">
        <f>SUM(Q124:U124)</f>
      </c>
      <c r="P124" s="44">
        <f>SUM(Q124:V124)</f>
      </c>
      <c r="Q124" s="44">
        <f>COUNTIF('Users'!$R$37:$R$40,Q$3)</f>
      </c>
      <c r="R124" s="44">
        <f>COUNTIF('Users'!$R$37:$R$40,R$3)</f>
      </c>
      <c r="S124" s="44">
        <f>COUNTIF('Users'!$R$37:$R$40,S$3)</f>
      </c>
      <c r="T124" s="44">
        <f>COUNTIF('Users'!$R$37:$R$40,T$3)</f>
      </c>
      <c r="U124" s="44">
        <f>COUNTIF('Users'!$R$37:$R$40,U$3)</f>
      </c>
      <c r="V124" s="44">
        <f>COUNTA('Users'!$G$37:$G$40)-SUM(Q124:U124)</f>
      </c>
    </row>
    <row r="125" ht="15.75" customHeight="1">
      <c r="A125"/>
      <c r="B125" s="45"/>
      <c r="C125" s="42" t="s">
        <v>156</v>
      </c>
      <c r="D125" s="42" t="s">
        <v>156</v>
      </c>
      <c r="E125" s="43">
        <f>F125/G125</f>
      </c>
      <c r="F125" s="44">
        <f>SUM(H125:L125)</f>
      </c>
      <c r="G125" s="44">
        <f>SUM(H125:M125)</f>
      </c>
      <c r="H125" s="44">
        <f>COUNTIF('Users'!$M$41:$M$49,H$3)</f>
      </c>
      <c r="I125" s="44">
        <f>COUNTIF('Users'!$M$41:$M$49,I$3)</f>
      </c>
      <c r="J125" s="44">
        <f>COUNTIF('Users'!$M$41:$M$49,J$3)</f>
      </c>
      <c r="K125" s="44">
        <f>COUNTIF('Users'!$M$41:$M$49,K$3)</f>
      </c>
      <c r="L125" s="44">
        <f>COUNTIF('Users'!$M$41:$M$49,L$3)</f>
      </c>
      <c r="M125" s="44">
        <f>COUNTA('Users'!$G$41:$G$49)-SUM(H125:L125)</f>
      </c>
      <c r="N125" s="43">
        <f>O125/P125</f>
      </c>
      <c r="O125" s="44">
        <f>SUM(Q125:U125)</f>
      </c>
      <c r="P125" s="44">
        <f>SUM(Q125:V125)</f>
      </c>
      <c r="Q125" s="44">
        <f>COUNTIF('Users'!$R$41:$R$49,Q$3)</f>
      </c>
      <c r="R125" s="44">
        <f>COUNTIF('Users'!$R$41:$R$49,R$3)</f>
      </c>
      <c r="S125" s="44">
        <f>COUNTIF('Users'!$R$41:$R$49,S$3)</f>
      </c>
      <c r="T125" s="44">
        <f>COUNTIF('Users'!$R$41:$R$49,T$3)</f>
      </c>
      <c r="U125" s="44">
        <f>COUNTIF('Users'!$R$41:$R$49,U$3)</f>
      </c>
      <c r="V125" s="44">
        <f>COUNTA('Users'!$G$41:$G$49)-SUM(Q125:U125)</f>
      </c>
    </row>
    <row r="126" ht="15.75" customHeight="1">
      <c r="A126"/>
      <c r="B126" s="45"/>
      <c r="C126" s="42" t="s">
        <v>157</v>
      </c>
      <c r="D126" s="42" t="s">
        <v>158</v>
      </c>
      <c r="E126" s="43">
        <f>F126/G126</f>
      </c>
      <c r="F126" s="44">
        <f>SUM(H126:L126)</f>
      </c>
      <c r="G126" s="44">
        <f>SUM(H126:M126)</f>
      </c>
      <c r="H126" s="44">
        <f>COUNTIF('Users'!$M$50:$M$55,H$3)</f>
      </c>
      <c r="I126" s="44">
        <f>COUNTIF('Users'!$M$50:$M$55,I$3)</f>
      </c>
      <c r="J126" s="44">
        <f>COUNTIF('Users'!$M$50:$M$55,J$3)</f>
      </c>
      <c r="K126" s="44">
        <f>COUNTIF('Users'!$M$50:$M$55,K$3)</f>
      </c>
      <c r="L126" s="44">
        <f>COUNTIF('Users'!$M$50:$M$55,L$3)</f>
      </c>
      <c r="M126" s="44">
        <f>COUNTA('Users'!$G$50:$G$55)-SUM(H126:L126)</f>
      </c>
      <c r="N126" s="43">
        <f>O126/P126</f>
      </c>
      <c r="O126" s="44">
        <f>SUM(Q126:U126)</f>
      </c>
      <c r="P126" s="44">
        <f>SUM(Q126:V126)</f>
      </c>
      <c r="Q126" s="44">
        <f>COUNTIF('Users'!$R$50:$R$55,Q$3)</f>
      </c>
      <c r="R126" s="44">
        <f>COUNTIF('Users'!$R$50:$R$55,R$3)</f>
      </c>
      <c r="S126" s="44">
        <f>COUNTIF('Users'!$R$50:$R$55,S$3)</f>
      </c>
      <c r="T126" s="44">
        <f>COUNTIF('Users'!$R$50:$R$55,T$3)</f>
      </c>
      <c r="U126" s="44">
        <f>COUNTIF('Users'!$R$50:$R$55,U$3)</f>
      </c>
      <c r="V126" s="44">
        <f>COUNTA('Users'!$G$50:$G$55)-SUM(Q126:U126)</f>
      </c>
    </row>
    <row r="127" ht="15.75" customHeight="1">
      <c r="A127"/>
      <c r="B127" s="45"/>
      <c r="C127" s="42" t="s">
        <v>157</v>
      </c>
      <c r="D127" s="42" t="s">
        <v>159</v>
      </c>
      <c r="E127" s="43">
        <f>F127/G127</f>
      </c>
      <c r="F127" s="44">
        <f>SUM(H127:L127)</f>
      </c>
      <c r="G127" s="44">
        <f>SUM(H127:M127)</f>
      </c>
      <c r="H127" s="44">
        <f>COUNTIF('Users'!$M$56:$M$59,H$3)</f>
      </c>
      <c r="I127" s="44">
        <f>COUNTIF('Users'!$M$56:$M$59,I$3)</f>
      </c>
      <c r="J127" s="44">
        <f>COUNTIF('Users'!$M$56:$M$59,J$3)</f>
      </c>
      <c r="K127" s="44">
        <f>COUNTIF('Users'!$M$56:$M$59,K$3)</f>
      </c>
      <c r="L127" s="44">
        <f>COUNTIF('Users'!$M$56:$M$59,L$3)</f>
      </c>
      <c r="M127" s="44">
        <f>COUNTA('Users'!$G$56:$G$59)-SUM(H127:L127)</f>
      </c>
      <c r="N127" s="43">
        <f>O127/P127</f>
      </c>
      <c r="O127" s="44">
        <f>SUM(Q127:U127)</f>
      </c>
      <c r="P127" s="44">
        <f>SUM(Q127:V127)</f>
      </c>
      <c r="Q127" s="44">
        <f>COUNTIF('Users'!$R$56:$R$59,Q$3)</f>
      </c>
      <c r="R127" s="44">
        <f>COUNTIF('Users'!$R$56:$R$59,R$3)</f>
      </c>
      <c r="S127" s="44">
        <f>COUNTIF('Users'!$R$56:$R$59,S$3)</f>
      </c>
      <c r="T127" s="44">
        <f>COUNTIF('Users'!$R$56:$R$59,T$3)</f>
      </c>
      <c r="U127" s="44">
        <f>COUNTIF('Users'!$R$56:$R$59,U$3)</f>
      </c>
      <c r="V127" s="44">
        <f>COUNTA('Users'!$G$56:$G$59)-SUM(Q127:U127)</f>
      </c>
    </row>
    <row r="128" ht="15.75" customHeight="1">
      <c r="A128"/>
      <c r="B128" s="45"/>
      <c r="C128" s="42" t="s">
        <v>157</v>
      </c>
      <c r="D128" s="42" t="s">
        <v>160</v>
      </c>
      <c r="E128" s="43">
        <f>F128/G128</f>
      </c>
      <c r="F128" s="44">
        <f>SUM(H128:L128)</f>
      </c>
      <c r="G128" s="44">
        <f>SUM(H128:M128)</f>
      </c>
      <c r="H128" s="44">
        <f>COUNTIF('Users'!$M$60:$M$61,H$3)</f>
      </c>
      <c r="I128" s="44">
        <f>COUNTIF('Users'!$M$60:$M$61,I$3)</f>
      </c>
      <c r="J128" s="44">
        <f>COUNTIF('Users'!$M$60:$M$61,J$3)</f>
      </c>
      <c r="K128" s="44">
        <f>COUNTIF('Users'!$M$60:$M$61,K$3)</f>
      </c>
      <c r="L128" s="44">
        <f>COUNTIF('Users'!$M$60:$M$61,L$3)</f>
      </c>
      <c r="M128" s="44">
        <f>COUNTA('Users'!$G$60:$G$61)-SUM(H128:L128)</f>
      </c>
      <c r="N128" s="43">
        <f>O128/P128</f>
      </c>
      <c r="O128" s="44">
        <f>SUM(Q128:U128)</f>
      </c>
      <c r="P128" s="44">
        <f>SUM(Q128:V128)</f>
      </c>
      <c r="Q128" s="44">
        <f>COUNTIF('Users'!$R$60:$R$61,Q$3)</f>
      </c>
      <c r="R128" s="44">
        <f>COUNTIF('Users'!$R$60:$R$61,R$3)</f>
      </c>
      <c r="S128" s="44">
        <f>COUNTIF('Users'!$R$60:$R$61,S$3)</f>
      </c>
      <c r="T128" s="44">
        <f>COUNTIF('Users'!$R$60:$R$61,T$3)</f>
      </c>
      <c r="U128" s="44">
        <f>COUNTIF('Users'!$R$60:$R$61,U$3)</f>
      </c>
      <c r="V128" s="44">
        <f>COUNTA('Users'!$G$60:$G$61)-SUM(Q128:U128)</f>
      </c>
    </row>
    <row r="129" ht="15.75" customHeight="1">
      <c r="A129"/>
      <c r="B129" s="45"/>
      <c r="C129" s="42" t="s">
        <v>161</v>
      </c>
      <c r="D129" s="42" t="s">
        <v>162</v>
      </c>
      <c r="E129" s="43">
        <f>F129/G129</f>
      </c>
      <c r="F129" s="44">
        <f>SUM(H129:L129)</f>
      </c>
      <c r="G129" s="44">
        <f>SUM(H129:M129)</f>
      </c>
      <c r="H129" s="44">
        <f>COUNTIF('Users'!$M$62:$M$63,H$3)</f>
      </c>
      <c r="I129" s="44">
        <f>COUNTIF('Users'!$M$62:$M$63,I$3)</f>
      </c>
      <c r="J129" s="44">
        <f>COUNTIF('Users'!$M$62:$M$63,J$3)</f>
      </c>
      <c r="K129" s="44">
        <f>COUNTIF('Users'!$M$62:$M$63,K$3)</f>
      </c>
      <c r="L129" s="44">
        <f>COUNTIF('Users'!$M$62:$M$63,L$3)</f>
      </c>
      <c r="M129" s="44">
        <f>COUNTA('Users'!$G$62:$G$63)-SUM(H129:L129)</f>
      </c>
      <c r="N129" s="43">
        <f>O129/P129</f>
      </c>
      <c r="O129" s="44">
        <f>SUM(Q129:U129)</f>
      </c>
      <c r="P129" s="44">
        <f>SUM(Q129:V129)</f>
      </c>
      <c r="Q129" s="44">
        <f>COUNTIF('Users'!$R$62:$R$63,Q$3)</f>
      </c>
      <c r="R129" s="44">
        <f>COUNTIF('Users'!$R$62:$R$63,R$3)</f>
      </c>
      <c r="S129" s="44">
        <f>COUNTIF('Users'!$R$62:$R$63,S$3)</f>
      </c>
      <c r="T129" s="44">
        <f>COUNTIF('Users'!$R$62:$R$63,T$3)</f>
      </c>
      <c r="U129" s="44">
        <f>COUNTIF('Users'!$R$62:$R$63,U$3)</f>
      </c>
      <c r="V129" s="44">
        <f>COUNTA('Users'!$G$62:$G$63)-SUM(Q129:U129)</f>
      </c>
    </row>
    <row r="130" ht="15.75" customHeight="1">
      <c r="A130"/>
      <c r="B130" s="45"/>
      <c r="C130" s="42" t="s">
        <v>110</v>
      </c>
      <c r="D130" s="42" t="s">
        <v>111</v>
      </c>
      <c r="E130" s="43">
        <f>F130/G130</f>
      </c>
      <c r="F130" s="44">
        <f>SUM(H130:L130)</f>
      </c>
      <c r="G130" s="44">
        <f>SUM(H130:M130)</f>
      </c>
      <c r="H130" s="44">
        <f>COUNTIF('Users'!$M$64:$M$66,H$3)</f>
      </c>
      <c r="I130" s="44">
        <f>COUNTIF('Users'!$M$64:$M$66,I$3)</f>
      </c>
      <c r="J130" s="44">
        <f>COUNTIF('Users'!$M$64:$M$66,J$3)</f>
      </c>
      <c r="K130" s="44">
        <f>COUNTIF('Users'!$M$64:$M$66,K$3)</f>
      </c>
      <c r="L130" s="44">
        <f>COUNTIF('Users'!$M$64:$M$66,L$3)</f>
      </c>
      <c r="M130" s="44">
        <f>COUNTA('Users'!$G$64:$G$66)-SUM(H130:L130)</f>
      </c>
      <c r="N130" s="43">
        <f>O130/P130</f>
      </c>
      <c r="O130" s="44">
        <f>SUM(Q130:U130)</f>
      </c>
      <c r="P130" s="44">
        <f>SUM(Q130:V130)</f>
      </c>
      <c r="Q130" s="44">
        <f>COUNTIF('Users'!$R$64:$R$66,Q$3)</f>
      </c>
      <c r="R130" s="44">
        <f>COUNTIF('Users'!$R$64:$R$66,R$3)</f>
      </c>
      <c r="S130" s="44">
        <f>COUNTIF('Users'!$R$64:$R$66,S$3)</f>
      </c>
      <c r="T130" s="44">
        <f>COUNTIF('Users'!$R$64:$R$66,T$3)</f>
      </c>
      <c r="U130" s="44">
        <f>COUNTIF('Users'!$R$64:$R$66,U$3)</f>
      </c>
      <c r="V130" s="44">
        <f>COUNTA('Users'!$G$64:$G$66)-SUM(Q130:U130)</f>
      </c>
    </row>
    <row r="131" ht="15.75" customHeight="1">
      <c r="A131"/>
      <c r="B131" s="45"/>
      <c r="C131" s="42" t="s">
        <v>110</v>
      </c>
      <c r="D131" s="42" t="s">
        <v>112</v>
      </c>
      <c r="E131" s="43">
        <f>F131/G131</f>
      </c>
      <c r="F131" s="44">
        <f>SUM(H131:L131)</f>
      </c>
      <c r="G131" s="44">
        <f>SUM(H131:M131)</f>
      </c>
      <c r="H131" s="44">
        <f>COUNTIF('Users'!$M$67:$M$67,H$3)</f>
      </c>
      <c r="I131" s="44">
        <f>COUNTIF('Users'!$M$67:$M$67,I$3)</f>
      </c>
      <c r="J131" s="44">
        <f>COUNTIF('Users'!$M$67:$M$67,J$3)</f>
      </c>
      <c r="K131" s="44">
        <f>COUNTIF('Users'!$M$67:$M$67,K$3)</f>
      </c>
      <c r="L131" s="44">
        <f>COUNTIF('Users'!$M$67:$M$67,L$3)</f>
      </c>
      <c r="M131" s="44">
        <f>COUNTA('Users'!$G$67:$G$67)-SUM(H131:L131)</f>
      </c>
      <c r="N131" s="43">
        <f>O131/P131</f>
      </c>
      <c r="O131" s="44">
        <f>SUM(Q131:U131)</f>
      </c>
      <c r="P131" s="44">
        <f>SUM(Q131:V131)</f>
      </c>
      <c r="Q131" s="44">
        <f>COUNTIF('Users'!$R$67:$R$67,Q$3)</f>
      </c>
      <c r="R131" s="44">
        <f>COUNTIF('Users'!$R$67:$R$67,R$3)</f>
      </c>
      <c r="S131" s="44">
        <f>COUNTIF('Users'!$R$67:$R$67,S$3)</f>
      </c>
      <c r="T131" s="44">
        <f>COUNTIF('Users'!$R$67:$R$67,T$3)</f>
      </c>
      <c r="U131" s="44">
        <f>COUNTIF('Users'!$R$67:$R$67,U$3)</f>
      </c>
      <c r="V131" s="44">
        <f>COUNTA('Users'!$G$67:$G$67)-SUM(Q131:U131)</f>
      </c>
    </row>
    <row r="132" ht="15.75" customHeight="1">
      <c r="A132"/>
      <c r="B132" s="45"/>
      <c r="C132" s="42" t="s">
        <v>110</v>
      </c>
      <c r="D132" s="42" t="s">
        <v>113</v>
      </c>
      <c r="E132" s="43">
        <f>F132/G132</f>
      </c>
      <c r="F132" s="44">
        <f>SUM(H132:L132)</f>
      </c>
      <c r="G132" s="44">
        <f>SUM(H132:M132)</f>
      </c>
      <c r="H132" s="44">
        <f>COUNTIF('Users'!$M$68:$M$68,H$3)</f>
      </c>
      <c r="I132" s="44">
        <f>COUNTIF('Users'!$M$68:$M$68,I$3)</f>
      </c>
      <c r="J132" s="44">
        <f>COUNTIF('Users'!$M$68:$M$68,J$3)</f>
      </c>
      <c r="K132" s="44">
        <f>COUNTIF('Users'!$M$68:$M$68,K$3)</f>
      </c>
      <c r="L132" s="44">
        <f>COUNTIF('Users'!$M$68:$M$68,L$3)</f>
      </c>
      <c r="M132" s="44">
        <f>COUNTA('Users'!$G$68:$G$68)-SUM(H132:L132)</f>
      </c>
      <c r="N132" s="43">
        <f>O132/P132</f>
      </c>
      <c r="O132" s="44">
        <f>SUM(Q132:U132)</f>
      </c>
      <c r="P132" s="44">
        <f>SUM(Q132:V132)</f>
      </c>
      <c r="Q132" s="44">
        <f>COUNTIF('Users'!$R$68:$R$68,Q$3)</f>
      </c>
      <c r="R132" s="44">
        <f>COUNTIF('Users'!$R$68:$R$68,R$3)</f>
      </c>
      <c r="S132" s="44">
        <f>COUNTIF('Users'!$R$68:$R$68,S$3)</f>
      </c>
      <c r="T132" s="44">
        <f>COUNTIF('Users'!$R$68:$R$68,T$3)</f>
      </c>
      <c r="U132" s="44">
        <f>COUNTIF('Users'!$R$68:$R$68,U$3)</f>
      </c>
      <c r="V132" s="44">
        <f>COUNTA('Users'!$G$68:$G$68)-SUM(Q132:U132)</f>
      </c>
    </row>
    <row r="133" ht="15.75" customHeight="1">
      <c r="A133"/>
      <c r="B133" s="45"/>
      <c r="C133" s="42" t="s">
        <v>89</v>
      </c>
      <c r="D133" s="42" t="s">
        <v>114</v>
      </c>
      <c r="E133" s="43">
        <f>F133/G133</f>
      </c>
      <c r="F133" s="44">
        <f>SUM(H133:L133)</f>
      </c>
      <c r="G133" s="44">
        <f>SUM(H133:M133)</f>
      </c>
      <c r="H133" s="44">
        <f>COUNTIF('Users'!$M$69:$M$71,H$3)</f>
      </c>
      <c r="I133" s="44">
        <f>COUNTIF('Users'!$M$69:$M$71,I$3)</f>
      </c>
      <c r="J133" s="44">
        <f>COUNTIF('Users'!$M$69:$M$71,J$3)</f>
      </c>
      <c r="K133" s="44">
        <f>COUNTIF('Users'!$M$69:$M$71,K$3)</f>
      </c>
      <c r="L133" s="44">
        <f>COUNTIF('Users'!$M$69:$M$71,L$3)</f>
      </c>
      <c r="M133" s="44">
        <f>COUNTA('Users'!$G$69:$G$71)-SUM(H133:L133)</f>
      </c>
      <c r="N133" s="43">
        <f>O133/P133</f>
      </c>
      <c r="O133" s="44">
        <f>SUM(Q133:U133)</f>
      </c>
      <c r="P133" s="44">
        <f>SUM(Q133:V133)</f>
      </c>
      <c r="Q133" s="44">
        <f>COUNTIF('Users'!$R$69:$R$71,Q$3)</f>
      </c>
      <c r="R133" s="44">
        <f>COUNTIF('Users'!$R$69:$R$71,R$3)</f>
      </c>
      <c r="S133" s="44">
        <f>COUNTIF('Users'!$R$69:$R$71,S$3)</f>
      </c>
      <c r="T133" s="44">
        <f>COUNTIF('Users'!$R$69:$R$71,T$3)</f>
      </c>
      <c r="U133" s="44">
        <f>COUNTIF('Users'!$R$69:$R$71,U$3)</f>
      </c>
      <c r="V133" s="44">
        <f>COUNTA('Users'!$G$69:$G$71)-SUM(Q133:U133)</f>
      </c>
    </row>
    <row r="134" ht="15.75" customHeight="1">
      <c r="A134"/>
      <c r="B134" s="45"/>
      <c r="C134" s="42" t="s">
        <v>89</v>
      </c>
      <c r="D134" s="42" t="s">
        <v>163</v>
      </c>
      <c r="E134" s="43">
        <f>F134/G134</f>
      </c>
      <c r="F134" s="44">
        <f>SUM(H134:L134)</f>
      </c>
      <c r="G134" s="44">
        <f>SUM(H134:M134)</f>
      </c>
      <c r="H134" s="44">
        <f>COUNTIF('Users'!$M$72:$M$72,H$3)</f>
      </c>
      <c r="I134" s="44">
        <f>COUNTIF('Users'!$M$72:$M$72,I$3)</f>
      </c>
      <c r="J134" s="44">
        <f>COUNTIF('Users'!$M$72:$M$72,J$3)</f>
      </c>
      <c r="K134" s="44">
        <f>COUNTIF('Users'!$M$72:$M$72,K$3)</f>
      </c>
      <c r="L134" s="44">
        <f>COUNTIF('Users'!$M$72:$M$72,L$3)</f>
      </c>
      <c r="M134" s="44">
        <f>COUNTA('Users'!$G$72:$G$72)-SUM(H134:L134)</f>
      </c>
      <c r="N134" s="43">
        <f>O134/P134</f>
      </c>
      <c r="O134" s="44">
        <f>SUM(Q134:U134)</f>
      </c>
      <c r="P134" s="44">
        <f>SUM(Q134:V134)</f>
      </c>
      <c r="Q134" s="44">
        <f>COUNTIF('Users'!$R$72:$R$72,Q$3)</f>
      </c>
      <c r="R134" s="44">
        <f>COUNTIF('Users'!$R$72:$R$72,R$3)</f>
      </c>
      <c r="S134" s="44">
        <f>COUNTIF('Users'!$R$72:$R$72,S$3)</f>
      </c>
      <c r="T134" s="44">
        <f>COUNTIF('Users'!$R$72:$R$72,T$3)</f>
      </c>
      <c r="U134" s="44">
        <f>COUNTIF('Users'!$R$72:$R$72,U$3)</f>
      </c>
      <c r="V134" s="44">
        <f>COUNTA('Users'!$G$72:$G$72)-SUM(Q134:U134)</f>
      </c>
    </row>
    <row r="135" ht="15.75" customHeight="1">
      <c r="A135"/>
      <c r="B135" s="45"/>
      <c r="C135" s="42" t="s">
        <v>89</v>
      </c>
      <c r="D135" s="42" t="s">
        <v>115</v>
      </c>
      <c r="E135" s="43">
        <f>F135/G135</f>
      </c>
      <c r="F135" s="44">
        <f>SUM(H135:L135)</f>
      </c>
      <c r="G135" s="44">
        <f>SUM(H135:M135)</f>
      </c>
      <c r="H135" s="44">
        <f>COUNTIF('Users'!$M$73:$M$73,H$3)</f>
      </c>
      <c r="I135" s="44">
        <f>COUNTIF('Users'!$M$73:$M$73,I$3)</f>
      </c>
      <c r="J135" s="44">
        <f>COUNTIF('Users'!$M$73:$M$73,J$3)</f>
      </c>
      <c r="K135" s="44">
        <f>COUNTIF('Users'!$M$73:$M$73,K$3)</f>
      </c>
      <c r="L135" s="44">
        <f>COUNTIF('Users'!$M$73:$M$73,L$3)</f>
      </c>
      <c r="M135" s="44">
        <f>COUNTA('Users'!$G$73:$G$73)-SUM(H135:L135)</f>
      </c>
      <c r="N135" s="43">
        <f>O135/P135</f>
      </c>
      <c r="O135" s="44">
        <f>SUM(Q135:U135)</f>
      </c>
      <c r="P135" s="44">
        <f>SUM(Q135:V135)</f>
      </c>
      <c r="Q135" s="44">
        <f>COUNTIF('Users'!$R$73:$R$73,Q$3)</f>
      </c>
      <c r="R135" s="44">
        <f>COUNTIF('Users'!$R$73:$R$73,R$3)</f>
      </c>
      <c r="S135" s="44">
        <f>COUNTIF('Users'!$R$73:$R$73,S$3)</f>
      </c>
      <c r="T135" s="44">
        <f>COUNTIF('Users'!$R$73:$R$73,T$3)</f>
      </c>
      <c r="U135" s="44">
        <f>COUNTIF('Users'!$R$73:$R$73,U$3)</f>
      </c>
      <c r="V135" s="44">
        <f>COUNTA('Users'!$G$73:$G$73)-SUM(Q135:U135)</f>
      </c>
    </row>
    <row r="136" ht="15.75" customHeight="1">
      <c r="A136"/>
      <c r="B136" s="45"/>
      <c r="C136" s="42" t="s">
        <v>89</v>
      </c>
      <c r="D136" s="42" t="s">
        <v>116</v>
      </c>
      <c r="E136" s="43">
        <f>F136/G136</f>
      </c>
      <c r="F136" s="44">
        <f>SUM(H136:L136)</f>
      </c>
      <c r="G136" s="44">
        <f>SUM(H136:M136)</f>
      </c>
      <c r="H136" s="44">
        <f>COUNTIF('Users'!$M$74:$M$74,H$3)</f>
      </c>
      <c r="I136" s="44">
        <f>COUNTIF('Users'!$M$74:$M$74,I$3)</f>
      </c>
      <c r="J136" s="44">
        <f>COUNTIF('Users'!$M$74:$M$74,J$3)</f>
      </c>
      <c r="K136" s="44">
        <f>COUNTIF('Users'!$M$74:$M$74,K$3)</f>
      </c>
      <c r="L136" s="44">
        <f>COUNTIF('Users'!$M$74:$M$74,L$3)</f>
      </c>
      <c r="M136" s="44">
        <f>COUNTA('Users'!$G$74:$G$74)-SUM(H136:L136)</f>
      </c>
      <c r="N136" s="43">
        <f>O136/P136</f>
      </c>
      <c r="O136" s="44">
        <f>SUM(Q136:U136)</f>
      </c>
      <c r="P136" s="44">
        <f>SUM(Q136:V136)</f>
      </c>
      <c r="Q136" s="44">
        <f>COUNTIF('Users'!$R$74:$R$74,Q$3)</f>
      </c>
      <c r="R136" s="44">
        <f>COUNTIF('Users'!$R$74:$R$74,R$3)</f>
      </c>
      <c r="S136" s="44">
        <f>COUNTIF('Users'!$R$74:$R$74,S$3)</f>
      </c>
      <c r="T136" s="44">
        <f>COUNTIF('Users'!$R$74:$R$74,T$3)</f>
      </c>
      <c r="U136" s="44">
        <f>COUNTIF('Users'!$R$74:$R$74,U$3)</f>
      </c>
      <c r="V136" s="44">
        <f>COUNTA('Users'!$G$74:$G$74)-SUM(Q136:U136)</f>
      </c>
    </row>
    <row r="137" ht="15.75" customHeight="1">
      <c r="A137"/>
      <c r="B137" s="12"/>
      <c r="C137" s="46" t="s">
        <v>71</v>
      </c>
      <c r="D137" s="46"/>
      <c r="E137" s="47">
        <f>F137/G137</f>
      </c>
      <c r="F137" s="48">
        <f>SUM(H137:L137)</f>
      </c>
      <c r="G137" s="48">
        <f>SUM(H137:M137)</f>
      </c>
      <c r="H137" s="48">
        <f>SUM(H117:H136)</f>
      </c>
      <c r="I137" s="48">
        <f>SUM(I117:I136)</f>
      </c>
      <c r="J137" s="48">
        <f>SUM(J117:J136)</f>
      </c>
      <c r="K137" s="48">
        <f>SUM(K117:K136)</f>
      </c>
      <c r="L137" s="48">
        <f>SUM(L117:L136)</f>
      </c>
      <c r="M137" s="48">
        <f>SUM(M117:M136)</f>
      </c>
      <c r="N137" s="47">
        <f>O137/P137</f>
      </c>
      <c r="O137" s="48">
        <f>SUM(Q137:U137)</f>
      </c>
      <c r="P137" s="48">
        <f>SUM(Q137:V137)</f>
      </c>
      <c r="Q137" s="48">
        <f>SUM(Q117:Q136)</f>
      </c>
      <c r="R137" s="48">
        <f>SUM(R117:R136)</f>
      </c>
      <c r="S137" s="48">
        <f>SUM(S117:S136)</f>
      </c>
      <c r="T137" s="48">
        <f>SUM(T117:T136)</f>
      </c>
      <c r="U137" s="48">
        <f>SUM(U117:U136)</f>
      </c>
      <c r="V137" s="48">
        <f>SUM(V117:V136)</f>
      </c>
    </row>
    <row r="138" ht="15.75" customHeight="1">
      <c r="A138"/>
      <c r="B138" s="41" t="s">
        <v>164</v>
      </c>
      <c r="C138" s="42" t="s">
        <v>80</v>
      </c>
      <c r="D138" s="42" t="s">
        <v>165</v>
      </c>
      <c r="E138" s="43">
        <f>F138/G138</f>
      </c>
      <c r="F138" s="44">
        <f>SUM(H138:L138)</f>
      </c>
      <c r="G138" s="44">
        <f>SUM(H138:M138)</f>
      </c>
      <c r="H138" s="44">
        <f>COUNTIF('Profile'!$M$13:$M$13,H$3)</f>
      </c>
      <c r="I138" s="44">
        <f>COUNTIF('Profile'!$M$13:$M$13,I$3)</f>
      </c>
      <c r="J138" s="44">
        <f>COUNTIF('Profile'!$M$13:$M$13,J$3)</f>
      </c>
      <c r="K138" s="44">
        <f>COUNTIF('Profile'!$M$13:$M$13,K$3)</f>
      </c>
      <c r="L138" s="44">
        <f>COUNTIF('Profile'!$M$13:$M$13,L$3)</f>
      </c>
      <c r="M138" s="44">
        <f>COUNTA('Profile'!$G$13:$G$13)-SUM(H138:L138)</f>
      </c>
      <c r="N138" s="43">
        <f>O138/P138</f>
      </c>
      <c r="O138" s="44">
        <f>SUM(Q138:U138)</f>
      </c>
      <c r="P138" s="44">
        <f>SUM(Q138:V138)</f>
      </c>
      <c r="Q138" s="44">
        <f>COUNTIF('Profile'!$R$13:$R$13,Q$3)</f>
      </c>
      <c r="R138" s="44">
        <f>COUNTIF('Profile'!$R$13:$R$13,R$3)</f>
      </c>
      <c r="S138" s="44">
        <f>COUNTIF('Profile'!$R$13:$R$13,S$3)</f>
      </c>
      <c r="T138" s="44">
        <f>COUNTIF('Profile'!$R$13:$R$13,T$3)</f>
      </c>
      <c r="U138" s="44">
        <f>COUNTIF('Profile'!$R$13:$R$13,U$3)</f>
      </c>
      <c r="V138" s="44">
        <f>COUNTA('Profile'!$G$13:$G$13)-SUM(Q138:U138)</f>
      </c>
    </row>
    <row r="139" ht="15.75" customHeight="1">
      <c r="A139"/>
      <c r="B139" s="45"/>
      <c r="C139" s="42" t="s">
        <v>166</v>
      </c>
      <c r="D139" s="42" t="s">
        <v>167</v>
      </c>
      <c r="E139" s="43">
        <f>F139/G139</f>
      </c>
      <c r="F139" s="44">
        <f>SUM(H139:L139)</f>
      </c>
      <c r="G139" s="44">
        <f>SUM(H139:M139)</f>
      </c>
      <c r="H139" s="44">
        <f>COUNTIF('Profile'!$M$14:$M$15,H$3)</f>
      </c>
      <c r="I139" s="44">
        <f>COUNTIF('Profile'!$M$14:$M$15,I$3)</f>
      </c>
      <c r="J139" s="44">
        <f>COUNTIF('Profile'!$M$14:$M$15,J$3)</f>
      </c>
      <c r="K139" s="44">
        <f>COUNTIF('Profile'!$M$14:$M$15,K$3)</f>
      </c>
      <c r="L139" s="44">
        <f>COUNTIF('Profile'!$M$14:$M$15,L$3)</f>
      </c>
      <c r="M139" s="44">
        <f>COUNTA('Profile'!$G$14:$G$15)-SUM(H139:L139)</f>
      </c>
      <c r="N139" s="43">
        <f>O139/P139</f>
      </c>
      <c r="O139" s="44">
        <f>SUM(Q139:U139)</f>
      </c>
      <c r="P139" s="44">
        <f>SUM(Q139:V139)</f>
      </c>
      <c r="Q139" s="44">
        <f>COUNTIF('Profile'!$R$14:$R$15,Q$3)</f>
      </c>
      <c r="R139" s="44">
        <f>COUNTIF('Profile'!$R$14:$R$15,R$3)</f>
      </c>
      <c r="S139" s="44">
        <f>COUNTIF('Profile'!$R$14:$R$15,S$3)</f>
      </c>
      <c r="T139" s="44">
        <f>COUNTIF('Profile'!$R$14:$R$15,T$3)</f>
      </c>
      <c r="U139" s="44">
        <f>COUNTIF('Profile'!$R$14:$R$15,U$3)</f>
      </c>
      <c r="V139" s="44">
        <f>COUNTA('Profile'!$G$14:$G$15)-SUM(Q139:U139)</f>
      </c>
    </row>
    <row r="140" ht="15.75" customHeight="1">
      <c r="A140"/>
      <c r="B140" s="45"/>
      <c r="C140" s="42" t="s">
        <v>166</v>
      </c>
      <c r="D140" s="42" t="s">
        <v>168</v>
      </c>
      <c r="E140" s="43">
        <f>F140/G140</f>
      </c>
      <c r="F140" s="44">
        <f>SUM(H140:L140)</f>
      </c>
      <c r="G140" s="44">
        <f>SUM(H140:M140)</f>
      </c>
      <c r="H140" s="44">
        <f>COUNTIF('Profile'!$M$16:$M$18,H$3)</f>
      </c>
      <c r="I140" s="44">
        <f>COUNTIF('Profile'!$M$16:$M$18,I$3)</f>
      </c>
      <c r="J140" s="44">
        <f>COUNTIF('Profile'!$M$16:$M$18,J$3)</f>
      </c>
      <c r="K140" s="44">
        <f>COUNTIF('Profile'!$M$16:$M$18,K$3)</f>
      </c>
      <c r="L140" s="44">
        <f>COUNTIF('Profile'!$M$16:$M$18,L$3)</f>
      </c>
      <c r="M140" s="44">
        <f>COUNTA('Profile'!$G$16:$G$18)-SUM(H140:L140)</f>
      </c>
      <c r="N140" s="43">
        <f>O140/P140</f>
      </c>
      <c r="O140" s="44">
        <f>SUM(Q140:U140)</f>
      </c>
      <c r="P140" s="44">
        <f>SUM(Q140:V140)</f>
      </c>
      <c r="Q140" s="44">
        <f>COUNTIF('Profile'!$R$16:$R$18,Q$3)</f>
      </c>
      <c r="R140" s="44">
        <f>COUNTIF('Profile'!$R$16:$R$18,R$3)</f>
      </c>
      <c r="S140" s="44">
        <f>COUNTIF('Profile'!$R$16:$R$18,S$3)</f>
      </c>
      <c r="T140" s="44">
        <f>COUNTIF('Profile'!$R$16:$R$18,T$3)</f>
      </c>
      <c r="U140" s="44">
        <f>COUNTIF('Profile'!$R$16:$R$18,U$3)</f>
      </c>
      <c r="V140" s="44">
        <f>COUNTA('Profile'!$G$16:$G$18)-SUM(Q140:U140)</f>
      </c>
    </row>
    <row r="141" ht="15.75" customHeight="1">
      <c r="A141"/>
      <c r="B141" s="45"/>
      <c r="C141" s="42" t="s">
        <v>169</v>
      </c>
      <c r="D141" s="42" t="s">
        <v>170</v>
      </c>
      <c r="E141" s="43">
        <f>F141/G141</f>
      </c>
      <c r="F141" s="44">
        <f>SUM(H141:L141)</f>
      </c>
      <c r="G141" s="44">
        <f>SUM(H141:M141)</f>
      </c>
      <c r="H141" s="44">
        <f>COUNTIF('Profile'!$M$19:$M$23,H$3)</f>
      </c>
      <c r="I141" s="44">
        <f>COUNTIF('Profile'!$M$19:$M$23,I$3)</f>
      </c>
      <c r="J141" s="44">
        <f>COUNTIF('Profile'!$M$19:$M$23,J$3)</f>
      </c>
      <c r="K141" s="44">
        <f>COUNTIF('Profile'!$M$19:$M$23,K$3)</f>
      </c>
      <c r="L141" s="44">
        <f>COUNTIF('Profile'!$M$19:$M$23,L$3)</f>
      </c>
      <c r="M141" s="44">
        <f>COUNTA('Profile'!$G$19:$G$23)-SUM(H141:L141)</f>
      </c>
      <c r="N141" s="43">
        <f>O141/P141</f>
      </c>
      <c r="O141" s="44">
        <f>SUM(Q141:U141)</f>
      </c>
      <c r="P141" s="44">
        <f>SUM(Q141:V141)</f>
      </c>
      <c r="Q141" s="44">
        <f>COUNTIF('Profile'!$R$19:$R$23,Q$3)</f>
      </c>
      <c r="R141" s="44">
        <f>COUNTIF('Profile'!$R$19:$R$23,R$3)</f>
      </c>
      <c r="S141" s="44">
        <f>COUNTIF('Profile'!$R$19:$R$23,S$3)</f>
      </c>
      <c r="T141" s="44">
        <f>COUNTIF('Profile'!$R$19:$R$23,T$3)</f>
      </c>
      <c r="U141" s="44">
        <f>COUNTIF('Profile'!$R$19:$R$23,U$3)</f>
      </c>
      <c r="V141" s="44">
        <f>COUNTA('Profile'!$G$19:$G$23)-SUM(Q141:U141)</f>
      </c>
    </row>
    <row r="142" ht="15.75" customHeight="1">
      <c r="A142"/>
      <c r="B142" s="45"/>
      <c r="C142" s="42" t="s">
        <v>110</v>
      </c>
      <c r="D142" s="42" t="s">
        <v>113</v>
      </c>
      <c r="E142" s="43">
        <f>F142/G142</f>
      </c>
      <c r="F142" s="44">
        <f>SUM(H142:L142)</f>
      </c>
      <c r="G142" s="44">
        <f>SUM(H142:M142)</f>
      </c>
      <c r="H142" s="44">
        <f>COUNTIF('Profile'!$M$24:$M$24,H$3)</f>
      </c>
      <c r="I142" s="44">
        <f>COUNTIF('Profile'!$M$24:$M$24,I$3)</f>
      </c>
      <c r="J142" s="44">
        <f>COUNTIF('Profile'!$M$24:$M$24,J$3)</f>
      </c>
      <c r="K142" s="44">
        <f>COUNTIF('Profile'!$M$24:$M$24,K$3)</f>
      </c>
      <c r="L142" s="44">
        <f>COUNTIF('Profile'!$M$24:$M$24,L$3)</f>
      </c>
      <c r="M142" s="44">
        <f>COUNTA('Profile'!$G$24:$G$24)-SUM(H142:L142)</f>
      </c>
      <c r="N142" s="43">
        <f>O142/P142</f>
      </c>
      <c r="O142" s="44">
        <f>SUM(Q142:U142)</f>
      </c>
      <c r="P142" s="44">
        <f>SUM(Q142:V142)</f>
      </c>
      <c r="Q142" s="44">
        <f>COUNTIF('Profile'!$R$24:$R$24,Q$3)</f>
      </c>
      <c r="R142" s="44">
        <f>COUNTIF('Profile'!$R$24:$R$24,R$3)</f>
      </c>
      <c r="S142" s="44">
        <f>COUNTIF('Profile'!$R$24:$R$24,S$3)</f>
      </c>
      <c r="T142" s="44">
        <f>COUNTIF('Profile'!$R$24:$R$24,T$3)</f>
      </c>
      <c r="U142" s="44">
        <f>COUNTIF('Profile'!$R$24:$R$24,U$3)</f>
      </c>
      <c r="V142" s="44">
        <f>COUNTA('Profile'!$G$24:$G$24)-SUM(Q142:U142)</f>
      </c>
    </row>
    <row r="143" ht="15.75" customHeight="1">
      <c r="A143"/>
      <c r="B143" s="45"/>
      <c r="C143" s="42" t="s">
        <v>110</v>
      </c>
      <c r="D143" s="42" t="s">
        <v>112</v>
      </c>
      <c r="E143" s="43">
        <f>F143/G143</f>
      </c>
      <c r="F143" s="44">
        <f>SUM(H143:L143)</f>
      </c>
      <c r="G143" s="44">
        <f>SUM(H143:M143)</f>
      </c>
      <c r="H143" s="44">
        <f>COUNTIF('Profile'!$M$25:$M$25,H$3)</f>
      </c>
      <c r="I143" s="44">
        <f>COUNTIF('Profile'!$M$25:$M$25,I$3)</f>
      </c>
      <c r="J143" s="44">
        <f>COUNTIF('Profile'!$M$25:$M$25,J$3)</f>
      </c>
      <c r="K143" s="44">
        <f>COUNTIF('Profile'!$M$25:$M$25,K$3)</f>
      </c>
      <c r="L143" s="44">
        <f>COUNTIF('Profile'!$M$25:$M$25,L$3)</f>
      </c>
      <c r="M143" s="44">
        <f>COUNTA('Profile'!$G$25:$G$25)-SUM(H143:L143)</f>
      </c>
      <c r="N143" s="43">
        <f>O143/P143</f>
      </c>
      <c r="O143" s="44">
        <f>SUM(Q143:U143)</f>
      </c>
      <c r="P143" s="44">
        <f>SUM(Q143:V143)</f>
      </c>
      <c r="Q143" s="44">
        <f>COUNTIF('Profile'!$R$25:$R$25,Q$3)</f>
      </c>
      <c r="R143" s="44">
        <f>COUNTIF('Profile'!$R$25:$R$25,R$3)</f>
      </c>
      <c r="S143" s="44">
        <f>COUNTIF('Profile'!$R$25:$R$25,S$3)</f>
      </c>
      <c r="T143" s="44">
        <f>COUNTIF('Profile'!$R$25:$R$25,T$3)</f>
      </c>
      <c r="U143" s="44">
        <f>COUNTIF('Profile'!$R$25:$R$25,U$3)</f>
      </c>
      <c r="V143" s="44">
        <f>COUNTA('Profile'!$G$25:$G$25)-SUM(Q143:U143)</f>
      </c>
    </row>
    <row r="144" ht="15.75" customHeight="1">
      <c r="A144"/>
      <c r="B144" s="12"/>
      <c r="C144" s="46" t="s">
        <v>71</v>
      </c>
      <c r="D144" s="46"/>
      <c r="E144" s="47">
        <f>F144/G144</f>
      </c>
      <c r="F144" s="48">
        <f>SUM(H144:L144)</f>
      </c>
      <c r="G144" s="48">
        <f>SUM(H144:M144)</f>
      </c>
      <c r="H144" s="48">
        <f>SUM(H138:H143)</f>
      </c>
      <c r="I144" s="48">
        <f>SUM(I138:I143)</f>
      </c>
      <c r="J144" s="48">
        <f>SUM(J138:J143)</f>
      </c>
      <c r="K144" s="48">
        <f>SUM(K138:K143)</f>
      </c>
      <c r="L144" s="48">
        <f>SUM(L138:L143)</f>
      </c>
      <c r="M144" s="48">
        <f>SUM(M138:M143)</f>
      </c>
      <c r="N144" s="47">
        <f>O144/P144</f>
      </c>
      <c r="O144" s="48">
        <f>SUM(Q144:U144)</f>
      </c>
      <c r="P144" s="48">
        <f>SUM(Q144:V144)</f>
      </c>
      <c r="Q144" s="48">
        <f>SUM(Q138:Q143)</f>
      </c>
      <c r="R144" s="48">
        <f>SUM(R138:R143)</f>
      </c>
      <c r="S144" s="48">
        <f>SUM(S138:S143)</f>
      </c>
      <c r="T144" s="48">
        <f>SUM(T138:T143)</f>
      </c>
      <c r="U144" s="48">
        <f>SUM(U138:U143)</f>
      </c>
      <c r="V144" s="48">
        <f>SUM(V138:V143)</f>
      </c>
    </row>
    <row r="145" ht="15.75" customHeight="1">
      <c r="A145"/>
      <c r="B145" s="39" t="s">
        <v>71</v>
      </c>
      <c r="C145" s="46"/>
      <c r="D145" s="46"/>
      <c r="E145" s="47">
        <f>F145/G145</f>
      </c>
      <c r="F145" s="48">
        <f>SUM(F14,F39,F63,F101,F116,F137,F144)</f>
      </c>
      <c r="G145" s="48">
        <f>SUM(G14,G39,G63,G101,G116,G137,G144)</f>
      </c>
      <c r="H145" s="48">
        <f>SUM(H14,H39,H63,H101,H116,H137,H144)</f>
      </c>
      <c r="I145" s="48">
        <f>SUM(I14,I39,I63,I101,I116,I137,I144)</f>
      </c>
      <c r="J145" s="48">
        <f>SUM(J14,J39,J63,J101,J116,J137,J144)</f>
      </c>
      <c r="K145" s="48">
        <f>SUM(K14,K39,K63,K101,K116,K137,K144)</f>
      </c>
      <c r="L145" s="48">
        <f>SUM(L14,L39,L63,L101,L116,L137,L144)</f>
      </c>
      <c r="M145" s="48">
        <f>SUM(M14,M39,M63,M101,M116,M137,M144)</f>
      </c>
      <c r="N145" s="47">
        <f>O145/P145</f>
      </c>
      <c r="O145" s="48">
        <f>SUM(O14,O39,O63,O101,O116,O137,O144)</f>
      </c>
      <c r="P145" s="48">
        <f>SUM(P14,P39,P63,P101,P116,P137,P144)</f>
      </c>
      <c r="Q145" s="48">
        <f>SUM(Q14,Q39,Q63,Q101,Q116,Q137,Q144)</f>
      </c>
      <c r="R145" s="48">
        <f>SUM(R14,R39,R63,R101,R116,R137,R144)</f>
      </c>
      <c r="S145" s="48">
        <f>SUM(S14,S39,S63,S101,S116,S137,S144)</f>
      </c>
      <c r="T145" s="48">
        <f>SUM(T14,T39,T63,T101,T116,T137,T144)</f>
      </c>
      <c r="U145" s="48">
        <f>SUM(U14,U39,U63,U101,U116,U137,U144)</f>
      </c>
      <c r="V145" s="48">
        <f>SUM(V14,V39,V63,V101,V116,V137,V144)</f>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9">
    <mergeCell ref="E2:M2"/>
    <mergeCell ref="N2:V2"/>
    <mergeCell ref="B4:B14"/>
    <mergeCell ref="B15:B39"/>
    <mergeCell ref="B40:B63"/>
    <mergeCell ref="B64:B101"/>
    <mergeCell ref="B102:B116"/>
    <mergeCell ref="B117:B137"/>
    <mergeCell ref="B138:B14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3382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3383</v>
      </c>
      <c r="D4" s="59"/>
      <c r="E4" s="52"/>
      <c r="F4" s="52"/>
      <c r="G4" s="52"/>
      <c r="H4" s="52"/>
      <c r="I4" s="52"/>
      <c r="J4" s="52"/>
      <c r="K4" s="54" t="s">
        <v>176</v>
      </c>
      <c r="L4" s="60">
        <f>COUNTA($G$13:$G$57)</f>
      </c>
      <c r="M4" s="61">
        <f>COUNTIF($M$13:$M$57,M3)</f>
      </c>
      <c r="N4" s="61">
        <f>COUNTIF($M$13:$M$57,N3)</f>
      </c>
      <c r="O4" s="61">
        <f>COUNTIF($M$13:$M$57,O3)</f>
      </c>
      <c r="P4" s="62">
        <f>COUNTIF($M$13:$M$57,P3)</f>
      </c>
      <c r="Q4" s="61">
        <f>COUNTIF($M$13:$M$57,Q3)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COUNTA($G$13:$G$57)</f>
      </c>
      <c r="M6" s="61">
        <f>COUNTIF($R$13:$R$57,M3)</f>
      </c>
      <c r="N6" s="61">
        <f>COUNTIF($R$13:$R$57,N3)</f>
      </c>
      <c r="O6" s="61">
        <f>COUNTIF($R$13:$R$57,O3)</f>
      </c>
      <c r="P6" s="62">
        <f>COUNTIF($R$13:$R$57,P3)</f>
      </c>
      <c r="Q6" s="61">
        <f>COUNTIF($R$13:$R$57,Q3)</f>
      </c>
      <c r="R6" s="61">
        <f>L6-SUM(M6:Q6)</f>
      </c>
      <c r="S6" s="63"/>
      <c r="T6" s="52"/>
      <c r="U6" s="52"/>
      <c r="V6" s="52"/>
      <c r="W6" s="52"/>
      <c r="X6" s="52"/>
      <c r="Y6" s="52"/>
      <c r="Z6" s="52"/>
      <c r="AA6" s="52"/>
      <c r="AB6" s="52"/>
      <c r="AC6" s="52"/>
    </row>
    <row r="7" ht="36" customHeight="1">
      <c r="A7" s="51"/>
      <c r="B7" s="54" t="s">
        <v>17</v>
      </c>
      <c r="C7" s="55" t="s">
        <v>3385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3164</v>
      </c>
      <c r="D13" s="117" t="s">
        <v>500</v>
      </c>
      <c r="E13" s="58" t="s">
        <v>3165</v>
      </c>
      <c r="F13" s="58" t="s">
        <v>203</v>
      </c>
      <c r="G13" s="58" t="s">
        <v>3166</v>
      </c>
      <c r="H13" s="58" t="s">
        <v>3167</v>
      </c>
      <c r="I13" s="58" t="s">
        <v>504</v>
      </c>
      <c r="J13" s="58" t="s">
        <v>3168</v>
      </c>
      <c r="K13" s="74" t="s">
        <v>3169</v>
      </c>
      <c r="L13" s="58"/>
      <c r="M13" s="58"/>
      <c r="N13" s="58"/>
      <c r="O13" s="58"/>
      <c r="P13" s="58"/>
      <c r="Q13" s="58"/>
      <c r="R13" s="58"/>
      <c r="S13" s="58"/>
      <c r="T13" s="58"/>
      <c r="U13" s="58"/>
      <c r="V13" s="58"/>
      <c r="W13" s="105"/>
      <c r="X13" s="58" t="s">
        <v>3170</v>
      </c>
      <c r="Y13" s="52"/>
      <c r="Z13" s="52"/>
      <c r="AA13" s="52"/>
      <c r="AB13" s="52"/>
      <c r="AC13" s="52"/>
    </row>
    <row r="14" customHeight="1" ht="60.0">
      <c r="A14" s="73">
        <v>2</v>
      </c>
      <c r="B14" s="116"/>
      <c r="C14" s="118"/>
      <c r="D14" s="117" t="s">
        <v>508</v>
      </c>
      <c r="E14" s="58" t="s">
        <v>209</v>
      </c>
      <c r="F14" s="58" t="s">
        <v>210</v>
      </c>
      <c r="G14" s="58" t="s">
        <v>3171</v>
      </c>
      <c r="H14" s="58" t="s">
        <v>3172</v>
      </c>
      <c r="I14" s="58" t="s">
        <v>504</v>
      </c>
      <c r="J14" s="58" t="s">
        <v>3173</v>
      </c>
      <c r="K14" s="74" t="s">
        <v>3174</v>
      </c>
      <c r="L14" s="58"/>
      <c r="M14" s="58"/>
      <c r="N14" s="58"/>
      <c r="O14" s="58"/>
      <c r="P14" s="58"/>
      <c r="Q14" s="58"/>
      <c r="R14" s="58"/>
      <c r="S14" s="58"/>
      <c r="T14" s="58"/>
      <c r="U14" s="58"/>
      <c r="V14" s="58"/>
      <c r="W14" s="105"/>
      <c r="X14" s="58" t="s">
        <v>3170</v>
      </c>
      <c r="Y14" s="52"/>
      <c r="Z14" s="52"/>
      <c r="AA14" s="52"/>
      <c r="AB14" s="52"/>
      <c r="AC14" s="52"/>
    </row>
    <row r="15" customHeight="1" ht="114.0">
      <c r="A15" s="73">
        <v>3</v>
      </c>
      <c r="B15" s="116"/>
      <c r="C15" s="117" t="s">
        <v>3175</v>
      </c>
      <c r="D15" s="117" t="s">
        <v>513</v>
      </c>
      <c r="E15" s="58" t="s">
        <v>3176</v>
      </c>
      <c r="F15" s="58" t="s">
        <v>203</v>
      </c>
      <c r="G15" s="58" t="s">
        <v>3177</v>
      </c>
      <c r="H15" s="58" t="s">
        <v>3178</v>
      </c>
      <c r="I15" s="58" t="s">
        <v>3179</v>
      </c>
      <c r="J15" s="58" t="s">
        <v>3180</v>
      </c>
      <c r="K15" s="74" t="s">
        <v>3181</v>
      </c>
      <c r="L15" s="58"/>
      <c r="M15" s="58"/>
      <c r="N15" s="58"/>
      <c r="O15" s="58"/>
      <c r="P15" s="58"/>
      <c r="Q15" s="58"/>
      <c r="R15" s="58"/>
      <c r="S15" s="58"/>
      <c r="T15" s="58"/>
      <c r="U15" s="58"/>
      <c r="V15" s="58"/>
      <c r="W15" s="77" t="s">
        <v>3182</v>
      </c>
      <c r="X15" s="58" t="s">
        <v>3170</v>
      </c>
      <c r="Y15" s="52"/>
      <c r="Z15" s="52"/>
      <c r="AA15" s="52"/>
      <c r="AB15" s="52"/>
      <c r="AC15" s="52"/>
    </row>
    <row r="16" customHeight="1" ht="73.5">
      <c r="A16" s="73">
        <v>4</v>
      </c>
      <c r="B16" s="118"/>
      <c r="C16" s="117" t="s">
        <v>119</v>
      </c>
      <c r="D16" s="117" t="s">
        <v>1276</v>
      </c>
      <c r="E16" s="58" t="s">
        <v>3183</v>
      </c>
      <c r="F16" s="58" t="s">
        <v>210</v>
      </c>
      <c r="G16" s="58" t="s">
        <v>3184</v>
      </c>
      <c r="H16" s="58" t="s">
        <v>3185</v>
      </c>
      <c r="I16" s="58" t="s">
        <v>3186</v>
      </c>
      <c r="J16" s="58" t="s">
        <v>3187</v>
      </c>
      <c r="K16" s="104"/>
      <c r="L16" s="58"/>
      <c r="M16" s="58"/>
      <c r="N16" s="58"/>
      <c r="O16" s="58"/>
      <c r="P16" s="58"/>
      <c r="Q16" s="58"/>
      <c r="R16" s="58"/>
      <c r="S16" s="58"/>
      <c r="T16" s="58"/>
      <c r="U16" s="58"/>
      <c r="V16" s="58"/>
      <c r="W16" s="77" t="s">
        <v>3188</v>
      </c>
      <c r="X16" s="58" t="s">
        <v>3170</v>
      </c>
      <c r="Y16" s="52"/>
      <c r="Z16" s="52"/>
      <c r="AA16" s="52"/>
      <c r="AB16" s="52"/>
      <c r="AC16" s="52"/>
    </row>
    <row r="17" customHeight="1" ht="60.0">
      <c r="A17" s="73">
        <v>5</v>
      </c>
      <c r="B17" s="116" t="s">
        <v>3189</v>
      </c>
      <c r="C17" s="116" t="s">
        <v>121</v>
      </c>
      <c r="D17" s="116" t="s">
        <v>268</v>
      </c>
      <c r="E17" s="58" t="s">
        <v>3190</v>
      </c>
      <c r="F17" s="58" t="s">
        <v>203</v>
      </c>
      <c r="G17" s="58" t="s">
        <v>3191</v>
      </c>
      <c r="H17" s="58" t="s">
        <v>3192</v>
      </c>
      <c r="I17" s="58" t="s">
        <v>504</v>
      </c>
      <c r="J17" s="58" t="s">
        <v>3193</v>
      </c>
      <c r="K17" s="74" t="s">
        <v>3194</v>
      </c>
      <c r="L17" s="58"/>
      <c r="M17" s="58"/>
      <c r="N17" s="58"/>
      <c r="O17" s="58"/>
      <c r="P17" s="58"/>
      <c r="Q17" s="58"/>
      <c r="R17" s="58"/>
      <c r="S17" s="58"/>
      <c r="T17" s="58"/>
      <c r="U17" s="58"/>
      <c r="V17" s="58"/>
      <c r="W17" s="105"/>
      <c r="X17" s="58" t="s">
        <v>3170</v>
      </c>
      <c r="Y17" s="52"/>
      <c r="Z17" s="52"/>
      <c r="AA17" s="52"/>
      <c r="AB17" s="52"/>
      <c r="AC17" s="52"/>
    </row>
    <row r="18" customHeight="1" ht="127.5">
      <c r="A18" s="73">
        <v>6</v>
      </c>
      <c r="B18" s="116"/>
      <c r="C18" s="116"/>
      <c r="D18" s="116"/>
      <c r="E18" s="58" t="s">
        <v>3195</v>
      </c>
      <c r="F18" s="58" t="s">
        <v>225</v>
      </c>
      <c r="G18" s="58" t="s">
        <v>3196</v>
      </c>
      <c r="H18" s="58" t="s">
        <v>3197</v>
      </c>
      <c r="I18" s="58" t="s">
        <v>504</v>
      </c>
      <c r="J18" s="58" t="s">
        <v>3198</v>
      </c>
      <c r="K18" s="104"/>
      <c r="L18" s="58"/>
      <c r="M18" s="58"/>
      <c r="N18" s="58"/>
      <c r="O18" s="58"/>
      <c r="P18" s="58"/>
      <c r="Q18" s="58"/>
      <c r="R18" s="58"/>
      <c r="S18" s="58"/>
      <c r="T18" s="58"/>
      <c r="U18" s="58"/>
      <c r="V18" s="58"/>
      <c r="W18" s="77" t="s">
        <v>3199</v>
      </c>
      <c r="X18" s="58" t="s">
        <v>3170</v>
      </c>
      <c r="Y18" s="52"/>
      <c r="Z18" s="52"/>
      <c r="AA18" s="52"/>
      <c r="AB18" s="52"/>
      <c r="AC18" s="52"/>
    </row>
    <row r="19" customHeight="1" ht="60.0">
      <c r="A19" s="73">
        <v>7</v>
      </c>
      <c r="B19" s="116"/>
      <c r="C19" s="118"/>
      <c r="D19" s="118"/>
      <c r="E19" s="58" t="s">
        <v>3200</v>
      </c>
      <c r="F19" s="58" t="s">
        <v>210</v>
      </c>
      <c r="G19" s="58" t="s">
        <v>3201</v>
      </c>
      <c r="H19" s="58" t="s">
        <v>3202</v>
      </c>
      <c r="I19" s="58" t="s">
        <v>504</v>
      </c>
      <c r="J19" s="58" t="s">
        <v>3203</v>
      </c>
      <c r="K19" s="74" t="s">
        <v>3204</v>
      </c>
      <c r="L19" s="58"/>
      <c r="M19" s="58"/>
      <c r="N19" s="58"/>
      <c r="O19" s="58"/>
      <c r="P19" s="58"/>
      <c r="Q19" s="58"/>
      <c r="R19" s="58"/>
      <c r="S19" s="58"/>
      <c r="T19" s="58"/>
      <c r="U19" s="58"/>
      <c r="V19" s="58"/>
      <c r="W19" s="105"/>
      <c r="X19" s="58" t="s">
        <v>3170</v>
      </c>
      <c r="Y19" s="52"/>
      <c r="Z19" s="52"/>
      <c r="AA19" s="52"/>
      <c r="AB19" s="52"/>
      <c r="AC19" s="52"/>
    </row>
    <row r="20" customHeight="1" ht="60.0">
      <c r="A20" s="73">
        <v>8</v>
      </c>
      <c r="B20" s="116"/>
      <c r="C20" s="117" t="s">
        <v>3205</v>
      </c>
      <c r="D20" s="117" t="s">
        <v>268</v>
      </c>
      <c r="E20" s="58" t="s">
        <v>3206</v>
      </c>
      <c r="F20" s="58" t="s">
        <v>210</v>
      </c>
      <c r="G20" s="58" t="s">
        <v>3207</v>
      </c>
      <c r="H20" s="58" t="s">
        <v>3208</v>
      </c>
      <c r="I20" s="58" t="s">
        <v>3209</v>
      </c>
      <c r="J20" s="58" t="s">
        <v>3210</v>
      </c>
      <c r="K20" s="104"/>
      <c r="L20" s="58"/>
      <c r="M20" s="58"/>
      <c r="N20" s="58"/>
      <c r="O20" s="58"/>
      <c r="P20" s="58"/>
      <c r="Q20" s="58"/>
      <c r="R20" s="58"/>
      <c r="S20" s="58"/>
      <c r="T20" s="58"/>
      <c r="U20" s="58"/>
      <c r="V20" s="58"/>
      <c r="W20" s="77" t="s">
        <v>3211</v>
      </c>
      <c r="X20" s="58" t="s">
        <v>3170</v>
      </c>
      <c r="Y20" s="52"/>
      <c r="Z20" s="52"/>
      <c r="AA20" s="52"/>
      <c r="AB20" s="52"/>
      <c r="AC20" s="52"/>
    </row>
    <row r="21" customHeight="1" ht="60.0">
      <c r="A21" s="73">
        <v>9</v>
      </c>
      <c r="B21" s="116"/>
      <c r="C21" s="116" t="s">
        <v>96</v>
      </c>
      <c r="D21" s="117" t="s">
        <v>653</v>
      </c>
      <c r="E21" s="58" t="s">
        <v>3212</v>
      </c>
      <c r="F21" s="58" t="s">
        <v>210</v>
      </c>
      <c r="G21" s="58" t="s">
        <v>3213</v>
      </c>
      <c r="H21" s="58" t="s">
        <v>3214</v>
      </c>
      <c r="I21" s="58" t="s">
        <v>504</v>
      </c>
      <c r="J21" s="58" t="s">
        <v>3215</v>
      </c>
      <c r="K21" s="74" t="s">
        <v>3216</v>
      </c>
      <c r="L21" s="58"/>
      <c r="M21" s="58"/>
      <c r="N21" s="58"/>
      <c r="O21" s="58"/>
      <c r="P21" s="58"/>
      <c r="Q21" s="58"/>
      <c r="R21" s="58"/>
      <c r="S21" s="58"/>
      <c r="T21" s="58"/>
      <c r="U21" s="58"/>
      <c r="V21" s="58"/>
      <c r="W21" s="105"/>
      <c r="X21" s="58" t="s">
        <v>3170</v>
      </c>
      <c r="Y21" s="52"/>
      <c r="Z21" s="52"/>
      <c r="AA21" s="52"/>
      <c r="AB21" s="52"/>
      <c r="AC21" s="52"/>
    </row>
    <row r="22" customHeight="1" ht="60.0">
      <c r="A22" s="73">
        <v>10</v>
      </c>
      <c r="B22" s="116"/>
      <c r="C22" s="116"/>
      <c r="D22" s="116" t="s">
        <v>659</v>
      </c>
      <c r="E22" s="58" t="s">
        <v>660</v>
      </c>
      <c r="F22" s="58" t="s">
        <v>225</v>
      </c>
      <c r="G22" s="58" t="s">
        <v>3217</v>
      </c>
      <c r="H22" s="58" t="s">
        <v>662</v>
      </c>
      <c r="I22" s="58" t="s">
        <v>504</v>
      </c>
      <c r="J22" s="58" t="s">
        <v>3218</v>
      </c>
      <c r="K22" s="74" t="s">
        <v>3219</v>
      </c>
      <c r="L22" s="58"/>
      <c r="M22" s="58"/>
      <c r="N22" s="58"/>
      <c r="O22" s="58"/>
      <c r="P22" s="58"/>
      <c r="Q22" s="58"/>
      <c r="R22" s="58"/>
      <c r="S22" s="58"/>
      <c r="T22" s="58"/>
      <c r="U22" s="58"/>
      <c r="V22" s="58"/>
      <c r="W22" s="105"/>
      <c r="X22" s="58" t="s">
        <v>3170</v>
      </c>
      <c r="Y22" s="52"/>
      <c r="Z22" s="52"/>
      <c r="AA22" s="52"/>
      <c r="AB22" s="52"/>
      <c r="AC22" s="52"/>
    </row>
    <row r="23" customHeight="1" ht="87.0">
      <c r="A23" s="73">
        <v>11</v>
      </c>
      <c r="B23" s="116"/>
      <c r="C23" s="116"/>
      <c r="D23" s="116"/>
      <c r="E23" s="58" t="s">
        <v>3220</v>
      </c>
      <c r="F23" s="58" t="s">
        <v>203</v>
      </c>
      <c r="G23" s="58" t="s">
        <v>3221</v>
      </c>
      <c r="H23" s="58" t="s">
        <v>1318</v>
      </c>
      <c r="I23" s="58" t="s">
        <v>504</v>
      </c>
      <c r="J23" s="58" t="s">
        <v>3222</v>
      </c>
      <c r="K23" s="74" t="s">
        <v>3223</v>
      </c>
      <c r="L23" s="58"/>
      <c r="M23" s="58"/>
      <c r="N23" s="58"/>
      <c r="O23" s="58"/>
      <c r="P23" s="58"/>
      <c r="Q23" s="58"/>
      <c r="R23" s="58"/>
      <c r="S23" s="58"/>
      <c r="T23" s="58"/>
      <c r="U23" s="58"/>
      <c r="V23" s="58"/>
      <c r="W23" s="77" t="s">
        <v>3224</v>
      </c>
      <c r="X23" s="58" t="s">
        <v>3170</v>
      </c>
      <c r="Y23" s="52"/>
      <c r="Z23" s="52"/>
      <c r="AA23" s="52"/>
      <c r="AB23" s="52"/>
      <c r="AC23" s="52"/>
    </row>
    <row r="24" customHeight="1" ht="60.0">
      <c r="A24" s="73">
        <v>12</v>
      </c>
      <c r="B24" s="116"/>
      <c r="C24" s="116"/>
      <c r="D24" s="116"/>
      <c r="E24" s="58" t="s">
        <v>3225</v>
      </c>
      <c r="F24" s="58" t="s">
        <v>203</v>
      </c>
      <c r="G24" s="58" t="s">
        <v>3226</v>
      </c>
      <c r="H24" s="58" t="s">
        <v>3227</v>
      </c>
      <c r="I24" s="58" t="s">
        <v>504</v>
      </c>
      <c r="J24" s="58" t="s">
        <v>3228</v>
      </c>
      <c r="K24" s="74" t="s">
        <v>3229</v>
      </c>
      <c r="L24" s="58"/>
      <c r="M24" s="58"/>
      <c r="N24" s="58"/>
      <c r="O24" s="58"/>
      <c r="P24" s="58"/>
      <c r="Q24" s="58"/>
      <c r="R24" s="58"/>
      <c r="S24" s="58"/>
      <c r="T24" s="58"/>
      <c r="U24" s="58"/>
      <c r="V24" s="58"/>
      <c r="W24" s="105"/>
      <c r="X24" s="58" t="s">
        <v>3170</v>
      </c>
      <c r="Y24" s="52"/>
      <c r="Z24" s="52"/>
      <c r="AA24" s="52"/>
      <c r="AB24" s="52"/>
      <c r="AC24" s="52"/>
    </row>
    <row r="25" customHeight="1" ht="73.5">
      <c r="A25" s="73">
        <v>13</v>
      </c>
      <c r="B25" s="116"/>
      <c r="C25" s="116"/>
      <c r="D25" s="116"/>
      <c r="E25" s="58" t="s">
        <v>671</v>
      </c>
      <c r="F25" s="58" t="s">
        <v>210</v>
      </c>
      <c r="G25" s="58" t="s">
        <v>3230</v>
      </c>
      <c r="H25" s="58" t="s">
        <v>673</v>
      </c>
      <c r="I25" s="58" t="s">
        <v>504</v>
      </c>
      <c r="J25" s="58" t="s">
        <v>3231</v>
      </c>
      <c r="K25" s="74" t="s">
        <v>3232</v>
      </c>
      <c r="L25" s="58"/>
      <c r="M25" s="58"/>
      <c r="N25" s="58"/>
      <c r="O25" s="58"/>
      <c r="P25" s="58"/>
      <c r="Q25" s="58"/>
      <c r="R25" s="58"/>
      <c r="S25" s="58"/>
      <c r="T25" s="58"/>
      <c r="U25" s="58"/>
      <c r="V25" s="58"/>
      <c r="W25" s="77" t="s">
        <v>3233</v>
      </c>
      <c r="X25" s="58" t="s">
        <v>3170</v>
      </c>
      <c r="Y25" s="52"/>
      <c r="Z25" s="52"/>
      <c r="AA25" s="52"/>
      <c r="AB25" s="52"/>
      <c r="AC25" s="52"/>
    </row>
    <row r="26" customHeight="1" ht="73.5">
      <c r="A26" s="73">
        <v>14</v>
      </c>
      <c r="B26" s="116"/>
      <c r="C26" s="116"/>
      <c r="D26" s="116"/>
      <c r="E26" s="58" t="s">
        <v>3234</v>
      </c>
      <c r="F26" s="58" t="s">
        <v>210</v>
      </c>
      <c r="G26" s="58" t="s">
        <v>3235</v>
      </c>
      <c r="H26" s="58" t="s">
        <v>3236</v>
      </c>
      <c r="I26" s="58" t="s">
        <v>504</v>
      </c>
      <c r="J26" s="58" t="s">
        <v>3237</v>
      </c>
      <c r="K26" s="74" t="s">
        <v>3238</v>
      </c>
      <c r="L26" s="58"/>
      <c r="M26" s="58"/>
      <c r="N26" s="58"/>
      <c r="O26" s="58"/>
      <c r="P26" s="58"/>
      <c r="Q26" s="58"/>
      <c r="R26" s="58"/>
      <c r="S26" s="58"/>
      <c r="T26" s="58"/>
      <c r="U26" s="58"/>
      <c r="V26" s="58"/>
      <c r="W26" s="77" t="s">
        <v>3239</v>
      </c>
      <c r="X26" s="58" t="s">
        <v>3170</v>
      </c>
      <c r="Y26" s="52"/>
      <c r="Z26" s="52"/>
      <c r="AA26" s="52"/>
      <c r="AB26" s="52"/>
      <c r="AC26" s="52"/>
    </row>
    <row r="27" customHeight="1" ht="73.5">
      <c r="A27" s="73">
        <v>15</v>
      </c>
      <c r="B27" s="116"/>
      <c r="C27" s="116"/>
      <c r="D27" s="116"/>
      <c r="E27" s="58" t="s">
        <v>677</v>
      </c>
      <c r="F27" s="58" t="s">
        <v>203</v>
      </c>
      <c r="G27" s="58" t="s">
        <v>3240</v>
      </c>
      <c r="H27" s="58" t="s">
        <v>679</v>
      </c>
      <c r="I27" s="58" t="s">
        <v>504</v>
      </c>
      <c r="J27" s="58" t="s">
        <v>3241</v>
      </c>
      <c r="K27" s="74" t="s">
        <v>681</v>
      </c>
      <c r="L27" s="58"/>
      <c r="M27" s="58"/>
      <c r="N27" s="58"/>
      <c r="O27" s="58"/>
      <c r="P27" s="58"/>
      <c r="Q27" s="58"/>
      <c r="R27" s="58"/>
      <c r="S27" s="58"/>
      <c r="T27" s="58"/>
      <c r="U27" s="58"/>
      <c r="V27" s="58"/>
      <c r="W27" s="77" t="s">
        <v>3242</v>
      </c>
      <c r="X27" s="58" t="s">
        <v>3170</v>
      </c>
      <c r="Y27" s="52"/>
      <c r="Z27" s="52"/>
      <c r="AA27" s="52"/>
      <c r="AB27" s="52"/>
      <c r="AC27" s="52"/>
    </row>
    <row r="28" customHeight="1" ht="60.0">
      <c r="A28" s="73">
        <v>16</v>
      </c>
      <c r="B28" s="116"/>
      <c r="C28" s="116"/>
      <c r="D28" s="116"/>
      <c r="E28" s="58" t="s">
        <v>683</v>
      </c>
      <c r="F28" s="58" t="s">
        <v>210</v>
      </c>
      <c r="G28" s="58" t="s">
        <v>3243</v>
      </c>
      <c r="H28" s="58" t="s">
        <v>685</v>
      </c>
      <c r="I28" s="58" t="s">
        <v>504</v>
      </c>
      <c r="J28" s="58" t="s">
        <v>3244</v>
      </c>
      <c r="K28" s="74" t="s">
        <v>687</v>
      </c>
      <c r="L28" s="58"/>
      <c r="M28" s="58"/>
      <c r="N28" s="58"/>
      <c r="O28" s="58"/>
      <c r="P28" s="58"/>
      <c r="Q28" s="58"/>
      <c r="R28" s="58"/>
      <c r="S28" s="58"/>
      <c r="T28" s="58"/>
      <c r="U28" s="58"/>
      <c r="V28" s="58"/>
      <c r="W28" s="105"/>
      <c r="X28" s="58" t="s">
        <v>3170</v>
      </c>
      <c r="Y28" s="52"/>
      <c r="Z28" s="52"/>
      <c r="AA28" s="52"/>
      <c r="AB28" s="52"/>
      <c r="AC28" s="52"/>
    </row>
    <row r="29" customHeight="1" ht="60.0">
      <c r="A29" s="73">
        <v>17</v>
      </c>
      <c r="B29" s="116"/>
      <c r="C29" s="118"/>
      <c r="D29" s="118"/>
      <c r="E29" s="58" t="s">
        <v>688</v>
      </c>
      <c r="F29" s="58" t="s">
        <v>210</v>
      </c>
      <c r="G29" s="58" t="s">
        <v>3245</v>
      </c>
      <c r="H29" s="58" t="s">
        <v>690</v>
      </c>
      <c r="I29" s="58" t="s">
        <v>504</v>
      </c>
      <c r="J29" s="58" t="s">
        <v>3246</v>
      </c>
      <c r="K29" s="74" t="s">
        <v>3247</v>
      </c>
      <c r="L29" s="58"/>
      <c r="M29" s="58"/>
      <c r="N29" s="58"/>
      <c r="O29" s="58"/>
      <c r="P29" s="58"/>
      <c r="Q29" s="58"/>
      <c r="R29" s="58"/>
      <c r="S29" s="58"/>
      <c r="T29" s="58"/>
      <c r="U29" s="58"/>
      <c r="V29" s="58"/>
      <c r="W29" s="105"/>
      <c r="X29" s="58" t="s">
        <v>3170</v>
      </c>
      <c r="Y29" s="52"/>
      <c r="Z29" s="52"/>
      <c r="AA29" s="52"/>
      <c r="AB29" s="52"/>
      <c r="AC29" s="52"/>
    </row>
    <row r="30" customHeight="1" ht="60.0">
      <c r="A30" s="73">
        <v>18</v>
      </c>
      <c r="B30" s="116"/>
      <c r="C30" s="117" t="s">
        <v>3248</v>
      </c>
      <c r="D30" s="117" t="s">
        <v>3249</v>
      </c>
      <c r="E30" s="58" t="s">
        <v>3250</v>
      </c>
      <c r="F30" s="58" t="s">
        <v>210</v>
      </c>
      <c r="G30" s="58" t="s">
        <v>3251</v>
      </c>
      <c r="H30" s="58" t="s">
        <v>3252</v>
      </c>
      <c r="I30" s="58" t="s">
        <v>504</v>
      </c>
      <c r="J30" s="58" t="s">
        <v>3210</v>
      </c>
      <c r="K30" s="104"/>
      <c r="L30" s="58"/>
      <c r="M30" s="58"/>
      <c r="N30" s="58"/>
      <c r="O30" s="58"/>
      <c r="P30" s="58"/>
      <c r="Q30" s="58"/>
      <c r="R30" s="58"/>
      <c r="S30" s="58"/>
      <c r="T30" s="58"/>
      <c r="U30" s="58"/>
      <c r="V30" s="58"/>
      <c r="W30" s="77" t="s">
        <v>3253</v>
      </c>
      <c r="X30" s="58" t="s">
        <v>3170</v>
      </c>
      <c r="Y30" s="52"/>
      <c r="Z30" s="52"/>
      <c r="AA30" s="52"/>
      <c r="AB30" s="52"/>
      <c r="AC30" s="52"/>
    </row>
    <row r="31" customHeight="1" ht="60.0">
      <c r="A31" s="73">
        <v>19</v>
      </c>
      <c r="B31" s="116"/>
      <c r="C31" s="116" t="s">
        <v>3254</v>
      </c>
      <c r="D31" s="117" t="s">
        <v>268</v>
      </c>
      <c r="E31" s="58" t="s">
        <v>3255</v>
      </c>
      <c r="F31" s="58" t="s">
        <v>210</v>
      </c>
      <c r="G31" s="58" t="s">
        <v>3256</v>
      </c>
      <c r="H31" s="58" t="s">
        <v>3257</v>
      </c>
      <c r="I31" s="58" t="s">
        <v>504</v>
      </c>
      <c r="J31" s="58" t="s">
        <v>3258</v>
      </c>
      <c r="K31" s="74" t="s">
        <v>3259</v>
      </c>
      <c r="L31" s="58"/>
      <c r="M31" s="58"/>
      <c r="N31" s="58"/>
      <c r="O31" s="58"/>
      <c r="P31" s="58"/>
      <c r="Q31" s="58"/>
      <c r="R31" s="58"/>
      <c r="S31" s="58"/>
      <c r="T31" s="58"/>
      <c r="U31" s="58"/>
      <c r="V31" s="58"/>
      <c r="W31" s="105"/>
      <c r="X31" s="58" t="s">
        <v>3170</v>
      </c>
      <c r="Y31" s="52"/>
      <c r="Z31" s="52"/>
      <c r="AA31" s="52"/>
      <c r="AB31" s="52"/>
      <c r="AC31" s="52"/>
    </row>
    <row r="32" customHeight="1" ht="73.5">
      <c r="A32" s="73">
        <v>20</v>
      </c>
      <c r="B32" s="116"/>
      <c r="C32" s="116"/>
      <c r="D32" s="116" t="s">
        <v>3260</v>
      </c>
      <c r="E32" s="58" t="s">
        <v>882</v>
      </c>
      <c r="F32" s="58" t="s">
        <v>203</v>
      </c>
      <c r="G32" s="58" t="s">
        <v>3261</v>
      </c>
      <c r="H32" s="58" t="s">
        <v>3262</v>
      </c>
      <c r="I32" s="58" t="s">
        <v>3263</v>
      </c>
      <c r="J32" s="58" t="s">
        <v>3264</v>
      </c>
      <c r="K32" s="74" t="s">
        <v>3265</v>
      </c>
      <c r="L32" s="58"/>
      <c r="M32" s="58"/>
      <c r="N32" s="58"/>
      <c r="O32" s="58"/>
      <c r="P32" s="58"/>
      <c r="Q32" s="58"/>
      <c r="R32" s="58"/>
      <c r="S32" s="58"/>
      <c r="T32" s="58"/>
      <c r="U32" s="58"/>
      <c r="V32" s="58"/>
      <c r="W32" s="77" t="s">
        <v>3266</v>
      </c>
      <c r="X32" s="58" t="s">
        <v>3170</v>
      </c>
      <c r="Y32" s="52"/>
      <c r="Z32" s="52"/>
      <c r="AA32" s="52"/>
      <c r="AB32" s="52"/>
      <c r="AC32" s="52"/>
    </row>
    <row r="33" customHeight="1" ht="73.5">
      <c r="A33" s="73">
        <v>21</v>
      </c>
      <c r="B33" s="116"/>
      <c r="C33" s="116"/>
      <c r="D33" s="116"/>
      <c r="E33" s="58" t="s">
        <v>894</v>
      </c>
      <c r="F33" s="58" t="s">
        <v>210</v>
      </c>
      <c r="G33" s="58" t="s">
        <v>3267</v>
      </c>
      <c r="H33" s="58" t="s">
        <v>3268</v>
      </c>
      <c r="I33" s="58" t="s">
        <v>3269</v>
      </c>
      <c r="J33" s="58" t="s">
        <v>3264</v>
      </c>
      <c r="K33" s="74" t="s">
        <v>3270</v>
      </c>
      <c r="L33" s="58"/>
      <c r="M33" s="58"/>
      <c r="N33" s="58"/>
      <c r="O33" s="58"/>
      <c r="P33" s="58"/>
      <c r="Q33" s="58"/>
      <c r="R33" s="58"/>
      <c r="S33" s="58"/>
      <c r="T33" s="58"/>
      <c r="U33" s="58"/>
      <c r="V33" s="58"/>
      <c r="W33" s="105"/>
      <c r="X33" s="58" t="s">
        <v>3170</v>
      </c>
      <c r="Y33" s="52"/>
      <c r="Z33" s="52"/>
      <c r="AA33" s="52"/>
      <c r="AB33" s="52"/>
      <c r="AC33" s="52"/>
    </row>
    <row r="34" customHeight="1" ht="73.5">
      <c r="A34" s="73">
        <v>22</v>
      </c>
      <c r="B34" s="116"/>
      <c r="C34" s="116"/>
      <c r="D34" s="118"/>
      <c r="E34" s="58" t="s">
        <v>888</v>
      </c>
      <c r="F34" s="58" t="s">
        <v>210</v>
      </c>
      <c r="G34" s="58" t="s">
        <v>3271</v>
      </c>
      <c r="H34" s="58" t="s">
        <v>3272</v>
      </c>
      <c r="I34" s="58" t="s">
        <v>3273</v>
      </c>
      <c r="J34" s="58" t="s">
        <v>3264</v>
      </c>
      <c r="K34" s="74" t="s">
        <v>3274</v>
      </c>
      <c r="L34" s="58"/>
      <c r="M34" s="58"/>
      <c r="N34" s="58"/>
      <c r="O34" s="58"/>
      <c r="P34" s="58"/>
      <c r="Q34" s="58"/>
      <c r="R34" s="58"/>
      <c r="S34" s="58"/>
      <c r="T34" s="58"/>
      <c r="U34" s="58"/>
      <c r="V34" s="58"/>
      <c r="W34" s="105"/>
      <c r="X34" s="58" t="s">
        <v>3170</v>
      </c>
      <c r="Y34" s="52"/>
      <c r="Z34" s="52"/>
      <c r="AA34" s="52"/>
      <c r="AB34" s="52"/>
      <c r="AC34" s="52"/>
    </row>
    <row r="35" customHeight="1" ht="73.5">
      <c r="A35" s="73">
        <v>23</v>
      </c>
      <c r="B35" s="116"/>
      <c r="C35" s="116"/>
      <c r="D35" s="116" t="s">
        <v>971</v>
      </c>
      <c r="E35" s="58" t="s">
        <v>1034</v>
      </c>
      <c r="F35" s="58" t="s">
        <v>210</v>
      </c>
      <c r="G35" s="58" t="s">
        <v>3275</v>
      </c>
      <c r="H35" s="58" t="s">
        <v>973</v>
      </c>
      <c r="I35" s="58" t="s">
        <v>3276</v>
      </c>
      <c r="J35" s="58" t="s">
        <v>3277</v>
      </c>
      <c r="K35" s="74" t="s">
        <v>3278</v>
      </c>
      <c r="L35" s="58"/>
      <c r="M35" s="58"/>
      <c r="N35" s="58"/>
      <c r="O35" s="58"/>
      <c r="P35" s="58"/>
      <c r="Q35" s="58"/>
      <c r="R35" s="58"/>
      <c r="S35" s="58"/>
      <c r="T35" s="58"/>
      <c r="U35" s="58"/>
      <c r="V35" s="58"/>
      <c r="W35" s="77" t="s">
        <v>3279</v>
      </c>
      <c r="X35" s="58" t="s">
        <v>3170</v>
      </c>
      <c r="Y35" s="52"/>
      <c r="Z35" s="52"/>
      <c r="AA35" s="52"/>
      <c r="AB35" s="52"/>
      <c r="AC35" s="52"/>
    </row>
    <row r="36" customHeight="1" ht="60.0">
      <c r="A36" s="73">
        <v>24</v>
      </c>
      <c r="B36" s="116"/>
      <c r="C36" s="116"/>
      <c r="D36" s="116"/>
      <c r="E36" s="58" t="s">
        <v>1040</v>
      </c>
      <c r="F36" s="58" t="s">
        <v>210</v>
      </c>
      <c r="G36" s="58" t="s">
        <v>3280</v>
      </c>
      <c r="H36" s="58" t="s">
        <v>3281</v>
      </c>
      <c r="I36" s="58" t="s">
        <v>3282</v>
      </c>
      <c r="J36" s="58" t="s">
        <v>3277</v>
      </c>
      <c r="K36" s="74" t="s">
        <v>3283</v>
      </c>
      <c r="L36" s="58"/>
      <c r="M36" s="58"/>
      <c r="N36" s="58"/>
      <c r="O36" s="58"/>
      <c r="P36" s="58"/>
      <c r="Q36" s="58"/>
      <c r="R36" s="58"/>
      <c r="S36" s="58"/>
      <c r="T36" s="58"/>
      <c r="U36" s="58"/>
      <c r="V36" s="58"/>
      <c r="W36" s="105"/>
      <c r="X36" s="58" t="s">
        <v>3170</v>
      </c>
      <c r="Y36" s="52"/>
      <c r="Z36" s="52"/>
      <c r="AA36" s="52"/>
      <c r="AB36" s="52"/>
      <c r="AC36" s="52"/>
    </row>
    <row r="37" customHeight="1" ht="100.5">
      <c r="A37" s="73">
        <v>25</v>
      </c>
      <c r="B37" s="116"/>
      <c r="C37" s="116"/>
      <c r="D37" s="118"/>
      <c r="E37" s="58" t="s">
        <v>3284</v>
      </c>
      <c r="F37" s="58" t="s">
        <v>210</v>
      </c>
      <c r="G37" s="58" t="s">
        <v>3285</v>
      </c>
      <c r="H37" s="58" t="s">
        <v>3286</v>
      </c>
      <c r="I37" s="58" t="s">
        <v>3287</v>
      </c>
      <c r="J37" s="58" t="s">
        <v>3288</v>
      </c>
      <c r="K37" s="104"/>
      <c r="L37" s="58"/>
      <c r="M37" s="58"/>
      <c r="N37" s="58"/>
      <c r="O37" s="58"/>
      <c r="P37" s="58"/>
      <c r="Q37" s="58"/>
      <c r="R37" s="58"/>
      <c r="S37" s="58"/>
      <c r="T37" s="58"/>
      <c r="U37" s="58"/>
      <c r="V37" s="58"/>
      <c r="W37" s="77" t="s">
        <v>3289</v>
      </c>
      <c r="X37" s="58" t="s">
        <v>3170</v>
      </c>
      <c r="Y37" s="52"/>
      <c r="Z37" s="52"/>
      <c r="AA37" s="52"/>
      <c r="AB37" s="52"/>
      <c r="AC37" s="52"/>
    </row>
    <row r="38" customHeight="1" ht="60.0">
      <c r="A38" s="73">
        <v>26</v>
      </c>
      <c r="B38" s="116"/>
      <c r="C38" s="116"/>
      <c r="D38" s="116" t="s">
        <v>999</v>
      </c>
      <c r="E38" s="58" t="s">
        <v>3290</v>
      </c>
      <c r="F38" s="58" t="s">
        <v>210</v>
      </c>
      <c r="G38" s="58" t="s">
        <v>3291</v>
      </c>
      <c r="H38" s="58" t="s">
        <v>3292</v>
      </c>
      <c r="I38" s="58" t="s">
        <v>3293</v>
      </c>
      <c r="J38" s="58" t="s">
        <v>3294</v>
      </c>
      <c r="K38" s="74" t="s">
        <v>3295</v>
      </c>
      <c r="L38" s="58"/>
      <c r="M38" s="58"/>
      <c r="N38" s="58"/>
      <c r="O38" s="58"/>
      <c r="P38" s="58"/>
      <c r="Q38" s="58"/>
      <c r="R38" s="58"/>
      <c r="S38" s="58"/>
      <c r="T38" s="58"/>
      <c r="U38" s="58"/>
      <c r="V38" s="58"/>
      <c r="W38" s="105"/>
      <c r="X38" s="58" t="s">
        <v>3170</v>
      </c>
      <c r="Y38" s="52"/>
      <c r="Z38" s="52"/>
      <c r="AA38" s="52"/>
      <c r="AB38" s="52"/>
      <c r="AC38" s="52"/>
    </row>
    <row r="39" customHeight="1" ht="73.5">
      <c r="A39" s="73">
        <v>27</v>
      </c>
      <c r="B39" s="116"/>
      <c r="C39" s="116"/>
      <c r="D39" s="118"/>
      <c r="E39" s="58" t="s">
        <v>3296</v>
      </c>
      <c r="F39" s="58" t="s">
        <v>210</v>
      </c>
      <c r="G39" s="58" t="s">
        <v>3297</v>
      </c>
      <c r="H39" s="58" t="s">
        <v>3298</v>
      </c>
      <c r="I39" s="58" t="s">
        <v>3299</v>
      </c>
      <c r="J39" s="58" t="s">
        <v>3294</v>
      </c>
      <c r="K39" s="104"/>
      <c r="L39" s="58"/>
      <c r="M39" s="58"/>
      <c r="N39" s="58"/>
      <c r="O39" s="58"/>
      <c r="P39" s="58"/>
      <c r="Q39" s="58"/>
      <c r="R39" s="58"/>
      <c r="S39" s="58"/>
      <c r="T39" s="58"/>
      <c r="U39" s="58"/>
      <c r="V39" s="58"/>
      <c r="W39" s="77" t="s">
        <v>3300</v>
      </c>
      <c r="X39" s="58" t="s">
        <v>3170</v>
      </c>
      <c r="Y39" s="52"/>
      <c r="Z39" s="52"/>
      <c r="AA39" s="52"/>
      <c r="AB39" s="52"/>
      <c r="AC39" s="52"/>
    </row>
    <row r="40" customHeight="1" ht="114.0">
      <c r="A40" s="73">
        <v>28</v>
      </c>
      <c r="B40" s="116"/>
      <c r="C40" s="116"/>
      <c r="D40" s="116" t="s">
        <v>737</v>
      </c>
      <c r="E40" s="58" t="s">
        <v>268</v>
      </c>
      <c r="F40" s="58" t="s">
        <v>203</v>
      </c>
      <c r="G40" s="58" t="s">
        <v>3301</v>
      </c>
      <c r="H40" s="58" t="s">
        <v>3302</v>
      </c>
      <c r="I40" s="58" t="s">
        <v>3186</v>
      </c>
      <c r="J40" s="58" t="s">
        <v>3303</v>
      </c>
      <c r="K40" s="74" t="s">
        <v>3304</v>
      </c>
      <c r="L40" s="58"/>
      <c r="M40" s="58"/>
      <c r="N40" s="58"/>
      <c r="O40" s="58"/>
      <c r="P40" s="58"/>
      <c r="Q40" s="58"/>
      <c r="R40" s="58"/>
      <c r="S40" s="58"/>
      <c r="T40" s="58"/>
      <c r="U40" s="58"/>
      <c r="V40" s="58"/>
      <c r="W40" s="77" t="s">
        <v>3305</v>
      </c>
      <c r="X40" s="58" t="s">
        <v>3170</v>
      </c>
      <c r="Y40" s="52"/>
      <c r="Z40" s="52"/>
      <c r="AA40" s="52"/>
      <c r="AB40" s="52"/>
      <c r="AC40" s="52"/>
    </row>
    <row r="41" customHeight="1" ht="73.5">
      <c r="A41" s="73">
        <v>29</v>
      </c>
      <c r="B41" s="116"/>
      <c r="C41" s="116"/>
      <c r="D41" s="116"/>
      <c r="E41" s="58" t="s">
        <v>3306</v>
      </c>
      <c r="F41" s="58" t="s">
        <v>203</v>
      </c>
      <c r="G41" s="58" t="s">
        <v>3307</v>
      </c>
      <c r="H41" s="58" t="s">
        <v>3308</v>
      </c>
      <c r="I41" s="58" t="s">
        <v>3309</v>
      </c>
      <c r="J41" s="58" t="s">
        <v>3303</v>
      </c>
      <c r="K41" s="74" t="s">
        <v>3310</v>
      </c>
      <c r="L41" s="58"/>
      <c r="M41" s="58"/>
      <c r="N41" s="58"/>
      <c r="O41" s="58"/>
      <c r="P41" s="58"/>
      <c r="Q41" s="58"/>
      <c r="R41" s="58"/>
      <c r="S41" s="58"/>
      <c r="T41" s="58"/>
      <c r="U41" s="58"/>
      <c r="V41" s="58"/>
      <c r="W41" s="105"/>
      <c r="X41" s="58" t="s">
        <v>3170</v>
      </c>
      <c r="Y41" s="52"/>
      <c r="Z41" s="52"/>
      <c r="AA41" s="52"/>
      <c r="AB41" s="52"/>
      <c r="AC41" s="52"/>
    </row>
    <row r="42" customHeight="1" ht="73.5">
      <c r="A42" s="73">
        <v>30</v>
      </c>
      <c r="B42" s="116"/>
      <c r="C42" s="116"/>
      <c r="D42" s="116"/>
      <c r="E42" s="58" t="s">
        <v>3311</v>
      </c>
      <c r="F42" s="58" t="s">
        <v>210</v>
      </c>
      <c r="G42" s="58" t="s">
        <v>3312</v>
      </c>
      <c r="H42" s="58" t="s">
        <v>3313</v>
      </c>
      <c r="I42" s="58" t="s">
        <v>3314</v>
      </c>
      <c r="J42" s="58" t="s">
        <v>3303</v>
      </c>
      <c r="K42" s="74" t="s">
        <v>3315</v>
      </c>
      <c r="L42" s="58"/>
      <c r="M42" s="58"/>
      <c r="N42" s="58"/>
      <c r="O42" s="58"/>
      <c r="P42" s="58"/>
      <c r="Q42" s="58"/>
      <c r="R42" s="58"/>
      <c r="S42" s="58"/>
      <c r="T42" s="58"/>
      <c r="U42" s="58"/>
      <c r="V42" s="58"/>
      <c r="W42" s="105"/>
      <c r="X42" s="58" t="s">
        <v>3170</v>
      </c>
      <c r="Y42" s="52"/>
      <c r="Z42" s="52"/>
      <c r="AA42" s="52"/>
      <c r="AB42" s="52"/>
      <c r="AC42" s="52"/>
    </row>
    <row r="43" customHeight="1" ht="73.5">
      <c r="A43" s="73">
        <v>31</v>
      </c>
      <c r="B43" s="116"/>
      <c r="C43" s="116"/>
      <c r="D43" s="116"/>
      <c r="E43" s="58" t="s">
        <v>3316</v>
      </c>
      <c r="F43" s="58" t="s">
        <v>210</v>
      </c>
      <c r="G43" s="58" t="s">
        <v>3317</v>
      </c>
      <c r="H43" s="58" t="s">
        <v>3318</v>
      </c>
      <c r="I43" s="58" t="s">
        <v>3319</v>
      </c>
      <c r="J43" s="58" t="s">
        <v>3303</v>
      </c>
      <c r="K43" s="74" t="s">
        <v>3320</v>
      </c>
      <c r="L43" s="58"/>
      <c r="M43" s="58"/>
      <c r="N43" s="58"/>
      <c r="O43" s="58"/>
      <c r="P43" s="58"/>
      <c r="Q43" s="58"/>
      <c r="R43" s="58"/>
      <c r="S43" s="58"/>
      <c r="T43" s="58"/>
      <c r="U43" s="58"/>
      <c r="V43" s="58"/>
      <c r="W43" s="105"/>
      <c r="X43" s="58" t="s">
        <v>3170</v>
      </c>
      <c r="Y43" s="52"/>
      <c r="Z43" s="52"/>
      <c r="AA43" s="52"/>
      <c r="AB43" s="52"/>
      <c r="AC43" s="52"/>
    </row>
    <row r="44" customHeight="1" ht="73.5">
      <c r="A44" s="73">
        <v>32</v>
      </c>
      <c r="B44" s="116"/>
      <c r="C44" s="116"/>
      <c r="D44" s="116"/>
      <c r="E44" s="58" t="s">
        <v>3321</v>
      </c>
      <c r="F44" s="58" t="s">
        <v>210</v>
      </c>
      <c r="G44" s="58" t="s">
        <v>3322</v>
      </c>
      <c r="H44" s="58" t="s">
        <v>3323</v>
      </c>
      <c r="I44" s="58" t="s">
        <v>3324</v>
      </c>
      <c r="J44" s="58" t="s">
        <v>3303</v>
      </c>
      <c r="K44" s="74" t="s">
        <v>3325</v>
      </c>
      <c r="L44" s="58"/>
      <c r="M44" s="58"/>
      <c r="N44" s="58"/>
      <c r="O44" s="58"/>
      <c r="P44" s="58"/>
      <c r="Q44" s="58"/>
      <c r="R44" s="58"/>
      <c r="S44" s="58"/>
      <c r="T44" s="58"/>
      <c r="U44" s="58"/>
      <c r="V44" s="58"/>
      <c r="W44" s="105"/>
      <c r="X44" s="58" t="s">
        <v>3170</v>
      </c>
      <c r="Y44" s="52"/>
      <c r="Z44" s="52"/>
      <c r="AA44" s="52"/>
      <c r="AB44" s="52"/>
      <c r="AC44" s="52"/>
    </row>
    <row r="45" customHeight="1" ht="87.0">
      <c r="A45" s="73">
        <v>33</v>
      </c>
      <c r="B45" s="116"/>
      <c r="C45" s="116"/>
      <c r="D45" s="116"/>
      <c r="E45" s="58" t="s">
        <v>3326</v>
      </c>
      <c r="F45" s="58" t="s">
        <v>210</v>
      </c>
      <c r="G45" s="58" t="s">
        <v>3327</v>
      </c>
      <c r="H45" s="58" t="s">
        <v>770</v>
      </c>
      <c r="I45" s="58" t="s">
        <v>3328</v>
      </c>
      <c r="J45" s="58" t="s">
        <v>3303</v>
      </c>
      <c r="K45" s="104"/>
      <c r="L45" s="58"/>
      <c r="M45" s="58"/>
      <c r="N45" s="58"/>
      <c r="O45" s="58"/>
      <c r="P45" s="58"/>
      <c r="Q45" s="58"/>
      <c r="R45" s="58"/>
      <c r="S45" s="58"/>
      <c r="T45" s="58"/>
      <c r="U45" s="58"/>
      <c r="V45" s="58"/>
      <c r="W45" s="77" t="s">
        <v>3329</v>
      </c>
      <c r="X45" s="58" t="s">
        <v>3170</v>
      </c>
      <c r="Y45" s="52"/>
      <c r="Z45" s="52"/>
      <c r="AA45" s="52"/>
      <c r="AB45" s="52"/>
      <c r="AC45" s="52"/>
    </row>
    <row r="46" customHeight="1" ht="87.0">
      <c r="A46" s="73">
        <v>34</v>
      </c>
      <c r="B46" s="116"/>
      <c r="C46" s="116"/>
      <c r="D46" s="116"/>
      <c r="E46" s="58" t="s">
        <v>3330</v>
      </c>
      <c r="F46" s="58" t="s">
        <v>210</v>
      </c>
      <c r="G46" s="58" t="s">
        <v>3331</v>
      </c>
      <c r="H46" s="58" t="s">
        <v>775</v>
      </c>
      <c r="I46" s="58" t="s">
        <v>3332</v>
      </c>
      <c r="J46" s="58" t="s">
        <v>3303</v>
      </c>
      <c r="K46" s="104"/>
      <c r="L46" s="58"/>
      <c r="M46" s="58"/>
      <c r="N46" s="58"/>
      <c r="O46" s="58"/>
      <c r="P46" s="58"/>
      <c r="Q46" s="58"/>
      <c r="R46" s="58"/>
      <c r="S46" s="58"/>
      <c r="T46" s="58"/>
      <c r="U46" s="58"/>
      <c r="V46" s="58"/>
      <c r="W46" s="77" t="s">
        <v>3333</v>
      </c>
      <c r="X46" s="58" t="s">
        <v>3170</v>
      </c>
      <c r="Y46" s="52"/>
      <c r="Z46" s="52"/>
      <c r="AA46" s="52"/>
      <c r="AB46" s="52"/>
      <c r="AC46" s="52"/>
    </row>
    <row r="47" customHeight="1" ht="87.0">
      <c r="A47" s="73">
        <v>35</v>
      </c>
      <c r="B47" s="116"/>
      <c r="C47" s="118"/>
      <c r="D47" s="118"/>
      <c r="E47" s="58" t="s">
        <v>3334</v>
      </c>
      <c r="F47" s="58" t="s">
        <v>210</v>
      </c>
      <c r="G47" s="58" t="s">
        <v>3335</v>
      </c>
      <c r="H47" s="58" t="s">
        <v>780</v>
      </c>
      <c r="I47" s="58" t="s">
        <v>3336</v>
      </c>
      <c r="J47" s="58" t="s">
        <v>3303</v>
      </c>
      <c r="K47" s="104"/>
      <c r="L47" s="58"/>
      <c r="M47" s="58"/>
      <c r="N47" s="58"/>
      <c r="O47" s="58"/>
      <c r="P47" s="58"/>
      <c r="Q47" s="58"/>
      <c r="R47" s="58"/>
      <c r="S47" s="58"/>
      <c r="T47" s="58"/>
      <c r="U47" s="58"/>
      <c r="V47" s="58"/>
      <c r="W47" s="77" t="s">
        <v>3337</v>
      </c>
      <c r="X47" s="58" t="s">
        <v>3170</v>
      </c>
      <c r="Y47" s="52"/>
      <c r="Z47" s="52"/>
      <c r="AA47" s="52"/>
      <c r="AB47" s="52"/>
      <c r="AC47" s="52"/>
    </row>
    <row r="48" customHeight="1" ht="73.5">
      <c r="A48" s="73">
        <v>36</v>
      </c>
      <c r="B48" s="116"/>
      <c r="C48" s="117" t="s">
        <v>3338</v>
      </c>
      <c r="D48" s="117" t="s">
        <v>268</v>
      </c>
      <c r="E48" s="58" t="s">
        <v>3339</v>
      </c>
      <c r="F48" s="58" t="s">
        <v>210</v>
      </c>
      <c r="G48" s="58" t="s">
        <v>3340</v>
      </c>
      <c r="H48" s="58" t="s">
        <v>3341</v>
      </c>
      <c r="I48" s="58" t="s">
        <v>3186</v>
      </c>
      <c r="J48" s="58" t="s">
        <v>3342</v>
      </c>
      <c r="K48" s="104"/>
      <c r="L48" s="58"/>
      <c r="M48" s="58"/>
      <c r="N48" s="58"/>
      <c r="O48" s="58"/>
      <c r="P48" s="58"/>
      <c r="Q48" s="58"/>
      <c r="R48" s="58"/>
      <c r="S48" s="58"/>
      <c r="T48" s="58"/>
      <c r="U48" s="58"/>
      <c r="V48" s="58"/>
      <c r="W48" s="77" t="s">
        <v>3343</v>
      </c>
      <c r="X48" s="58" t="s">
        <v>3170</v>
      </c>
      <c r="Y48" s="52"/>
      <c r="Z48" s="52"/>
      <c r="AA48" s="52"/>
      <c r="AB48" s="52"/>
      <c r="AC48" s="52"/>
    </row>
    <row r="49" customHeight="1" ht="87.0">
      <c r="A49" s="73">
        <v>37</v>
      </c>
      <c r="B49" s="116"/>
      <c r="C49" s="116" t="s">
        <v>98</v>
      </c>
      <c r="D49" s="116" t="s">
        <v>268</v>
      </c>
      <c r="E49" s="58" t="s">
        <v>269</v>
      </c>
      <c r="F49" s="58" t="s">
        <v>210</v>
      </c>
      <c r="G49" s="58" t="s">
        <v>3344</v>
      </c>
      <c r="H49" s="58" t="s">
        <v>803</v>
      </c>
      <c r="I49" s="58" t="s">
        <v>3345</v>
      </c>
      <c r="J49" s="58" t="s">
        <v>3346</v>
      </c>
      <c r="K49" s="74" t="s">
        <v>3347</v>
      </c>
      <c r="L49" s="58"/>
      <c r="M49" s="58"/>
      <c r="N49" s="58"/>
      <c r="O49" s="58"/>
      <c r="P49" s="58"/>
      <c r="Q49" s="58"/>
      <c r="R49" s="58"/>
      <c r="S49" s="58"/>
      <c r="T49" s="58"/>
      <c r="U49" s="58"/>
      <c r="V49" s="58"/>
      <c r="W49" s="77" t="s">
        <v>3348</v>
      </c>
      <c r="X49" s="58" t="s">
        <v>3170</v>
      </c>
      <c r="Y49" s="52"/>
      <c r="Z49" s="52"/>
      <c r="AA49" s="52"/>
      <c r="AB49" s="52"/>
      <c r="AC49" s="52"/>
    </row>
    <row r="50" customHeight="1" ht="87.0">
      <c r="A50" s="73">
        <v>38</v>
      </c>
      <c r="B50" s="116"/>
      <c r="C50" s="116"/>
      <c r="D50" s="118"/>
      <c r="E50" s="58" t="s">
        <v>2675</v>
      </c>
      <c r="F50" s="58" t="s">
        <v>210</v>
      </c>
      <c r="G50" s="58" t="s">
        <v>3349</v>
      </c>
      <c r="H50" s="58" t="s">
        <v>809</v>
      </c>
      <c r="I50" s="58" t="s">
        <v>504</v>
      </c>
      <c r="J50" s="58" t="s">
        <v>3350</v>
      </c>
      <c r="K50" s="74" t="s">
        <v>2677</v>
      </c>
      <c r="L50" s="58"/>
      <c r="M50" s="58"/>
      <c r="N50" s="58"/>
      <c r="O50" s="58"/>
      <c r="P50" s="58"/>
      <c r="Q50" s="58"/>
      <c r="R50" s="58"/>
      <c r="S50" s="58"/>
      <c r="T50" s="58"/>
      <c r="U50" s="58"/>
      <c r="V50" s="58"/>
      <c r="W50" s="77" t="s">
        <v>3348</v>
      </c>
      <c r="X50" s="58" t="s">
        <v>3170</v>
      </c>
      <c r="Y50" s="52"/>
      <c r="Z50" s="52"/>
      <c r="AA50" s="52"/>
      <c r="AB50" s="52"/>
      <c r="AC50" s="52"/>
    </row>
    <row r="51" customHeight="1" ht="87.0">
      <c r="A51" s="73">
        <v>39</v>
      </c>
      <c r="B51" s="116"/>
      <c r="C51" s="116"/>
      <c r="D51" s="117" t="s">
        <v>812</v>
      </c>
      <c r="E51" s="58" t="s">
        <v>2679</v>
      </c>
      <c r="F51" s="58" t="s">
        <v>210</v>
      </c>
      <c r="G51" s="58" t="s">
        <v>3351</v>
      </c>
      <c r="H51" s="58" t="s">
        <v>815</v>
      </c>
      <c r="I51" s="58" t="s">
        <v>3345</v>
      </c>
      <c r="J51" s="58" t="s">
        <v>3352</v>
      </c>
      <c r="K51" s="74" t="s">
        <v>3353</v>
      </c>
      <c r="L51" s="58"/>
      <c r="M51" s="58"/>
      <c r="N51" s="58"/>
      <c r="O51" s="58"/>
      <c r="P51" s="58"/>
      <c r="Q51" s="58"/>
      <c r="R51" s="58"/>
      <c r="S51" s="58"/>
      <c r="T51" s="58"/>
      <c r="U51" s="58"/>
      <c r="V51" s="58"/>
      <c r="W51" s="77" t="s">
        <v>3348</v>
      </c>
      <c r="X51" s="58" t="s">
        <v>3170</v>
      </c>
      <c r="Y51" s="52"/>
      <c r="Z51" s="52"/>
      <c r="AA51" s="52"/>
      <c r="AB51" s="52"/>
      <c r="AC51" s="52"/>
    </row>
    <row r="52" customHeight="1" ht="87.0">
      <c r="A52" s="73">
        <v>40</v>
      </c>
      <c r="B52" s="118"/>
      <c r="C52" s="118"/>
      <c r="D52" s="117" t="s">
        <v>820</v>
      </c>
      <c r="E52" s="58" t="s">
        <v>826</v>
      </c>
      <c r="F52" s="58" t="s">
        <v>210</v>
      </c>
      <c r="G52" s="58" t="s">
        <v>3354</v>
      </c>
      <c r="H52" s="58" t="s">
        <v>828</v>
      </c>
      <c r="I52" s="58" t="s">
        <v>3345</v>
      </c>
      <c r="J52" s="58" t="s">
        <v>3355</v>
      </c>
      <c r="K52" s="74" t="s">
        <v>3356</v>
      </c>
      <c r="L52" s="58"/>
      <c r="M52" s="58"/>
      <c r="N52" s="58"/>
      <c r="O52" s="58"/>
      <c r="P52" s="58"/>
      <c r="Q52" s="58"/>
      <c r="R52" s="58"/>
      <c r="S52" s="58"/>
      <c r="T52" s="58"/>
      <c r="U52" s="58"/>
      <c r="V52" s="58"/>
      <c r="W52" s="77" t="s">
        <v>3348</v>
      </c>
      <c r="X52" s="58" t="s">
        <v>3170</v>
      </c>
      <c r="Y52" s="52"/>
      <c r="Z52" s="52"/>
      <c r="AA52" s="52"/>
      <c r="AB52" s="52"/>
      <c r="AC52" s="52"/>
    </row>
    <row r="53" customHeight="1" ht="87.0">
      <c r="A53" s="73">
        <v>41</v>
      </c>
      <c r="B53" s="116" t="s">
        <v>110</v>
      </c>
      <c r="C53" s="117" t="s">
        <v>538</v>
      </c>
      <c r="D53" s="117" t="s">
        <v>1183</v>
      </c>
      <c r="E53" s="58" t="s">
        <v>3357</v>
      </c>
      <c r="F53" s="58" t="s">
        <v>203</v>
      </c>
      <c r="G53" s="58" t="s">
        <v>3358</v>
      </c>
      <c r="H53" s="58" t="s">
        <v>3359</v>
      </c>
      <c r="I53" s="58" t="s">
        <v>3360</v>
      </c>
      <c r="J53" s="58" t="s">
        <v>3210</v>
      </c>
      <c r="K53" s="74" t="s">
        <v>3361</v>
      </c>
      <c r="L53" s="58"/>
      <c r="M53" s="58"/>
      <c r="N53" s="58"/>
      <c r="O53" s="58"/>
      <c r="P53" s="58"/>
      <c r="Q53" s="58"/>
      <c r="R53" s="58"/>
      <c r="S53" s="58"/>
      <c r="T53" s="58"/>
      <c r="U53" s="58"/>
      <c r="V53" s="58"/>
      <c r="W53" s="77" t="s">
        <v>3362</v>
      </c>
      <c r="X53" s="58" t="s">
        <v>3170</v>
      </c>
      <c r="Y53" s="52"/>
      <c r="Z53" s="52"/>
      <c r="AA53" s="52"/>
      <c r="AB53" s="52"/>
      <c r="AC53" s="52"/>
    </row>
    <row r="54" customHeight="1" ht="87.0">
      <c r="A54" s="73">
        <v>42</v>
      </c>
      <c r="B54" s="116"/>
      <c r="C54" s="117" t="s">
        <v>111</v>
      </c>
      <c r="D54" s="117" t="s">
        <v>1183</v>
      </c>
      <c r="E54" s="58" t="s">
        <v>3363</v>
      </c>
      <c r="F54" s="58" t="s">
        <v>203</v>
      </c>
      <c r="G54" s="58" t="s">
        <v>3364</v>
      </c>
      <c r="H54" s="58" t="s">
        <v>3365</v>
      </c>
      <c r="I54" s="58" t="s">
        <v>3366</v>
      </c>
      <c r="J54" s="58" t="s">
        <v>3210</v>
      </c>
      <c r="K54" s="74" t="s">
        <v>3367</v>
      </c>
      <c r="L54" s="58"/>
      <c r="M54" s="58"/>
      <c r="N54" s="58"/>
      <c r="O54" s="58"/>
      <c r="P54" s="58"/>
      <c r="Q54" s="58"/>
      <c r="R54" s="58"/>
      <c r="S54" s="58"/>
      <c r="T54" s="58"/>
      <c r="U54" s="58"/>
      <c r="V54" s="58"/>
      <c r="W54" s="105"/>
      <c r="X54" s="58" t="s">
        <v>3170</v>
      </c>
      <c r="Y54" s="52"/>
      <c r="Z54" s="52"/>
      <c r="AA54" s="52"/>
      <c r="AB54" s="52"/>
      <c r="AC54" s="52"/>
    </row>
    <row r="55" customHeight="1" ht="60.0">
      <c r="A55" s="73">
        <v>43</v>
      </c>
      <c r="B55" s="118"/>
      <c r="C55" s="117" t="s">
        <v>112</v>
      </c>
      <c r="D55" s="117" t="s">
        <v>1183</v>
      </c>
      <c r="E55" s="58" t="s">
        <v>1208</v>
      </c>
      <c r="F55" s="58" t="s">
        <v>203</v>
      </c>
      <c r="G55" s="58" t="s">
        <v>3368</v>
      </c>
      <c r="H55" s="58" t="s">
        <v>3369</v>
      </c>
      <c r="I55" s="58" t="s">
        <v>3370</v>
      </c>
      <c r="J55" s="58" t="s">
        <v>3210</v>
      </c>
      <c r="K55" s="74" t="s">
        <v>3371</v>
      </c>
      <c r="L55" s="58"/>
      <c r="M55" s="58"/>
      <c r="N55" s="58"/>
      <c r="O55" s="58"/>
      <c r="P55" s="58"/>
      <c r="Q55" s="58"/>
      <c r="R55" s="58"/>
      <c r="S55" s="58"/>
      <c r="T55" s="58"/>
      <c r="U55" s="58"/>
      <c r="V55" s="58"/>
      <c r="W55" s="105"/>
      <c r="X55" s="58" t="s">
        <v>3170</v>
      </c>
      <c r="Y55" s="52"/>
      <c r="Z55" s="52"/>
      <c r="AA55" s="52"/>
      <c r="AB55" s="52"/>
      <c r="AC55" s="52"/>
    </row>
    <row r="56" customHeight="1" ht="60.0">
      <c r="A56" s="73">
        <v>44</v>
      </c>
      <c r="B56" s="116" t="s">
        <v>89</v>
      </c>
      <c r="C56" s="116" t="s">
        <v>114</v>
      </c>
      <c r="D56" s="117" t="s">
        <v>1183</v>
      </c>
      <c r="E56" s="58" t="s">
        <v>3372</v>
      </c>
      <c r="F56" s="58" t="s">
        <v>203</v>
      </c>
      <c r="G56" s="58" t="s">
        <v>3373</v>
      </c>
      <c r="H56" s="58" t="s">
        <v>3374</v>
      </c>
      <c r="I56" s="58" t="s">
        <v>3375</v>
      </c>
      <c r="J56" s="58" t="s">
        <v>3210</v>
      </c>
      <c r="K56" s="74" t="s">
        <v>3376</v>
      </c>
      <c r="L56" s="58"/>
      <c r="M56" s="58"/>
      <c r="N56" s="58"/>
      <c r="O56" s="58"/>
      <c r="P56" s="58"/>
      <c r="Q56" s="58"/>
      <c r="R56" s="58"/>
      <c r="S56" s="58"/>
      <c r="T56" s="58"/>
      <c r="U56" s="58"/>
      <c r="V56" s="58"/>
      <c r="W56" s="105"/>
      <c r="X56" s="58" t="s">
        <v>222</v>
      </c>
      <c r="Y56" s="52"/>
      <c r="Z56" s="52"/>
      <c r="AA56" s="52"/>
      <c r="AB56" s="52"/>
      <c r="AC56" s="52"/>
    </row>
    <row r="57" customHeight="1" ht="60.0">
      <c r="A57" s="73">
        <v>45</v>
      </c>
      <c r="B57" s="118"/>
      <c r="C57" s="118"/>
      <c r="D57" s="117" t="s">
        <v>1235</v>
      </c>
      <c r="E57" s="58" t="s">
        <v>3377</v>
      </c>
      <c r="F57" s="58" t="s">
        <v>203</v>
      </c>
      <c r="G57" s="58" t="s">
        <v>3378</v>
      </c>
      <c r="H57" s="58" t="s">
        <v>3379</v>
      </c>
      <c r="I57" s="58" t="s">
        <v>3375</v>
      </c>
      <c r="J57" s="58" t="s">
        <v>3380</v>
      </c>
      <c r="K57" s="74" t="s">
        <v>1240</v>
      </c>
      <c r="L57" s="58"/>
      <c r="M57" s="58"/>
      <c r="N57" s="58"/>
      <c r="O57" s="58"/>
      <c r="P57" s="58"/>
      <c r="Q57" s="58"/>
      <c r="R57" s="58"/>
      <c r="S57" s="58"/>
      <c r="T57" s="58"/>
      <c r="U57" s="58"/>
      <c r="V57" s="58"/>
      <c r="W57" s="77" t="s">
        <v>3381</v>
      </c>
      <c r="X57" s="58" t="s">
        <v>222</v>
      </c>
      <c r="Y57" s="52"/>
      <c r="Z57" s="52"/>
      <c r="AA57" s="52"/>
      <c r="AB57" s="52"/>
      <c r="AC57" s="52"/>
    </row>
  </sheetData>
  <mergeCells count="4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6"/>
    <mergeCell ref="B17:B52"/>
    <mergeCell ref="B53:B55"/>
    <mergeCell ref="B56:B57"/>
    <mergeCell ref="C13:C14"/>
    <mergeCell ref="C17:C19"/>
    <mergeCell ref="C21:C29"/>
    <mergeCell ref="C31:C47"/>
    <mergeCell ref="C49:C52"/>
    <mergeCell ref="C56:C57"/>
    <mergeCell ref="D17:D19"/>
    <mergeCell ref="D22:D29"/>
    <mergeCell ref="D32:D34"/>
    <mergeCell ref="D35:D37"/>
    <mergeCell ref="D38:D39"/>
    <mergeCell ref="D40:D47"/>
    <mergeCell ref="D49:D50"/>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45A205C5-5F91-49E3-9CAE-7AC7CA83A16F}" type="list" allowBlank="1" errorStyle="stop" imeMode="noControl" operator="between" showDropDown="0" showErrorMessage="0" showInputMessage="0">
          <x14:formula1>
            <xm:f>"High,Medium,Low,Critical"</xm:f>
          </x14:formula1>
          <xm:sqref>F13:F178 F118:F148</xm:sqref>
        </x14:dataValidation>
        <x14:dataValidation xr:uid="{66932AF7-1A24-42B9-B5F7-F1324A89E039}" type="list" allowBlank="1" errorStyle="stop" imeMode="noControl" operator="between" showDropDown="0" showErrorMessage="0" showInputMessage="0">
          <x14:formula1>
            <xm:f>"Passed,Failed,Pending,Blocked,NA,Not execute"</xm:f>
          </x14:formula1>
          <xm:sqref>M13:M178 R13:R178</xm:sqref>
        </x14:dataValidation>
        <x14:dataValidation xr:uid="{DFC20FA7-878C-4DF3-9B28-D848A0E1A9E7}"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4092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4093</v>
      </c>
      <c r="D4" s="59"/>
      <c r="E4" s="52"/>
      <c r="F4" s="52"/>
      <c r="G4" s="52"/>
      <c r="H4" s="52"/>
      <c r="I4" s="52"/>
      <c r="J4" s="52"/>
      <c r="K4" s="54" t="s">
        <v>176</v>
      </c>
      <c r="L4" s="60">
        <f>COUNTA($G$13:$G$126)</f>
      </c>
      <c r="M4" s="61">
        <f>COUNTIF($M$13:$M$126,M3)</f>
      </c>
      <c r="N4" s="61">
        <f>COUNTIF($M$13:$M$126,N3)</f>
      </c>
      <c r="O4" s="61">
        <f>COUNTIF($M$13:$M$126,O3)</f>
      </c>
      <c r="P4" s="62">
        <f>COUNTIF($M$13:$M$126,P3)</f>
      </c>
      <c r="Q4" s="61">
        <f>COUNTIF($M$13:$M$126,Q3)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COUNTA($G$13:$G$126)</f>
      </c>
      <c r="M6" s="61">
        <f>COUNTIF($R$13:$R$126,M3)</f>
      </c>
      <c r="N6" s="61">
        <f>COUNTIF($R$13:$R$126,N3)</f>
      </c>
      <c r="O6" s="61">
        <f>COUNTIF($R$13:$R$126,O3)</f>
      </c>
      <c r="P6" s="62">
        <f>COUNTIF($R$13:$R$126,P3)</f>
      </c>
      <c r="Q6" s="61">
        <f>COUNTIF($R$13:$R$126,Q3)</f>
      </c>
      <c r="R6" s="61">
        <f>L6-SUM(M6:Q6)</f>
      </c>
      <c r="S6" s="63"/>
      <c r="T6" s="52"/>
      <c r="U6" s="52"/>
      <c r="V6" s="52"/>
      <c r="W6" s="52"/>
      <c r="X6" s="52"/>
      <c r="Y6" s="52"/>
      <c r="Z6" s="52"/>
      <c r="AA6" s="52"/>
      <c r="AB6" s="52"/>
      <c r="AC6" s="52"/>
    </row>
    <row r="7" ht="36" customHeight="1">
      <c r="A7" s="51"/>
      <c r="B7" s="54" t="s">
        <v>17</v>
      </c>
      <c r="C7" s="55" t="s">
        <v>4094</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73.5">
      <c r="A13" s="73">
        <v>1</v>
      </c>
      <c r="B13" s="116" t="s">
        <v>80</v>
      </c>
      <c r="C13" s="117" t="s">
        <v>3175</v>
      </c>
      <c r="D13" s="117" t="s">
        <v>508</v>
      </c>
      <c r="E13" s="58" t="s">
        <v>209</v>
      </c>
      <c r="F13" s="58" t="s">
        <v>210</v>
      </c>
      <c r="G13" s="58" t="s">
        <v>3395</v>
      </c>
      <c r="H13" s="58" t="s">
        <v>3396</v>
      </c>
      <c r="I13" s="58" t="s">
        <v>3397</v>
      </c>
      <c r="J13" s="58" t="s">
        <v>3398</v>
      </c>
      <c r="K13" s="74" t="s">
        <v>3399</v>
      </c>
      <c r="L13" s="58"/>
      <c r="M13" s="58"/>
      <c r="N13" s="58"/>
      <c r="O13" s="58"/>
      <c r="P13" s="58"/>
      <c r="Q13" s="58"/>
      <c r="R13" s="58"/>
      <c r="S13" s="58"/>
      <c r="T13" s="58"/>
      <c r="U13" s="58"/>
      <c r="V13" s="58"/>
      <c r="W13" s="105"/>
      <c r="X13" s="58" t="s">
        <v>3400</v>
      </c>
      <c r="Y13" s="52"/>
      <c r="Z13" s="52"/>
      <c r="AA13" s="52"/>
      <c r="AB13" s="52"/>
      <c r="AC13" s="52"/>
    </row>
    <row r="14" customHeight="1" ht="73.5">
      <c r="A14" s="73">
        <v>2</v>
      </c>
      <c r="B14" s="116"/>
      <c r="C14" s="116" t="s">
        <v>3401</v>
      </c>
      <c r="D14" s="117" t="s">
        <v>3402</v>
      </c>
      <c r="E14" s="58" t="s">
        <v>3403</v>
      </c>
      <c r="F14" s="58" t="s">
        <v>203</v>
      </c>
      <c r="G14" s="58" t="s">
        <v>3404</v>
      </c>
      <c r="H14" s="58" t="s">
        <v>3405</v>
      </c>
      <c r="I14" s="58" t="s">
        <v>3397</v>
      </c>
      <c r="J14" s="58" t="s">
        <v>3406</v>
      </c>
      <c r="K14" s="74" t="s">
        <v>3407</v>
      </c>
      <c r="L14" s="58"/>
      <c r="M14" s="58"/>
      <c r="N14" s="58"/>
      <c r="O14" s="58"/>
      <c r="P14" s="58"/>
      <c r="Q14" s="58"/>
      <c r="R14" s="58"/>
      <c r="S14" s="58"/>
      <c r="T14" s="58"/>
      <c r="U14" s="58"/>
      <c r="V14" s="58"/>
      <c r="W14" s="105"/>
      <c r="X14" s="58" t="s">
        <v>3408</v>
      </c>
      <c r="Y14" s="52"/>
      <c r="Z14" s="52"/>
      <c r="AA14" s="52"/>
      <c r="AB14" s="52"/>
      <c r="AC14" s="52"/>
    </row>
    <row r="15" customHeight="1" ht="73.5">
      <c r="A15" s="73">
        <v>3</v>
      </c>
      <c r="B15" s="118"/>
      <c r="C15" s="118"/>
      <c r="D15" s="117" t="s">
        <v>3409</v>
      </c>
      <c r="E15" s="58" t="s">
        <v>3410</v>
      </c>
      <c r="F15" s="58" t="s">
        <v>210</v>
      </c>
      <c r="G15" s="58" t="s">
        <v>3411</v>
      </c>
      <c r="H15" s="58" t="s">
        <v>3412</v>
      </c>
      <c r="I15" s="58" t="s">
        <v>3397</v>
      </c>
      <c r="J15" s="58" t="s">
        <v>3413</v>
      </c>
      <c r="K15" s="74" t="s">
        <v>3414</v>
      </c>
      <c r="L15" s="58"/>
      <c r="M15" s="58"/>
      <c r="N15" s="58"/>
      <c r="O15" s="58"/>
      <c r="P15" s="58"/>
      <c r="Q15" s="58"/>
      <c r="R15" s="58"/>
      <c r="S15" s="58"/>
      <c r="T15" s="58"/>
      <c r="U15" s="58"/>
      <c r="V15" s="58"/>
      <c r="W15" s="105"/>
      <c r="X15" s="58" t="s">
        <v>3408</v>
      </c>
      <c r="Y15" s="52"/>
      <c r="Z15" s="52"/>
      <c r="AA15" s="52"/>
      <c r="AB15" s="52"/>
      <c r="AC15" s="52"/>
    </row>
    <row r="16" customHeight="1" ht="73.5">
      <c r="A16" s="73">
        <v>4</v>
      </c>
      <c r="B16" s="116" t="s">
        <v>3415</v>
      </c>
      <c r="C16" s="116" t="s">
        <v>3416</v>
      </c>
      <c r="D16" s="117" t="s">
        <v>268</v>
      </c>
      <c r="E16" s="58" t="s">
        <v>3417</v>
      </c>
      <c r="F16" s="58" t="s">
        <v>203</v>
      </c>
      <c r="G16" s="58" t="s">
        <v>3418</v>
      </c>
      <c r="H16" s="58" t="s">
        <v>3419</v>
      </c>
      <c r="I16" s="58" t="s">
        <v>3397</v>
      </c>
      <c r="J16" s="58" t="s">
        <v>3420</v>
      </c>
      <c r="K16" s="74" t="s">
        <v>3421</v>
      </c>
      <c r="L16" s="58"/>
      <c r="M16" s="58"/>
      <c r="N16" s="58"/>
      <c r="O16" s="58"/>
      <c r="P16" s="58"/>
      <c r="Q16" s="58"/>
      <c r="R16" s="58"/>
      <c r="S16" s="58"/>
      <c r="T16" s="58"/>
      <c r="U16" s="58"/>
      <c r="V16" s="58"/>
      <c r="W16" s="105"/>
      <c r="X16" s="58" t="s">
        <v>3400</v>
      </c>
      <c r="Y16" s="52"/>
      <c r="Z16" s="52"/>
      <c r="AA16" s="52"/>
      <c r="AB16" s="52"/>
      <c r="AC16" s="52"/>
    </row>
    <row r="17" customHeight="1" ht="100.5">
      <c r="A17" s="73">
        <v>5</v>
      </c>
      <c r="B17" s="116"/>
      <c r="C17" s="118"/>
      <c r="D17" s="117" t="s">
        <v>3422</v>
      </c>
      <c r="E17" s="58" t="s">
        <v>3423</v>
      </c>
      <c r="F17" s="58" t="s">
        <v>203</v>
      </c>
      <c r="G17" s="58" t="s">
        <v>3424</v>
      </c>
      <c r="H17" s="58" t="s">
        <v>3425</v>
      </c>
      <c r="I17" s="58" t="s">
        <v>3426</v>
      </c>
      <c r="J17" s="58" t="s">
        <v>3427</v>
      </c>
      <c r="K17" s="74" t="s">
        <v>3428</v>
      </c>
      <c r="L17" s="58"/>
      <c r="M17" s="58"/>
      <c r="N17" s="58"/>
      <c r="O17" s="58"/>
      <c r="P17" s="58"/>
      <c r="Q17" s="58"/>
      <c r="R17" s="58"/>
      <c r="S17" s="58"/>
      <c r="T17" s="58"/>
      <c r="U17" s="58"/>
      <c r="V17" s="58"/>
      <c r="W17" s="77" t="s">
        <v>3429</v>
      </c>
      <c r="X17" s="58" t="s">
        <v>3400</v>
      </c>
      <c r="Y17" s="52"/>
      <c r="Z17" s="52"/>
      <c r="AA17" s="52"/>
      <c r="AB17" s="52"/>
      <c r="AC17" s="52"/>
    </row>
    <row r="18" customHeight="1" ht="100.5">
      <c r="A18" s="73">
        <v>6</v>
      </c>
      <c r="B18" s="116"/>
      <c r="C18" s="116" t="s">
        <v>3430</v>
      </c>
      <c r="D18" s="117" t="s">
        <v>268</v>
      </c>
      <c r="E18" s="58" t="s">
        <v>3431</v>
      </c>
      <c r="F18" s="58" t="s">
        <v>203</v>
      </c>
      <c r="G18" s="58" t="s">
        <v>3432</v>
      </c>
      <c r="H18" s="58" t="s">
        <v>3433</v>
      </c>
      <c r="I18" s="58" t="s">
        <v>3426</v>
      </c>
      <c r="J18" s="58" t="s">
        <v>3434</v>
      </c>
      <c r="K18" s="74" t="s">
        <v>3435</v>
      </c>
      <c r="L18" s="58"/>
      <c r="M18" s="58"/>
      <c r="N18" s="58"/>
      <c r="O18" s="58"/>
      <c r="P18" s="58"/>
      <c r="Q18" s="58"/>
      <c r="R18" s="58"/>
      <c r="S18" s="58"/>
      <c r="T18" s="58"/>
      <c r="U18" s="58"/>
      <c r="V18" s="58"/>
      <c r="W18" s="105"/>
      <c r="X18" s="58" t="s">
        <v>3400</v>
      </c>
      <c r="Y18" s="52"/>
      <c r="Z18" s="52"/>
      <c r="AA18" s="52"/>
      <c r="AB18" s="52"/>
      <c r="AC18" s="52"/>
    </row>
    <row r="19" customHeight="1" ht="87.0">
      <c r="A19" s="73">
        <v>7</v>
      </c>
      <c r="B19" s="118"/>
      <c r="C19" s="118"/>
      <c r="D19" s="117" t="s">
        <v>3436</v>
      </c>
      <c r="E19" s="58" t="s">
        <v>3437</v>
      </c>
      <c r="F19" s="58" t="s">
        <v>203</v>
      </c>
      <c r="G19" s="58" t="s">
        <v>3438</v>
      </c>
      <c r="H19" s="58" t="s">
        <v>3439</v>
      </c>
      <c r="I19" s="58" t="s">
        <v>3440</v>
      </c>
      <c r="J19" s="58" t="s">
        <v>3441</v>
      </c>
      <c r="K19" s="74" t="s">
        <v>3442</v>
      </c>
      <c r="L19" s="58"/>
      <c r="M19" s="58"/>
      <c r="N19" s="58"/>
      <c r="O19" s="58"/>
      <c r="P19" s="58"/>
      <c r="Q19" s="58"/>
      <c r="R19" s="58"/>
      <c r="S19" s="58"/>
      <c r="T19" s="58"/>
      <c r="U19" s="58"/>
      <c r="V19" s="58"/>
      <c r="W19" s="105"/>
      <c r="X19" s="58" t="s">
        <v>3443</v>
      </c>
      <c r="Y19" s="52"/>
      <c r="Z19" s="52"/>
      <c r="AA19" s="52"/>
      <c r="AB19" s="52"/>
      <c r="AC19" s="52"/>
    </row>
    <row r="20" customHeight="1" ht="73.5">
      <c r="A20" s="73">
        <v>8</v>
      </c>
      <c r="B20" s="116" t="s">
        <v>3444</v>
      </c>
      <c r="C20" s="116" t="s">
        <v>3445</v>
      </c>
      <c r="D20" s="117" t="s">
        <v>268</v>
      </c>
      <c r="E20" s="58" t="s">
        <v>3446</v>
      </c>
      <c r="F20" s="58" t="s">
        <v>210</v>
      </c>
      <c r="G20" s="58" t="s">
        <v>3447</v>
      </c>
      <c r="H20" s="58" t="s">
        <v>3448</v>
      </c>
      <c r="I20" s="58" t="s">
        <v>3397</v>
      </c>
      <c r="J20" s="58" t="s">
        <v>3449</v>
      </c>
      <c r="K20" s="74" t="s">
        <v>3450</v>
      </c>
      <c r="L20" s="58"/>
      <c r="M20" s="58"/>
      <c r="N20" s="58"/>
      <c r="O20" s="58"/>
      <c r="P20" s="58"/>
      <c r="Q20" s="58"/>
      <c r="R20" s="58"/>
      <c r="S20" s="58"/>
      <c r="T20" s="58"/>
      <c r="U20" s="58"/>
      <c r="V20" s="58"/>
      <c r="W20" s="105"/>
      <c r="X20" s="58" t="s">
        <v>3400</v>
      </c>
      <c r="Y20" s="52"/>
      <c r="Z20" s="52"/>
      <c r="AA20" s="52"/>
      <c r="AB20" s="52"/>
      <c r="AC20" s="52"/>
    </row>
    <row r="21" customHeight="1" ht="87.0">
      <c r="A21" s="73">
        <v>9</v>
      </c>
      <c r="B21" s="116"/>
      <c r="C21" s="116"/>
      <c r="D21" s="117" t="s">
        <v>269</v>
      </c>
      <c r="E21" s="58" t="s">
        <v>3451</v>
      </c>
      <c r="F21" s="58" t="s">
        <v>203</v>
      </c>
      <c r="G21" s="58" t="s">
        <v>3452</v>
      </c>
      <c r="H21" s="58" t="s">
        <v>3453</v>
      </c>
      <c r="I21" s="58" t="s">
        <v>3397</v>
      </c>
      <c r="J21" s="58" t="s">
        <v>3441</v>
      </c>
      <c r="K21" s="74" t="s">
        <v>3454</v>
      </c>
      <c r="L21" s="58"/>
      <c r="M21" s="58"/>
      <c r="N21" s="58"/>
      <c r="O21" s="58"/>
      <c r="P21" s="58"/>
      <c r="Q21" s="58"/>
      <c r="R21" s="58"/>
      <c r="S21" s="58"/>
      <c r="T21" s="58"/>
      <c r="U21" s="58"/>
      <c r="V21" s="58"/>
      <c r="W21" s="105"/>
      <c r="X21" s="58" t="s">
        <v>3400</v>
      </c>
      <c r="Y21" s="52"/>
      <c r="Z21" s="52"/>
      <c r="AA21" s="52"/>
      <c r="AB21" s="52"/>
      <c r="AC21" s="52"/>
    </row>
    <row r="22" customHeight="1" ht="73.5">
      <c r="A22" s="73">
        <v>10</v>
      </c>
      <c r="B22" s="116"/>
      <c r="C22" s="116"/>
      <c r="D22" s="117" t="s">
        <v>3455</v>
      </c>
      <c r="E22" s="58" t="s">
        <v>3456</v>
      </c>
      <c r="F22" s="58" t="s">
        <v>203</v>
      </c>
      <c r="G22" s="58" t="s">
        <v>3457</v>
      </c>
      <c r="H22" s="58" t="s">
        <v>3458</v>
      </c>
      <c r="I22" s="58" t="s">
        <v>3397</v>
      </c>
      <c r="J22" s="58" t="s">
        <v>3459</v>
      </c>
      <c r="K22" s="74" t="s">
        <v>3460</v>
      </c>
      <c r="L22" s="58"/>
      <c r="M22" s="58"/>
      <c r="N22" s="58"/>
      <c r="O22" s="58"/>
      <c r="P22" s="58"/>
      <c r="Q22" s="58"/>
      <c r="R22" s="58"/>
      <c r="S22" s="58"/>
      <c r="T22" s="58"/>
      <c r="U22" s="58"/>
      <c r="V22" s="58"/>
      <c r="W22" s="105"/>
      <c r="X22" s="58" t="s">
        <v>3400</v>
      </c>
      <c r="Y22" s="52"/>
      <c r="Z22" s="52"/>
      <c r="AA22" s="52"/>
      <c r="AB22" s="52"/>
      <c r="AC22" s="52"/>
    </row>
    <row r="23" customHeight="1" ht="100.5">
      <c r="A23" s="73">
        <v>11</v>
      </c>
      <c r="B23" s="116"/>
      <c r="C23" s="116"/>
      <c r="D23" s="116" t="s">
        <v>3461</v>
      </c>
      <c r="E23" s="58" t="s">
        <v>3462</v>
      </c>
      <c r="F23" s="58" t="s">
        <v>203</v>
      </c>
      <c r="G23" s="58" t="s">
        <v>3463</v>
      </c>
      <c r="H23" s="58" t="s">
        <v>3464</v>
      </c>
      <c r="I23" s="58" t="s">
        <v>3465</v>
      </c>
      <c r="J23" s="58" t="s">
        <v>3466</v>
      </c>
      <c r="K23" s="74" t="s">
        <v>3467</v>
      </c>
      <c r="L23" s="58"/>
      <c r="M23" s="58"/>
      <c r="N23" s="58"/>
      <c r="O23" s="58"/>
      <c r="P23" s="58"/>
      <c r="Q23" s="58"/>
      <c r="R23" s="58"/>
      <c r="S23" s="58"/>
      <c r="T23" s="58"/>
      <c r="U23" s="58"/>
      <c r="V23" s="58"/>
      <c r="W23" s="105"/>
      <c r="X23" s="58" t="s">
        <v>3443</v>
      </c>
      <c r="Y23" s="52"/>
      <c r="Z23" s="52"/>
      <c r="AA23" s="52"/>
      <c r="AB23" s="52"/>
      <c r="AC23" s="52"/>
    </row>
    <row r="24" customHeight="1" ht="100.5">
      <c r="A24" s="73">
        <v>12</v>
      </c>
      <c r="B24" s="116"/>
      <c r="C24" s="116"/>
      <c r="D24" s="116"/>
      <c r="E24" s="58" t="s">
        <v>3468</v>
      </c>
      <c r="F24" s="58" t="s">
        <v>210</v>
      </c>
      <c r="G24" s="58" t="s">
        <v>3469</v>
      </c>
      <c r="H24" s="58" t="s">
        <v>3470</v>
      </c>
      <c r="I24" s="58" t="s">
        <v>3471</v>
      </c>
      <c r="J24" s="58" t="s">
        <v>3466</v>
      </c>
      <c r="K24" s="74" t="s">
        <v>3472</v>
      </c>
      <c r="L24" s="58"/>
      <c r="M24" s="58"/>
      <c r="N24" s="58"/>
      <c r="O24" s="58"/>
      <c r="P24" s="58"/>
      <c r="Q24" s="58"/>
      <c r="R24" s="58"/>
      <c r="S24" s="58"/>
      <c r="T24" s="58"/>
      <c r="U24" s="58"/>
      <c r="V24" s="58"/>
      <c r="W24" s="105"/>
      <c r="X24" s="58" t="s">
        <v>3443</v>
      </c>
      <c r="Y24" s="52"/>
      <c r="Z24" s="52"/>
      <c r="AA24" s="52"/>
      <c r="AB24" s="52"/>
      <c r="AC24" s="52"/>
    </row>
    <row r="25" customHeight="1" ht="114.0">
      <c r="A25" s="73">
        <v>13</v>
      </c>
      <c r="B25" s="116"/>
      <c r="C25" s="118"/>
      <c r="D25" s="118"/>
      <c r="E25" s="58" t="s">
        <v>3473</v>
      </c>
      <c r="F25" s="58" t="s">
        <v>210</v>
      </c>
      <c r="G25" s="58" t="s">
        <v>3474</v>
      </c>
      <c r="H25" s="58" t="s">
        <v>3475</v>
      </c>
      <c r="I25" s="58" t="s">
        <v>3476</v>
      </c>
      <c r="J25" s="58" t="s">
        <v>3466</v>
      </c>
      <c r="K25" s="104"/>
      <c r="L25" s="58"/>
      <c r="M25" s="58"/>
      <c r="N25" s="58"/>
      <c r="O25" s="58"/>
      <c r="P25" s="58"/>
      <c r="Q25" s="58"/>
      <c r="R25" s="58"/>
      <c r="S25" s="58"/>
      <c r="T25" s="58"/>
      <c r="U25" s="58"/>
      <c r="V25" s="58"/>
      <c r="W25" s="77" t="s">
        <v>3477</v>
      </c>
      <c r="X25" s="58" t="s">
        <v>3443</v>
      </c>
      <c r="Y25" s="52"/>
      <c r="Z25" s="52"/>
      <c r="AA25" s="52"/>
      <c r="AB25" s="52"/>
      <c r="AC25" s="52"/>
    </row>
    <row r="26" customHeight="1" ht="87.0">
      <c r="A26" s="73">
        <v>14</v>
      </c>
      <c r="B26" s="116"/>
      <c r="C26" s="116" t="s">
        <v>3478</v>
      </c>
      <c r="D26" s="117" t="s">
        <v>3479</v>
      </c>
      <c r="E26" s="58" t="s">
        <v>3437</v>
      </c>
      <c r="F26" s="58" t="s">
        <v>203</v>
      </c>
      <c r="G26" s="58" t="s">
        <v>3480</v>
      </c>
      <c r="H26" s="58" t="s">
        <v>3481</v>
      </c>
      <c r="I26" s="58" t="s">
        <v>3440</v>
      </c>
      <c r="J26" s="58" t="s">
        <v>3482</v>
      </c>
      <c r="K26" s="74" t="s">
        <v>3483</v>
      </c>
      <c r="L26" s="58"/>
      <c r="M26" s="58"/>
      <c r="N26" s="58"/>
      <c r="O26" s="58"/>
      <c r="P26" s="58"/>
      <c r="Q26" s="58"/>
      <c r="R26" s="58"/>
      <c r="S26" s="58"/>
      <c r="T26" s="58"/>
      <c r="U26" s="58"/>
      <c r="V26" s="58"/>
      <c r="W26" s="105"/>
      <c r="X26" s="58" t="s">
        <v>3443</v>
      </c>
      <c r="Y26" s="52"/>
      <c r="Z26" s="52"/>
      <c r="AA26" s="52"/>
      <c r="AB26" s="52"/>
      <c r="AC26" s="52"/>
    </row>
    <row r="27" customHeight="1" ht="100.5">
      <c r="A27" s="73">
        <v>15</v>
      </c>
      <c r="B27" s="116"/>
      <c r="C27" s="116"/>
      <c r="D27" s="117" t="s">
        <v>3484</v>
      </c>
      <c r="E27" s="58" t="s">
        <v>3485</v>
      </c>
      <c r="F27" s="58" t="s">
        <v>203</v>
      </c>
      <c r="G27" s="58" t="s">
        <v>3486</v>
      </c>
      <c r="H27" s="58" t="s">
        <v>3487</v>
      </c>
      <c r="I27" s="58" t="s">
        <v>3488</v>
      </c>
      <c r="J27" s="58" t="s">
        <v>3482</v>
      </c>
      <c r="K27" s="74" t="s">
        <v>3489</v>
      </c>
      <c r="L27" s="58"/>
      <c r="M27" s="58"/>
      <c r="N27" s="58"/>
      <c r="O27" s="58"/>
      <c r="P27" s="58"/>
      <c r="Q27" s="58"/>
      <c r="R27" s="58"/>
      <c r="S27" s="58"/>
      <c r="T27" s="58"/>
      <c r="U27" s="58"/>
      <c r="V27" s="58"/>
      <c r="W27" s="105"/>
      <c r="X27" s="58" t="s">
        <v>3443</v>
      </c>
      <c r="Y27" s="52"/>
      <c r="Z27" s="52"/>
      <c r="AA27" s="52"/>
      <c r="AB27" s="52"/>
      <c r="AC27" s="52"/>
    </row>
    <row r="28" customHeight="1" ht="114.0">
      <c r="A28" s="73">
        <v>16</v>
      </c>
      <c r="B28" s="116"/>
      <c r="C28" s="116"/>
      <c r="D28" s="117" t="s">
        <v>3490</v>
      </c>
      <c r="E28" s="58" t="s">
        <v>3491</v>
      </c>
      <c r="F28" s="58" t="s">
        <v>210</v>
      </c>
      <c r="G28" s="58" t="s">
        <v>3492</v>
      </c>
      <c r="H28" s="58" t="s">
        <v>3493</v>
      </c>
      <c r="I28" s="58" t="s">
        <v>3494</v>
      </c>
      <c r="J28" s="58" t="s">
        <v>3495</v>
      </c>
      <c r="K28" s="104"/>
      <c r="L28" s="58"/>
      <c r="M28" s="58"/>
      <c r="N28" s="58"/>
      <c r="O28" s="58"/>
      <c r="P28" s="58"/>
      <c r="Q28" s="58"/>
      <c r="R28" s="58"/>
      <c r="S28" s="58"/>
      <c r="T28" s="58"/>
      <c r="U28" s="58"/>
      <c r="V28" s="58"/>
      <c r="W28" s="77" t="s">
        <v>3477</v>
      </c>
      <c r="X28" s="58" t="s">
        <v>3443</v>
      </c>
      <c r="Y28" s="52"/>
      <c r="Z28" s="52"/>
      <c r="AA28" s="52"/>
      <c r="AB28" s="52"/>
      <c r="AC28" s="52"/>
    </row>
    <row r="29" customHeight="1" ht="100.5">
      <c r="A29" s="73">
        <v>17</v>
      </c>
      <c r="B29" s="116"/>
      <c r="C29" s="116"/>
      <c r="D29" s="117" t="s">
        <v>3496</v>
      </c>
      <c r="E29" s="58" t="s">
        <v>3497</v>
      </c>
      <c r="F29" s="58" t="s">
        <v>210</v>
      </c>
      <c r="G29" s="58" t="s">
        <v>3498</v>
      </c>
      <c r="H29" s="58" t="s">
        <v>3499</v>
      </c>
      <c r="I29" s="58" t="s">
        <v>3397</v>
      </c>
      <c r="J29" s="58" t="s">
        <v>3500</v>
      </c>
      <c r="K29" s="104"/>
      <c r="L29" s="58"/>
      <c r="M29" s="58"/>
      <c r="N29" s="58"/>
      <c r="O29" s="58"/>
      <c r="P29" s="58"/>
      <c r="Q29" s="58"/>
      <c r="R29" s="58"/>
      <c r="S29" s="58"/>
      <c r="T29" s="58"/>
      <c r="U29" s="58"/>
      <c r="V29" s="58"/>
      <c r="W29" s="77" t="s">
        <v>3501</v>
      </c>
      <c r="X29" s="58" t="s">
        <v>3502</v>
      </c>
      <c r="Y29" s="52"/>
      <c r="Z29" s="52"/>
      <c r="AA29" s="52"/>
      <c r="AB29" s="52"/>
      <c r="AC29" s="52"/>
    </row>
    <row r="30" customHeight="1" ht="100.5">
      <c r="A30" s="73">
        <v>18</v>
      </c>
      <c r="B30" s="116"/>
      <c r="C30" s="118"/>
      <c r="D30" s="117" t="s">
        <v>3503</v>
      </c>
      <c r="E30" s="58" t="s">
        <v>3504</v>
      </c>
      <c r="F30" s="58" t="s">
        <v>210</v>
      </c>
      <c r="G30" s="58" t="s">
        <v>3505</v>
      </c>
      <c r="H30" s="58" t="s">
        <v>3506</v>
      </c>
      <c r="I30" s="58" t="s">
        <v>3507</v>
      </c>
      <c r="J30" s="58" t="s">
        <v>3508</v>
      </c>
      <c r="K30" s="104"/>
      <c r="L30" s="58"/>
      <c r="M30" s="58"/>
      <c r="N30" s="58"/>
      <c r="O30" s="58"/>
      <c r="P30" s="58"/>
      <c r="Q30" s="58"/>
      <c r="R30" s="58"/>
      <c r="S30" s="58"/>
      <c r="T30" s="58"/>
      <c r="U30" s="58"/>
      <c r="V30" s="58"/>
      <c r="W30" s="77" t="s">
        <v>3509</v>
      </c>
      <c r="X30" s="58" t="s">
        <v>3400</v>
      </c>
      <c r="Y30" s="52"/>
      <c r="Z30" s="52"/>
      <c r="AA30" s="52"/>
      <c r="AB30" s="52"/>
      <c r="AC30" s="52"/>
    </row>
    <row r="31" customHeight="1" ht="73.5">
      <c r="A31" s="73">
        <v>19</v>
      </c>
      <c r="B31" s="116"/>
      <c r="C31" s="116" t="s">
        <v>3510</v>
      </c>
      <c r="D31" s="117" t="s">
        <v>268</v>
      </c>
      <c r="E31" s="58" t="s">
        <v>3511</v>
      </c>
      <c r="F31" s="58" t="s">
        <v>225</v>
      </c>
      <c r="G31" s="58" t="s">
        <v>3512</v>
      </c>
      <c r="H31" s="58" t="s">
        <v>3513</v>
      </c>
      <c r="I31" s="58" t="s">
        <v>3397</v>
      </c>
      <c r="J31" s="58" t="s">
        <v>3514</v>
      </c>
      <c r="K31" s="74" t="s">
        <v>3515</v>
      </c>
      <c r="L31" s="58"/>
      <c r="M31" s="58"/>
      <c r="N31" s="58"/>
      <c r="O31" s="58"/>
      <c r="P31" s="58"/>
      <c r="Q31" s="58"/>
      <c r="R31" s="58"/>
      <c r="S31" s="58"/>
      <c r="T31" s="58"/>
      <c r="U31" s="58"/>
      <c r="V31" s="58"/>
      <c r="W31" s="105"/>
      <c r="X31" s="58" t="s">
        <v>3400</v>
      </c>
      <c r="Y31" s="52"/>
      <c r="Z31" s="52"/>
      <c r="AA31" s="52"/>
      <c r="AB31" s="52"/>
      <c r="AC31" s="52"/>
    </row>
    <row r="32" customHeight="1" ht="73.5">
      <c r="A32" s="73">
        <v>20</v>
      </c>
      <c r="B32" s="116"/>
      <c r="C32" s="116"/>
      <c r="D32" s="117" t="s">
        <v>2556</v>
      </c>
      <c r="E32" s="58" t="s">
        <v>3516</v>
      </c>
      <c r="F32" s="58" t="s">
        <v>203</v>
      </c>
      <c r="G32" s="58" t="s">
        <v>3517</v>
      </c>
      <c r="H32" s="58" t="s">
        <v>3518</v>
      </c>
      <c r="I32" s="58" t="s">
        <v>3397</v>
      </c>
      <c r="J32" s="58" t="s">
        <v>3519</v>
      </c>
      <c r="K32" s="74" t="s">
        <v>3520</v>
      </c>
      <c r="L32" s="58"/>
      <c r="M32" s="58"/>
      <c r="N32" s="58"/>
      <c r="O32" s="58"/>
      <c r="P32" s="58"/>
      <c r="Q32" s="58"/>
      <c r="R32" s="58"/>
      <c r="S32" s="58"/>
      <c r="T32" s="58"/>
      <c r="U32" s="58"/>
      <c r="V32" s="58"/>
      <c r="W32" s="105"/>
      <c r="X32" s="58" t="s">
        <v>3400</v>
      </c>
      <c r="Y32" s="52"/>
      <c r="Z32" s="52"/>
      <c r="AA32" s="52"/>
      <c r="AB32" s="52"/>
      <c r="AC32" s="52"/>
    </row>
    <row r="33" customHeight="1" ht="73.5">
      <c r="A33" s="73">
        <v>21</v>
      </c>
      <c r="B33" s="116"/>
      <c r="C33" s="116"/>
      <c r="D33" s="117" t="s">
        <v>3521</v>
      </c>
      <c r="E33" s="58" t="s">
        <v>3522</v>
      </c>
      <c r="F33" s="58" t="s">
        <v>203</v>
      </c>
      <c r="G33" s="58" t="s">
        <v>3523</v>
      </c>
      <c r="H33" s="58" t="s">
        <v>3524</v>
      </c>
      <c r="I33" s="58" t="s">
        <v>3397</v>
      </c>
      <c r="J33" s="58" t="s">
        <v>3525</v>
      </c>
      <c r="K33" s="74" t="s">
        <v>3526</v>
      </c>
      <c r="L33" s="58"/>
      <c r="M33" s="58"/>
      <c r="N33" s="58"/>
      <c r="O33" s="58"/>
      <c r="P33" s="58"/>
      <c r="Q33" s="58"/>
      <c r="R33" s="58"/>
      <c r="S33" s="58"/>
      <c r="T33" s="58"/>
      <c r="U33" s="58"/>
      <c r="V33" s="58"/>
      <c r="W33" s="105"/>
      <c r="X33" s="58" t="s">
        <v>3400</v>
      </c>
      <c r="Y33" s="52"/>
      <c r="Z33" s="52"/>
      <c r="AA33" s="52"/>
      <c r="AB33" s="52"/>
      <c r="AC33" s="52"/>
    </row>
    <row r="34" customHeight="1" ht="73.5">
      <c r="A34" s="73">
        <v>22</v>
      </c>
      <c r="B34" s="116"/>
      <c r="C34" s="116"/>
      <c r="D34" s="117" t="s">
        <v>671</v>
      </c>
      <c r="E34" s="58" t="s">
        <v>3527</v>
      </c>
      <c r="F34" s="58" t="s">
        <v>210</v>
      </c>
      <c r="G34" s="58" t="s">
        <v>3528</v>
      </c>
      <c r="H34" s="58" t="s">
        <v>673</v>
      </c>
      <c r="I34" s="58" t="s">
        <v>3397</v>
      </c>
      <c r="J34" s="58" t="s">
        <v>3529</v>
      </c>
      <c r="K34" s="74" t="s">
        <v>3530</v>
      </c>
      <c r="L34" s="58"/>
      <c r="M34" s="58"/>
      <c r="N34" s="58"/>
      <c r="O34" s="58"/>
      <c r="P34" s="58"/>
      <c r="Q34" s="58"/>
      <c r="R34" s="58"/>
      <c r="S34" s="58"/>
      <c r="T34" s="58"/>
      <c r="U34" s="58"/>
      <c r="V34" s="58"/>
      <c r="W34" s="77" t="s">
        <v>3531</v>
      </c>
      <c r="X34" s="58" t="s">
        <v>3400</v>
      </c>
      <c r="Y34" s="52"/>
      <c r="Z34" s="52"/>
      <c r="AA34" s="52"/>
      <c r="AB34" s="52"/>
      <c r="AC34" s="52"/>
    </row>
    <row r="35" customHeight="1" ht="73.5">
      <c r="A35" s="73">
        <v>23</v>
      </c>
      <c r="B35" s="116"/>
      <c r="C35" s="116"/>
      <c r="D35" s="117" t="s">
        <v>677</v>
      </c>
      <c r="E35" s="58" t="s">
        <v>3532</v>
      </c>
      <c r="F35" s="58" t="s">
        <v>203</v>
      </c>
      <c r="G35" s="58" t="s">
        <v>3533</v>
      </c>
      <c r="H35" s="58" t="s">
        <v>679</v>
      </c>
      <c r="I35" s="58" t="s">
        <v>3397</v>
      </c>
      <c r="J35" s="58" t="s">
        <v>3534</v>
      </c>
      <c r="K35" s="74" t="s">
        <v>3535</v>
      </c>
      <c r="L35" s="58"/>
      <c r="M35" s="58"/>
      <c r="N35" s="58"/>
      <c r="O35" s="58"/>
      <c r="P35" s="58"/>
      <c r="Q35" s="58"/>
      <c r="R35" s="58"/>
      <c r="S35" s="58"/>
      <c r="T35" s="58"/>
      <c r="U35" s="58"/>
      <c r="V35" s="58"/>
      <c r="W35" s="77" t="s">
        <v>3536</v>
      </c>
      <c r="X35" s="58" t="s">
        <v>3400</v>
      </c>
      <c r="Y35" s="52"/>
      <c r="Z35" s="52"/>
      <c r="AA35" s="52"/>
      <c r="AB35" s="52"/>
      <c r="AC35" s="52"/>
    </row>
    <row r="36" customHeight="1" ht="73.5">
      <c r="A36" s="73">
        <v>24</v>
      </c>
      <c r="B36" s="116"/>
      <c r="C36" s="116"/>
      <c r="D36" s="117" t="s">
        <v>683</v>
      </c>
      <c r="E36" s="58" t="s">
        <v>3537</v>
      </c>
      <c r="F36" s="58" t="s">
        <v>210</v>
      </c>
      <c r="G36" s="58" t="s">
        <v>3538</v>
      </c>
      <c r="H36" s="58" t="s">
        <v>685</v>
      </c>
      <c r="I36" s="58" t="s">
        <v>3397</v>
      </c>
      <c r="J36" s="58" t="s">
        <v>3539</v>
      </c>
      <c r="K36" s="74" t="s">
        <v>687</v>
      </c>
      <c r="L36" s="58"/>
      <c r="M36" s="58"/>
      <c r="N36" s="58"/>
      <c r="O36" s="58"/>
      <c r="P36" s="58"/>
      <c r="Q36" s="58"/>
      <c r="R36" s="58"/>
      <c r="S36" s="58"/>
      <c r="T36" s="58"/>
      <c r="U36" s="58"/>
      <c r="V36" s="58"/>
      <c r="W36" s="105"/>
      <c r="X36" s="58" t="s">
        <v>3400</v>
      </c>
      <c r="Y36" s="52"/>
      <c r="Z36" s="52"/>
      <c r="AA36" s="52"/>
      <c r="AB36" s="52"/>
      <c r="AC36" s="52"/>
    </row>
    <row r="37" customHeight="1" ht="73.5">
      <c r="A37" s="73">
        <v>25</v>
      </c>
      <c r="B37" s="116"/>
      <c r="C37" s="118"/>
      <c r="D37" s="117" t="s">
        <v>688</v>
      </c>
      <c r="E37" s="58" t="s">
        <v>3540</v>
      </c>
      <c r="F37" s="58" t="s">
        <v>210</v>
      </c>
      <c r="G37" s="58" t="s">
        <v>3541</v>
      </c>
      <c r="H37" s="58" t="s">
        <v>690</v>
      </c>
      <c r="I37" s="58" t="s">
        <v>3397</v>
      </c>
      <c r="J37" s="58" t="s">
        <v>3542</v>
      </c>
      <c r="K37" s="74" t="s">
        <v>3543</v>
      </c>
      <c r="L37" s="58"/>
      <c r="M37" s="58"/>
      <c r="N37" s="58"/>
      <c r="O37" s="58"/>
      <c r="P37" s="58"/>
      <c r="Q37" s="58"/>
      <c r="R37" s="58"/>
      <c r="S37" s="58"/>
      <c r="T37" s="58"/>
      <c r="U37" s="58"/>
      <c r="V37" s="58"/>
      <c r="W37" s="105"/>
      <c r="X37" s="58" t="s">
        <v>3400</v>
      </c>
      <c r="Y37" s="52"/>
      <c r="Z37" s="52"/>
      <c r="AA37" s="52"/>
      <c r="AB37" s="52"/>
      <c r="AC37" s="52"/>
    </row>
    <row r="38" customHeight="1" ht="87.0">
      <c r="A38" s="73">
        <v>26</v>
      </c>
      <c r="B38" s="116"/>
      <c r="C38" s="116" t="s">
        <v>3248</v>
      </c>
      <c r="D38" s="117" t="s">
        <v>268</v>
      </c>
      <c r="E38" s="58" t="s">
        <v>1022</v>
      </c>
      <c r="F38" s="58" t="s">
        <v>210</v>
      </c>
      <c r="G38" s="58" t="s">
        <v>3544</v>
      </c>
      <c r="H38" s="58" t="s">
        <v>3545</v>
      </c>
      <c r="I38" s="58" t="s">
        <v>3397</v>
      </c>
      <c r="J38" s="58" t="s">
        <v>3546</v>
      </c>
      <c r="K38" s="74" t="s">
        <v>3547</v>
      </c>
      <c r="L38" s="58"/>
      <c r="M38" s="58"/>
      <c r="N38" s="58"/>
      <c r="O38" s="58"/>
      <c r="P38" s="58"/>
      <c r="Q38" s="58"/>
      <c r="R38" s="58"/>
      <c r="S38" s="58"/>
      <c r="T38" s="58"/>
      <c r="U38" s="58"/>
      <c r="V38" s="58"/>
      <c r="W38" s="77" t="s">
        <v>3509</v>
      </c>
      <c r="X38" s="58" t="s">
        <v>3400</v>
      </c>
      <c r="Y38" s="52"/>
      <c r="Z38" s="52"/>
      <c r="AA38" s="52"/>
      <c r="AB38" s="52"/>
      <c r="AC38" s="52"/>
    </row>
    <row r="39" customHeight="1" ht="100.5">
      <c r="A39" s="73">
        <v>27</v>
      </c>
      <c r="B39" s="116"/>
      <c r="C39" s="116"/>
      <c r="D39" s="116" t="s">
        <v>3250</v>
      </c>
      <c r="E39" s="58" t="s">
        <v>3479</v>
      </c>
      <c r="F39" s="58" t="s">
        <v>203</v>
      </c>
      <c r="G39" s="58" t="s">
        <v>3548</v>
      </c>
      <c r="H39" s="58" t="s">
        <v>3549</v>
      </c>
      <c r="I39" s="58" t="s">
        <v>3550</v>
      </c>
      <c r="J39" s="58" t="s">
        <v>3551</v>
      </c>
      <c r="K39" s="74" t="s">
        <v>3552</v>
      </c>
      <c r="L39" s="58"/>
      <c r="M39" s="58"/>
      <c r="N39" s="58"/>
      <c r="O39" s="58"/>
      <c r="P39" s="58"/>
      <c r="Q39" s="58"/>
      <c r="R39" s="58"/>
      <c r="S39" s="58"/>
      <c r="T39" s="58"/>
      <c r="U39" s="58"/>
      <c r="V39" s="58"/>
      <c r="W39" s="105"/>
      <c r="X39" s="58" t="s">
        <v>3400</v>
      </c>
      <c r="Y39" s="52"/>
      <c r="Z39" s="52"/>
      <c r="AA39" s="52"/>
      <c r="AB39" s="52"/>
      <c r="AC39" s="52"/>
    </row>
    <row r="40" customHeight="1" ht="100.5">
      <c r="A40" s="73">
        <v>28</v>
      </c>
      <c r="B40" s="116"/>
      <c r="C40" s="116"/>
      <c r="D40" s="116"/>
      <c r="E40" s="58" t="s">
        <v>3484</v>
      </c>
      <c r="F40" s="58" t="s">
        <v>203</v>
      </c>
      <c r="G40" s="58" t="s">
        <v>3553</v>
      </c>
      <c r="H40" s="58" t="s">
        <v>3554</v>
      </c>
      <c r="I40" s="58" t="s">
        <v>3550</v>
      </c>
      <c r="J40" s="58" t="s">
        <v>3555</v>
      </c>
      <c r="K40" s="74" t="s">
        <v>3556</v>
      </c>
      <c r="L40" s="58"/>
      <c r="M40" s="58"/>
      <c r="N40" s="58"/>
      <c r="O40" s="58"/>
      <c r="P40" s="58"/>
      <c r="Q40" s="58"/>
      <c r="R40" s="58"/>
      <c r="S40" s="58"/>
      <c r="T40" s="58"/>
      <c r="U40" s="58"/>
      <c r="V40" s="58"/>
      <c r="W40" s="105"/>
      <c r="X40" s="58" t="s">
        <v>3400</v>
      </c>
      <c r="Y40" s="52"/>
      <c r="Z40" s="52"/>
      <c r="AA40" s="52"/>
      <c r="AB40" s="52"/>
      <c r="AC40" s="52"/>
    </row>
    <row r="41" customHeight="1" ht="114.0">
      <c r="A41" s="73">
        <v>29</v>
      </c>
      <c r="B41" s="116"/>
      <c r="C41" s="116"/>
      <c r="D41" s="118"/>
      <c r="E41" s="58" t="s">
        <v>3490</v>
      </c>
      <c r="F41" s="58" t="s">
        <v>210</v>
      </c>
      <c r="G41" s="58" t="s">
        <v>3557</v>
      </c>
      <c r="H41" s="58" t="s">
        <v>3558</v>
      </c>
      <c r="I41" s="58" t="s">
        <v>3559</v>
      </c>
      <c r="J41" s="58" t="s">
        <v>3560</v>
      </c>
      <c r="K41" s="74" t="s">
        <v>3561</v>
      </c>
      <c r="L41" s="58"/>
      <c r="M41" s="58"/>
      <c r="N41" s="58"/>
      <c r="O41" s="58"/>
      <c r="P41" s="58"/>
      <c r="Q41" s="58"/>
      <c r="R41" s="58"/>
      <c r="S41" s="58"/>
      <c r="T41" s="58"/>
      <c r="U41" s="58"/>
      <c r="V41" s="58"/>
      <c r="W41" s="105"/>
      <c r="X41" s="58" t="s">
        <v>3400</v>
      </c>
      <c r="Y41" s="52"/>
      <c r="Z41" s="52"/>
      <c r="AA41" s="52"/>
      <c r="AB41" s="52"/>
      <c r="AC41" s="52"/>
    </row>
    <row r="42" customHeight="1" ht="114.0">
      <c r="A42" s="73">
        <v>30</v>
      </c>
      <c r="B42" s="116"/>
      <c r="C42" s="116"/>
      <c r="D42" s="117" t="s">
        <v>3562</v>
      </c>
      <c r="E42" s="58" t="s">
        <v>3563</v>
      </c>
      <c r="F42" s="58" t="s">
        <v>210</v>
      </c>
      <c r="G42" s="58" t="s">
        <v>3564</v>
      </c>
      <c r="H42" s="58" t="s">
        <v>3565</v>
      </c>
      <c r="I42" s="58" t="s">
        <v>3550</v>
      </c>
      <c r="J42" s="58" t="s">
        <v>3566</v>
      </c>
      <c r="K42" s="74" t="s">
        <v>3567</v>
      </c>
      <c r="L42" s="58"/>
      <c r="M42" s="58"/>
      <c r="N42" s="58"/>
      <c r="O42" s="58"/>
      <c r="P42" s="58"/>
      <c r="Q42" s="58"/>
      <c r="R42" s="58"/>
      <c r="S42" s="58"/>
      <c r="T42" s="58"/>
      <c r="U42" s="58"/>
      <c r="V42" s="58"/>
      <c r="W42" s="77" t="s">
        <v>3568</v>
      </c>
      <c r="X42" s="58" t="s">
        <v>3400</v>
      </c>
      <c r="Y42" s="52"/>
      <c r="Z42" s="52"/>
      <c r="AA42" s="52"/>
      <c r="AB42" s="52"/>
      <c r="AC42" s="52"/>
    </row>
    <row r="43" customHeight="1" ht="87.0">
      <c r="A43" s="73">
        <v>31</v>
      </c>
      <c r="B43" s="118"/>
      <c r="C43" s="118"/>
      <c r="D43" s="117" t="s">
        <v>677</v>
      </c>
      <c r="E43" s="58" t="s">
        <v>3569</v>
      </c>
      <c r="F43" s="58" t="s">
        <v>210</v>
      </c>
      <c r="G43" s="58" t="s">
        <v>3570</v>
      </c>
      <c r="H43" s="58" t="s">
        <v>3571</v>
      </c>
      <c r="I43" s="58" t="s">
        <v>3440</v>
      </c>
      <c r="J43" s="58" t="s">
        <v>3555</v>
      </c>
      <c r="K43" s="104"/>
      <c r="L43" s="58"/>
      <c r="M43" s="58"/>
      <c r="N43" s="58"/>
      <c r="O43" s="58"/>
      <c r="P43" s="58"/>
      <c r="Q43" s="58"/>
      <c r="R43" s="58"/>
      <c r="S43" s="58"/>
      <c r="T43" s="58"/>
      <c r="U43" s="58"/>
      <c r="V43" s="58"/>
      <c r="W43" s="77" t="s">
        <v>3572</v>
      </c>
      <c r="X43" s="58" t="s">
        <v>3400</v>
      </c>
      <c r="Y43" s="52"/>
      <c r="Z43" s="52"/>
      <c r="AA43" s="52"/>
      <c r="AB43" s="52"/>
      <c r="AC43" s="52"/>
    </row>
    <row r="44" customHeight="1" ht="73.5">
      <c r="A44" s="73">
        <v>32</v>
      </c>
      <c r="B44" s="116" t="s">
        <v>3573</v>
      </c>
      <c r="C44" s="116" t="s">
        <v>3574</v>
      </c>
      <c r="D44" s="117" t="s">
        <v>3575</v>
      </c>
      <c r="E44" s="58" t="s">
        <v>3576</v>
      </c>
      <c r="F44" s="58" t="s">
        <v>210</v>
      </c>
      <c r="G44" s="58" t="s">
        <v>3577</v>
      </c>
      <c r="H44" s="58" t="s">
        <v>3578</v>
      </c>
      <c r="I44" s="58" t="s">
        <v>3397</v>
      </c>
      <c r="J44" s="58" t="s">
        <v>3579</v>
      </c>
      <c r="K44" s="74" t="s">
        <v>3580</v>
      </c>
      <c r="L44" s="58"/>
      <c r="M44" s="58"/>
      <c r="N44" s="58"/>
      <c r="O44" s="58"/>
      <c r="P44" s="58"/>
      <c r="Q44" s="58"/>
      <c r="R44" s="58"/>
      <c r="S44" s="58"/>
      <c r="T44" s="58"/>
      <c r="U44" s="58"/>
      <c r="V44" s="58"/>
      <c r="W44" s="105"/>
      <c r="X44" s="58" t="s">
        <v>3581</v>
      </c>
      <c r="Y44" s="52"/>
      <c r="Z44" s="52"/>
      <c r="AA44" s="52"/>
      <c r="AB44" s="52"/>
      <c r="AC44" s="52"/>
    </row>
    <row r="45" customHeight="1" ht="73.5">
      <c r="A45" s="73">
        <v>33</v>
      </c>
      <c r="B45" s="116"/>
      <c r="C45" s="116"/>
      <c r="D45" s="116" t="s">
        <v>3582</v>
      </c>
      <c r="E45" s="58" t="s">
        <v>3583</v>
      </c>
      <c r="F45" s="58" t="s">
        <v>210</v>
      </c>
      <c r="G45" s="58" t="s">
        <v>3584</v>
      </c>
      <c r="H45" s="58" t="s">
        <v>3585</v>
      </c>
      <c r="I45" s="58" t="s">
        <v>3397</v>
      </c>
      <c r="J45" s="58" t="s">
        <v>3586</v>
      </c>
      <c r="K45" s="74" t="s">
        <v>3587</v>
      </c>
      <c r="L45" s="58"/>
      <c r="M45" s="58"/>
      <c r="N45" s="58"/>
      <c r="O45" s="58"/>
      <c r="P45" s="58"/>
      <c r="Q45" s="58"/>
      <c r="R45" s="58"/>
      <c r="S45" s="58"/>
      <c r="T45" s="58"/>
      <c r="U45" s="58"/>
      <c r="V45" s="58"/>
      <c r="W45" s="105"/>
      <c r="X45" s="58" t="s">
        <v>3581</v>
      </c>
      <c r="Y45" s="52"/>
      <c r="Z45" s="52"/>
      <c r="AA45" s="52"/>
      <c r="AB45" s="52"/>
      <c r="AC45" s="52"/>
    </row>
    <row r="46" customHeight="1" ht="73.5">
      <c r="A46" s="73">
        <v>34</v>
      </c>
      <c r="B46" s="116"/>
      <c r="C46" s="116"/>
      <c r="D46" s="116"/>
      <c r="E46" s="58" t="s">
        <v>3588</v>
      </c>
      <c r="F46" s="58" t="s">
        <v>210</v>
      </c>
      <c r="G46" s="58" t="s">
        <v>3589</v>
      </c>
      <c r="H46" s="58" t="s">
        <v>3590</v>
      </c>
      <c r="I46" s="58" t="s">
        <v>3397</v>
      </c>
      <c r="J46" s="58" t="s">
        <v>3591</v>
      </c>
      <c r="K46" s="74" t="s">
        <v>3592</v>
      </c>
      <c r="L46" s="58"/>
      <c r="M46" s="58"/>
      <c r="N46" s="58"/>
      <c r="O46" s="58"/>
      <c r="P46" s="58"/>
      <c r="Q46" s="58"/>
      <c r="R46" s="58"/>
      <c r="S46" s="58"/>
      <c r="T46" s="58"/>
      <c r="U46" s="58"/>
      <c r="V46" s="58"/>
      <c r="W46" s="77" t="s">
        <v>3593</v>
      </c>
      <c r="X46" s="58" t="s">
        <v>3581</v>
      </c>
      <c r="Y46" s="52"/>
      <c r="Z46" s="52"/>
      <c r="AA46" s="52"/>
      <c r="AB46" s="52"/>
      <c r="AC46" s="52"/>
    </row>
    <row r="47" customHeight="1" ht="73.5">
      <c r="A47" s="73">
        <v>35</v>
      </c>
      <c r="B47" s="116"/>
      <c r="C47" s="116"/>
      <c r="D47" s="118"/>
      <c r="E47" s="58" t="s">
        <v>3594</v>
      </c>
      <c r="F47" s="58" t="s">
        <v>210</v>
      </c>
      <c r="G47" s="58" t="s">
        <v>3595</v>
      </c>
      <c r="H47" s="58" t="s">
        <v>3596</v>
      </c>
      <c r="I47" s="58" t="s">
        <v>3597</v>
      </c>
      <c r="J47" s="58" t="s">
        <v>3598</v>
      </c>
      <c r="K47" s="104"/>
      <c r="L47" s="58"/>
      <c r="M47" s="58"/>
      <c r="N47" s="58"/>
      <c r="O47" s="58"/>
      <c r="P47" s="58"/>
      <c r="Q47" s="58"/>
      <c r="R47" s="58"/>
      <c r="S47" s="58"/>
      <c r="T47" s="58"/>
      <c r="U47" s="58"/>
      <c r="V47" s="58"/>
      <c r="W47" s="77" t="s">
        <v>3593</v>
      </c>
      <c r="X47" s="58" t="s">
        <v>3581</v>
      </c>
      <c r="Y47" s="52"/>
      <c r="Z47" s="52"/>
      <c r="AA47" s="52"/>
      <c r="AB47" s="52"/>
      <c r="AC47" s="52"/>
    </row>
    <row r="48" customHeight="1" ht="114.0">
      <c r="A48" s="73">
        <v>36</v>
      </c>
      <c r="B48" s="116"/>
      <c r="C48" s="116"/>
      <c r="D48" s="117" t="s">
        <v>3599</v>
      </c>
      <c r="E48" s="58" t="s">
        <v>3600</v>
      </c>
      <c r="F48" s="58" t="s">
        <v>203</v>
      </c>
      <c r="G48" s="58" t="s">
        <v>3601</v>
      </c>
      <c r="H48" s="58" t="s">
        <v>3602</v>
      </c>
      <c r="I48" s="58" t="s">
        <v>3397</v>
      </c>
      <c r="J48" s="58" t="s">
        <v>3603</v>
      </c>
      <c r="K48" s="74" t="s">
        <v>3604</v>
      </c>
      <c r="L48" s="58"/>
      <c r="M48" s="58"/>
      <c r="N48" s="58"/>
      <c r="O48" s="58"/>
      <c r="P48" s="58"/>
      <c r="Q48" s="58"/>
      <c r="R48" s="58"/>
      <c r="S48" s="58"/>
      <c r="T48" s="58"/>
      <c r="U48" s="58"/>
      <c r="V48" s="58"/>
      <c r="W48" s="105"/>
      <c r="X48" s="58" t="s">
        <v>3581</v>
      </c>
      <c r="Y48" s="52"/>
      <c r="Z48" s="52"/>
      <c r="AA48" s="52"/>
      <c r="AB48" s="52"/>
      <c r="AC48" s="52"/>
    </row>
    <row r="49" customHeight="1" ht="73.5">
      <c r="A49" s="73">
        <v>37</v>
      </c>
      <c r="B49" s="116"/>
      <c r="C49" s="116"/>
      <c r="D49" s="117" t="s">
        <v>3605</v>
      </c>
      <c r="E49" s="58" t="s">
        <v>3606</v>
      </c>
      <c r="F49" s="58" t="s">
        <v>225</v>
      </c>
      <c r="G49" s="58" t="s">
        <v>3607</v>
      </c>
      <c r="H49" s="58" t="s">
        <v>3608</v>
      </c>
      <c r="I49" s="58" t="s">
        <v>3397</v>
      </c>
      <c r="J49" s="58" t="s">
        <v>3609</v>
      </c>
      <c r="K49" s="104"/>
      <c r="L49" s="58"/>
      <c r="M49" s="58"/>
      <c r="N49" s="58"/>
      <c r="O49" s="58"/>
      <c r="P49" s="58"/>
      <c r="Q49" s="58"/>
      <c r="R49" s="58"/>
      <c r="S49" s="58"/>
      <c r="T49" s="58"/>
      <c r="U49" s="58"/>
      <c r="V49" s="58"/>
      <c r="W49" s="77" t="s">
        <v>3610</v>
      </c>
      <c r="X49" s="58" t="s">
        <v>3581</v>
      </c>
      <c r="Y49" s="52"/>
      <c r="Z49" s="52"/>
      <c r="AA49" s="52"/>
      <c r="AB49" s="52"/>
      <c r="AC49" s="52"/>
    </row>
    <row r="50" customHeight="1" ht="100.5">
      <c r="A50" s="73">
        <v>38</v>
      </c>
      <c r="B50" s="116"/>
      <c r="C50" s="118"/>
      <c r="D50" s="117" t="s">
        <v>3611</v>
      </c>
      <c r="E50" s="58" t="s">
        <v>3612</v>
      </c>
      <c r="F50" s="58" t="s">
        <v>210</v>
      </c>
      <c r="G50" s="58" t="s">
        <v>3613</v>
      </c>
      <c r="H50" s="58" t="s">
        <v>3614</v>
      </c>
      <c r="I50" s="58" t="s">
        <v>3507</v>
      </c>
      <c r="J50" s="58" t="s">
        <v>3615</v>
      </c>
      <c r="K50" s="104"/>
      <c r="L50" s="58"/>
      <c r="M50" s="58"/>
      <c r="N50" s="58"/>
      <c r="O50" s="58"/>
      <c r="P50" s="58"/>
      <c r="Q50" s="58"/>
      <c r="R50" s="58"/>
      <c r="S50" s="58"/>
      <c r="T50" s="58"/>
      <c r="U50" s="58"/>
      <c r="V50" s="58"/>
      <c r="W50" s="77" t="s">
        <v>3616</v>
      </c>
      <c r="X50" s="58" t="s">
        <v>3581</v>
      </c>
      <c r="Y50" s="52"/>
      <c r="Z50" s="52"/>
      <c r="AA50" s="52"/>
      <c r="AB50" s="52"/>
      <c r="AC50" s="52"/>
    </row>
    <row r="51" customHeight="1" ht="87.0">
      <c r="A51" s="73">
        <v>39</v>
      </c>
      <c r="B51" s="116"/>
      <c r="C51" s="116" t="s">
        <v>3617</v>
      </c>
      <c r="D51" s="116" t="s">
        <v>3416</v>
      </c>
      <c r="E51" s="58" t="s">
        <v>3618</v>
      </c>
      <c r="F51" s="58" t="s">
        <v>203</v>
      </c>
      <c r="G51" s="58" t="s">
        <v>3619</v>
      </c>
      <c r="H51" s="58" t="s">
        <v>3620</v>
      </c>
      <c r="I51" s="58" t="s">
        <v>3440</v>
      </c>
      <c r="J51" s="58" t="s">
        <v>3621</v>
      </c>
      <c r="K51" s="74" t="s">
        <v>3622</v>
      </c>
      <c r="L51" s="58"/>
      <c r="M51" s="58"/>
      <c r="N51" s="58"/>
      <c r="O51" s="58"/>
      <c r="P51" s="58"/>
      <c r="Q51" s="58"/>
      <c r="R51" s="58"/>
      <c r="S51" s="58"/>
      <c r="T51" s="58"/>
      <c r="U51" s="58"/>
      <c r="V51" s="58"/>
      <c r="W51" s="105"/>
      <c r="X51" s="58" t="s">
        <v>3581</v>
      </c>
      <c r="Y51" s="52"/>
      <c r="Z51" s="52"/>
      <c r="AA51" s="52"/>
      <c r="AB51" s="52"/>
      <c r="AC51" s="52"/>
    </row>
    <row r="52" customHeight="1" ht="100.5">
      <c r="A52" s="73">
        <v>40</v>
      </c>
      <c r="B52" s="116"/>
      <c r="C52" s="116"/>
      <c r="D52" s="118"/>
      <c r="E52" s="58" t="s">
        <v>3623</v>
      </c>
      <c r="F52" s="58" t="s">
        <v>203</v>
      </c>
      <c r="G52" s="58" t="s">
        <v>3624</v>
      </c>
      <c r="H52" s="58" t="s">
        <v>3625</v>
      </c>
      <c r="I52" s="58" t="s">
        <v>3488</v>
      </c>
      <c r="J52" s="58" t="s">
        <v>3621</v>
      </c>
      <c r="K52" s="74" t="s">
        <v>3626</v>
      </c>
      <c r="L52" s="58"/>
      <c r="M52" s="58"/>
      <c r="N52" s="58"/>
      <c r="O52" s="58"/>
      <c r="P52" s="58"/>
      <c r="Q52" s="58"/>
      <c r="R52" s="58"/>
      <c r="S52" s="58"/>
      <c r="T52" s="58"/>
      <c r="U52" s="58"/>
      <c r="V52" s="58"/>
      <c r="W52" s="105"/>
      <c r="X52" s="58" t="s">
        <v>3581</v>
      </c>
      <c r="Y52" s="52"/>
      <c r="Z52" s="52"/>
      <c r="AA52" s="52"/>
      <c r="AB52" s="52"/>
      <c r="AC52" s="52"/>
    </row>
    <row r="53" customHeight="1" ht="100.5">
      <c r="A53" s="73">
        <v>41</v>
      </c>
      <c r="B53" s="116"/>
      <c r="C53" s="116"/>
      <c r="D53" s="116" t="s">
        <v>3627</v>
      </c>
      <c r="E53" s="58" t="s">
        <v>3628</v>
      </c>
      <c r="F53" s="58" t="s">
        <v>203</v>
      </c>
      <c r="G53" s="58" t="s">
        <v>3629</v>
      </c>
      <c r="H53" s="58" t="s">
        <v>3630</v>
      </c>
      <c r="I53" s="58" t="s">
        <v>3397</v>
      </c>
      <c r="J53" s="58" t="s">
        <v>3631</v>
      </c>
      <c r="K53" s="74" t="s">
        <v>3632</v>
      </c>
      <c r="L53" s="58"/>
      <c r="M53" s="58"/>
      <c r="N53" s="58"/>
      <c r="O53" s="58"/>
      <c r="P53" s="58"/>
      <c r="Q53" s="58"/>
      <c r="R53" s="58"/>
      <c r="S53" s="58"/>
      <c r="T53" s="58"/>
      <c r="U53" s="58"/>
      <c r="V53" s="58"/>
      <c r="W53" s="105"/>
      <c r="X53" s="58" t="s">
        <v>3581</v>
      </c>
      <c r="Y53" s="52"/>
      <c r="Z53" s="52"/>
      <c r="AA53" s="52"/>
      <c r="AB53" s="52"/>
      <c r="AC53" s="52"/>
    </row>
    <row r="54" customHeight="1" ht="87.0">
      <c r="A54" s="73">
        <v>42</v>
      </c>
      <c r="B54" s="116"/>
      <c r="C54" s="116"/>
      <c r="D54" s="116"/>
      <c r="E54" s="58" t="s">
        <v>3437</v>
      </c>
      <c r="F54" s="58" t="s">
        <v>210</v>
      </c>
      <c r="G54" s="58" t="s">
        <v>3633</v>
      </c>
      <c r="H54" s="58" t="s">
        <v>3634</v>
      </c>
      <c r="I54" s="58" t="s">
        <v>3440</v>
      </c>
      <c r="J54" s="58" t="s">
        <v>3635</v>
      </c>
      <c r="K54" s="74" t="s">
        <v>3636</v>
      </c>
      <c r="L54" s="58"/>
      <c r="M54" s="58"/>
      <c r="N54" s="58"/>
      <c r="O54" s="58"/>
      <c r="P54" s="58"/>
      <c r="Q54" s="58"/>
      <c r="R54" s="58"/>
      <c r="S54" s="58"/>
      <c r="T54" s="58"/>
      <c r="U54" s="58"/>
      <c r="V54" s="58"/>
      <c r="W54" s="77" t="s">
        <v>3637</v>
      </c>
      <c r="X54" s="58" t="s">
        <v>3581</v>
      </c>
      <c r="Y54" s="52"/>
      <c r="Z54" s="52"/>
      <c r="AA54" s="52"/>
      <c r="AB54" s="52"/>
      <c r="AC54" s="52"/>
    </row>
    <row r="55" customHeight="1" ht="127.5">
      <c r="A55" s="73">
        <v>43</v>
      </c>
      <c r="B55" s="116"/>
      <c r="C55" s="118"/>
      <c r="D55" s="118"/>
      <c r="E55" s="58" t="s">
        <v>3638</v>
      </c>
      <c r="F55" s="58" t="s">
        <v>210</v>
      </c>
      <c r="G55" s="58" t="s">
        <v>3639</v>
      </c>
      <c r="H55" s="58" t="s">
        <v>3640</v>
      </c>
      <c r="I55" s="58" t="s">
        <v>3641</v>
      </c>
      <c r="J55" s="58" t="s">
        <v>3642</v>
      </c>
      <c r="K55" s="104"/>
      <c r="L55" s="58"/>
      <c r="M55" s="58"/>
      <c r="N55" s="58"/>
      <c r="O55" s="58"/>
      <c r="P55" s="58"/>
      <c r="Q55" s="58"/>
      <c r="R55" s="58"/>
      <c r="S55" s="58"/>
      <c r="T55" s="58"/>
      <c r="U55" s="58"/>
      <c r="V55" s="58"/>
      <c r="W55" s="77" t="s">
        <v>3643</v>
      </c>
      <c r="X55" s="58" t="s">
        <v>3581</v>
      </c>
      <c r="Y55" s="52"/>
      <c r="Z55" s="52"/>
      <c r="AA55" s="52"/>
      <c r="AB55" s="52"/>
      <c r="AC55" s="52"/>
    </row>
    <row r="56" customHeight="1" ht="154.5">
      <c r="A56" s="73">
        <v>44</v>
      </c>
      <c r="B56" s="116"/>
      <c r="C56" s="116" t="s">
        <v>3644</v>
      </c>
      <c r="D56" s="116" t="s">
        <v>268</v>
      </c>
      <c r="E56" s="58" t="s">
        <v>3645</v>
      </c>
      <c r="F56" s="58" t="s">
        <v>203</v>
      </c>
      <c r="G56" s="58" t="s">
        <v>3646</v>
      </c>
      <c r="H56" s="58" t="s">
        <v>3647</v>
      </c>
      <c r="I56" s="58" t="s">
        <v>3648</v>
      </c>
      <c r="J56" s="58" t="s">
        <v>3649</v>
      </c>
      <c r="K56" s="74" t="s">
        <v>3650</v>
      </c>
      <c r="L56" s="58"/>
      <c r="M56" s="58"/>
      <c r="N56" s="58"/>
      <c r="O56" s="58"/>
      <c r="P56" s="58"/>
      <c r="Q56" s="58"/>
      <c r="R56" s="58"/>
      <c r="S56" s="58"/>
      <c r="T56" s="58"/>
      <c r="U56" s="58"/>
      <c r="V56" s="58"/>
      <c r="W56" s="77" t="s">
        <v>3651</v>
      </c>
      <c r="X56" s="58" t="s">
        <v>3581</v>
      </c>
      <c r="Y56" s="52"/>
      <c r="Z56" s="52"/>
      <c r="AA56" s="52"/>
      <c r="AB56" s="52"/>
      <c r="AC56" s="52"/>
    </row>
    <row r="57" customHeight="1" ht="100.5">
      <c r="A57" s="73">
        <v>45</v>
      </c>
      <c r="B57" s="116"/>
      <c r="C57" s="116"/>
      <c r="D57" s="116"/>
      <c r="E57" s="58" t="s">
        <v>3652</v>
      </c>
      <c r="F57" s="58" t="s">
        <v>210</v>
      </c>
      <c r="G57" s="58" t="s">
        <v>3653</v>
      </c>
      <c r="H57" s="58" t="s">
        <v>3654</v>
      </c>
      <c r="I57" s="58" t="s">
        <v>3655</v>
      </c>
      <c r="J57" s="58" t="s">
        <v>3649</v>
      </c>
      <c r="K57" s="74" t="s">
        <v>3656</v>
      </c>
      <c r="L57" s="58"/>
      <c r="M57" s="58"/>
      <c r="N57" s="58"/>
      <c r="O57" s="58"/>
      <c r="P57" s="58"/>
      <c r="Q57" s="58"/>
      <c r="R57" s="58"/>
      <c r="S57" s="58"/>
      <c r="T57" s="58"/>
      <c r="U57" s="58"/>
      <c r="V57" s="58"/>
      <c r="W57" s="105"/>
      <c r="X57" s="58" t="s">
        <v>3581</v>
      </c>
      <c r="Y57" s="52"/>
      <c r="Z57" s="52"/>
      <c r="AA57" s="52"/>
      <c r="AB57" s="52"/>
      <c r="AC57" s="52"/>
    </row>
    <row r="58" customHeight="1" ht="100.5">
      <c r="A58" s="73">
        <v>46</v>
      </c>
      <c r="B58" s="116"/>
      <c r="C58" s="116"/>
      <c r="D58" s="116"/>
      <c r="E58" s="58" t="s">
        <v>3657</v>
      </c>
      <c r="F58" s="58" t="s">
        <v>210</v>
      </c>
      <c r="G58" s="58" t="s">
        <v>3658</v>
      </c>
      <c r="H58" s="58" t="s">
        <v>3659</v>
      </c>
      <c r="I58" s="58" t="s">
        <v>3660</v>
      </c>
      <c r="J58" s="58" t="s">
        <v>3661</v>
      </c>
      <c r="K58" s="74" t="s">
        <v>3662</v>
      </c>
      <c r="L58" s="58"/>
      <c r="M58" s="58"/>
      <c r="N58" s="58"/>
      <c r="O58" s="58"/>
      <c r="P58" s="58"/>
      <c r="Q58" s="58"/>
      <c r="R58" s="58"/>
      <c r="S58" s="58"/>
      <c r="T58" s="58"/>
      <c r="U58" s="58"/>
      <c r="V58" s="58"/>
      <c r="W58" s="105"/>
      <c r="X58" s="58" t="s">
        <v>3581</v>
      </c>
      <c r="Y58" s="52"/>
      <c r="Z58" s="52"/>
      <c r="AA58" s="52"/>
      <c r="AB58" s="52"/>
      <c r="AC58" s="52"/>
    </row>
    <row r="59" customHeight="1" ht="100.5">
      <c r="A59" s="73">
        <v>47</v>
      </c>
      <c r="B59" s="116"/>
      <c r="C59" s="116"/>
      <c r="D59" s="116"/>
      <c r="E59" s="58" t="s">
        <v>3663</v>
      </c>
      <c r="F59" s="58" t="s">
        <v>210</v>
      </c>
      <c r="G59" s="58" t="s">
        <v>3664</v>
      </c>
      <c r="H59" s="58" t="s">
        <v>3665</v>
      </c>
      <c r="I59" s="58" t="s">
        <v>3666</v>
      </c>
      <c r="J59" s="58" t="s">
        <v>3649</v>
      </c>
      <c r="K59" s="104"/>
      <c r="L59" s="58"/>
      <c r="M59" s="58"/>
      <c r="N59" s="58"/>
      <c r="O59" s="58"/>
      <c r="P59" s="58"/>
      <c r="Q59" s="58"/>
      <c r="R59" s="58"/>
      <c r="S59" s="58"/>
      <c r="T59" s="58"/>
      <c r="U59" s="58"/>
      <c r="V59" s="58"/>
      <c r="W59" s="77" t="s">
        <v>3667</v>
      </c>
      <c r="X59" s="58" t="s">
        <v>3581</v>
      </c>
      <c r="Y59" s="52"/>
      <c r="Z59" s="52"/>
      <c r="AA59" s="52"/>
      <c r="AB59" s="52"/>
      <c r="AC59" s="52"/>
    </row>
    <row r="60" customHeight="1" ht="114.0">
      <c r="A60" s="73">
        <v>48</v>
      </c>
      <c r="B60" s="116"/>
      <c r="C60" s="116"/>
      <c r="D60" s="116"/>
      <c r="E60" s="58" t="s">
        <v>3668</v>
      </c>
      <c r="F60" s="58" t="s">
        <v>210</v>
      </c>
      <c r="G60" s="58" t="s">
        <v>3669</v>
      </c>
      <c r="H60" s="58" t="s">
        <v>3670</v>
      </c>
      <c r="I60" s="58" t="s">
        <v>3671</v>
      </c>
      <c r="J60" s="58" t="s">
        <v>3649</v>
      </c>
      <c r="K60" s="74" t="s">
        <v>3672</v>
      </c>
      <c r="L60" s="58"/>
      <c r="M60" s="58"/>
      <c r="N60" s="58"/>
      <c r="O60" s="58"/>
      <c r="P60" s="58"/>
      <c r="Q60" s="58"/>
      <c r="R60" s="58"/>
      <c r="S60" s="58"/>
      <c r="T60" s="58"/>
      <c r="U60" s="58"/>
      <c r="V60" s="58"/>
      <c r="W60" s="77" t="s">
        <v>3673</v>
      </c>
      <c r="X60" s="58" t="s">
        <v>3581</v>
      </c>
      <c r="Y60" s="52"/>
      <c r="Z60" s="52"/>
      <c r="AA60" s="52"/>
      <c r="AB60" s="52"/>
      <c r="AC60" s="52"/>
    </row>
    <row r="61" customHeight="1" ht="100.5">
      <c r="A61" s="73">
        <v>49</v>
      </c>
      <c r="B61" s="116"/>
      <c r="C61" s="118"/>
      <c r="D61" s="118"/>
      <c r="E61" s="58" t="s">
        <v>3674</v>
      </c>
      <c r="F61" s="58" t="s">
        <v>210</v>
      </c>
      <c r="G61" s="58" t="s">
        <v>3675</v>
      </c>
      <c r="H61" s="58" t="s">
        <v>3676</v>
      </c>
      <c r="I61" s="58" t="s">
        <v>3677</v>
      </c>
      <c r="J61" s="58" t="s">
        <v>3678</v>
      </c>
      <c r="K61" s="104"/>
      <c r="L61" s="58"/>
      <c r="M61" s="58"/>
      <c r="N61" s="58"/>
      <c r="O61" s="58"/>
      <c r="P61" s="58"/>
      <c r="Q61" s="58"/>
      <c r="R61" s="58"/>
      <c r="S61" s="58"/>
      <c r="T61" s="58"/>
      <c r="U61" s="58"/>
      <c r="V61" s="58"/>
      <c r="W61" s="77" t="s">
        <v>3679</v>
      </c>
      <c r="X61" s="58" t="s">
        <v>3581</v>
      </c>
      <c r="Y61" s="52"/>
      <c r="Z61" s="52"/>
      <c r="AA61" s="52"/>
      <c r="AB61" s="52"/>
      <c r="AC61" s="52"/>
    </row>
    <row r="62" customHeight="1" ht="195.0">
      <c r="A62" s="73">
        <v>50</v>
      </c>
      <c r="B62" s="118"/>
      <c r="C62" s="117" t="s">
        <v>3680</v>
      </c>
      <c r="D62" s="117" t="s">
        <v>2259</v>
      </c>
      <c r="E62" s="58" t="s">
        <v>3681</v>
      </c>
      <c r="F62" s="58" t="s">
        <v>203</v>
      </c>
      <c r="G62" s="58" t="s">
        <v>3682</v>
      </c>
      <c r="H62" s="58" t="s">
        <v>3683</v>
      </c>
      <c r="I62" s="58" t="s">
        <v>3684</v>
      </c>
      <c r="J62" s="58" t="s">
        <v>3685</v>
      </c>
      <c r="K62" s="74" t="s">
        <v>3686</v>
      </c>
      <c r="L62" s="58"/>
      <c r="M62" s="58"/>
      <c r="N62" s="58"/>
      <c r="O62" s="58"/>
      <c r="P62" s="58"/>
      <c r="Q62" s="58"/>
      <c r="R62" s="58"/>
      <c r="S62" s="58"/>
      <c r="T62" s="58"/>
      <c r="U62" s="58"/>
      <c r="V62" s="58"/>
      <c r="W62" s="105"/>
      <c r="X62" s="58" t="s">
        <v>3687</v>
      </c>
      <c r="Y62" s="52"/>
      <c r="Z62" s="52"/>
      <c r="AA62" s="52"/>
      <c r="AB62" s="52"/>
      <c r="AC62" s="52"/>
    </row>
    <row r="63" customHeight="1" ht="87.0">
      <c r="A63" s="73">
        <v>51</v>
      </c>
      <c r="B63" s="116" t="s">
        <v>3688</v>
      </c>
      <c r="C63" s="116" t="s">
        <v>3689</v>
      </c>
      <c r="D63" s="117" t="s">
        <v>2259</v>
      </c>
      <c r="E63" s="58" t="s">
        <v>3690</v>
      </c>
      <c r="F63" s="58" t="s">
        <v>203</v>
      </c>
      <c r="G63" s="58" t="s">
        <v>3691</v>
      </c>
      <c r="H63" s="58" t="s">
        <v>3692</v>
      </c>
      <c r="I63" s="58" t="s">
        <v>3440</v>
      </c>
      <c r="J63" s="58" t="s">
        <v>3693</v>
      </c>
      <c r="K63" s="74" t="s">
        <v>3694</v>
      </c>
      <c r="L63" s="58"/>
      <c r="M63" s="58"/>
      <c r="N63" s="58"/>
      <c r="O63" s="58"/>
      <c r="P63" s="58"/>
      <c r="Q63" s="58"/>
      <c r="R63" s="58"/>
      <c r="S63" s="58"/>
      <c r="T63" s="58"/>
      <c r="U63" s="58"/>
      <c r="V63" s="58"/>
      <c r="W63" s="105"/>
      <c r="X63" s="58" t="s">
        <v>3695</v>
      </c>
      <c r="Y63" s="52"/>
      <c r="Z63" s="52"/>
      <c r="AA63" s="52"/>
      <c r="AB63" s="52"/>
      <c r="AC63" s="52"/>
    </row>
    <row r="64" customHeight="1" ht="168.0">
      <c r="A64" s="73">
        <v>52</v>
      </c>
      <c r="B64" s="116"/>
      <c r="C64" s="118"/>
      <c r="D64" s="117" t="s">
        <v>3696</v>
      </c>
      <c r="E64" s="58" t="s">
        <v>3697</v>
      </c>
      <c r="F64" s="58" t="s">
        <v>203</v>
      </c>
      <c r="G64" s="58" t="s">
        <v>3698</v>
      </c>
      <c r="H64" s="58" t="s">
        <v>3699</v>
      </c>
      <c r="I64" s="58" t="s">
        <v>3440</v>
      </c>
      <c r="J64" s="58" t="s">
        <v>3700</v>
      </c>
      <c r="K64" s="74" t="s">
        <v>3701</v>
      </c>
      <c r="L64" s="58"/>
      <c r="M64" s="58"/>
      <c r="N64" s="58"/>
      <c r="O64" s="58"/>
      <c r="P64" s="58"/>
      <c r="Q64" s="58"/>
      <c r="R64" s="58"/>
      <c r="S64" s="58"/>
      <c r="T64" s="58"/>
      <c r="U64" s="58"/>
      <c r="V64" s="58"/>
      <c r="W64" s="77" t="s">
        <v>3702</v>
      </c>
      <c r="X64" s="58" t="s">
        <v>3695</v>
      </c>
      <c r="Y64" s="52"/>
      <c r="Z64" s="52"/>
      <c r="AA64" s="52"/>
      <c r="AB64" s="52"/>
      <c r="AC64" s="52"/>
    </row>
    <row r="65" customHeight="1" ht="100.5">
      <c r="A65" s="73">
        <v>53</v>
      </c>
      <c r="B65" s="116"/>
      <c r="C65" s="116" t="s">
        <v>2404</v>
      </c>
      <c r="D65" s="117" t="s">
        <v>3703</v>
      </c>
      <c r="E65" s="58" t="s">
        <v>3704</v>
      </c>
      <c r="F65" s="58" t="s">
        <v>203</v>
      </c>
      <c r="G65" s="58" t="s">
        <v>3705</v>
      </c>
      <c r="H65" s="58" t="s">
        <v>3706</v>
      </c>
      <c r="I65" s="58" t="s">
        <v>3440</v>
      </c>
      <c r="J65" s="58" t="s">
        <v>3707</v>
      </c>
      <c r="K65" s="74" t="s">
        <v>3708</v>
      </c>
      <c r="L65" s="58"/>
      <c r="M65" s="58"/>
      <c r="N65" s="58"/>
      <c r="O65" s="58"/>
      <c r="P65" s="58"/>
      <c r="Q65" s="58"/>
      <c r="R65" s="58"/>
      <c r="S65" s="58"/>
      <c r="T65" s="58"/>
      <c r="U65" s="58"/>
      <c r="V65" s="58"/>
      <c r="W65" s="77" t="s">
        <v>3709</v>
      </c>
      <c r="X65" s="58" t="s">
        <v>3695</v>
      </c>
      <c r="Y65" s="52"/>
      <c r="Z65" s="52"/>
      <c r="AA65" s="52"/>
      <c r="AB65" s="52"/>
      <c r="AC65" s="52"/>
    </row>
    <row r="66" customHeight="1" ht="87.0">
      <c r="A66" s="73">
        <v>54</v>
      </c>
      <c r="B66" s="116"/>
      <c r="C66" s="118"/>
      <c r="D66" s="117" t="s">
        <v>3710</v>
      </c>
      <c r="E66" s="58" t="s">
        <v>3711</v>
      </c>
      <c r="F66" s="58" t="s">
        <v>210</v>
      </c>
      <c r="G66" s="58" t="s">
        <v>3712</v>
      </c>
      <c r="H66" s="58" t="s">
        <v>3713</v>
      </c>
      <c r="I66" s="58" t="s">
        <v>3440</v>
      </c>
      <c r="J66" s="58" t="s">
        <v>3714</v>
      </c>
      <c r="K66" s="74" t="s">
        <v>3715</v>
      </c>
      <c r="L66" s="58"/>
      <c r="M66" s="58"/>
      <c r="N66" s="58"/>
      <c r="O66" s="58"/>
      <c r="P66" s="58"/>
      <c r="Q66" s="58"/>
      <c r="R66" s="58"/>
      <c r="S66" s="58"/>
      <c r="T66" s="58"/>
      <c r="U66" s="58"/>
      <c r="V66" s="58"/>
      <c r="W66" s="77" t="s">
        <v>3716</v>
      </c>
      <c r="X66" s="58" t="s">
        <v>3695</v>
      </c>
      <c r="Y66" s="52"/>
      <c r="Z66" s="52"/>
      <c r="AA66" s="52"/>
      <c r="AB66" s="52"/>
      <c r="AC66" s="52"/>
    </row>
    <row r="67" customHeight="1" ht="87.0">
      <c r="A67" s="73">
        <v>55</v>
      </c>
      <c r="B67" s="116"/>
      <c r="C67" s="116" t="s">
        <v>3717</v>
      </c>
      <c r="D67" s="117" t="s">
        <v>307</v>
      </c>
      <c r="E67" s="58" t="s">
        <v>3718</v>
      </c>
      <c r="F67" s="58" t="s">
        <v>203</v>
      </c>
      <c r="G67" s="58" t="s">
        <v>3719</v>
      </c>
      <c r="H67" s="58" t="s">
        <v>3720</v>
      </c>
      <c r="I67" s="58" t="s">
        <v>3440</v>
      </c>
      <c r="J67" s="58" t="s">
        <v>3721</v>
      </c>
      <c r="K67" s="74" t="s">
        <v>3722</v>
      </c>
      <c r="L67" s="58"/>
      <c r="M67" s="58"/>
      <c r="N67" s="58"/>
      <c r="O67" s="58"/>
      <c r="P67" s="58"/>
      <c r="Q67" s="58"/>
      <c r="R67" s="58"/>
      <c r="S67" s="58"/>
      <c r="T67" s="58"/>
      <c r="U67" s="58"/>
      <c r="V67" s="58"/>
      <c r="W67" s="77" t="s">
        <v>3723</v>
      </c>
      <c r="X67" s="58" t="s">
        <v>3695</v>
      </c>
      <c r="Y67" s="52"/>
      <c r="Z67" s="52"/>
      <c r="AA67" s="52"/>
      <c r="AB67" s="52"/>
      <c r="AC67" s="52"/>
    </row>
    <row r="68" customHeight="1" ht="87.0">
      <c r="A68" s="73">
        <v>56</v>
      </c>
      <c r="B68" s="116"/>
      <c r="C68" s="116"/>
      <c r="D68" s="116" t="s">
        <v>3724</v>
      </c>
      <c r="E68" s="58" t="s">
        <v>3725</v>
      </c>
      <c r="F68" s="58" t="s">
        <v>203</v>
      </c>
      <c r="G68" s="58" t="s">
        <v>3726</v>
      </c>
      <c r="H68" s="58" t="s">
        <v>3727</v>
      </c>
      <c r="I68" s="58" t="s">
        <v>3440</v>
      </c>
      <c r="J68" s="58" t="s">
        <v>3728</v>
      </c>
      <c r="K68" s="74" t="s">
        <v>3729</v>
      </c>
      <c r="L68" s="58"/>
      <c r="M68" s="58"/>
      <c r="N68" s="58"/>
      <c r="O68" s="58"/>
      <c r="P68" s="58"/>
      <c r="Q68" s="58"/>
      <c r="R68" s="58"/>
      <c r="S68" s="58"/>
      <c r="T68" s="58"/>
      <c r="U68" s="58"/>
      <c r="V68" s="58"/>
      <c r="W68" s="105"/>
      <c r="X68" s="58" t="s">
        <v>3695</v>
      </c>
      <c r="Y68" s="52"/>
      <c r="Z68" s="52"/>
      <c r="AA68" s="52"/>
      <c r="AB68" s="52"/>
      <c r="AC68" s="52"/>
    </row>
    <row r="69" customHeight="1" ht="87.0">
      <c r="A69" s="73">
        <v>57</v>
      </c>
      <c r="B69" s="116"/>
      <c r="C69" s="116"/>
      <c r="D69" s="118"/>
      <c r="E69" s="58" t="s">
        <v>3730</v>
      </c>
      <c r="F69" s="58" t="s">
        <v>203</v>
      </c>
      <c r="G69" s="58" t="s">
        <v>3731</v>
      </c>
      <c r="H69" s="58" t="s">
        <v>3732</v>
      </c>
      <c r="I69" s="58" t="s">
        <v>3440</v>
      </c>
      <c r="J69" s="58" t="s">
        <v>3733</v>
      </c>
      <c r="K69" s="74" t="s">
        <v>3734</v>
      </c>
      <c r="L69" s="58"/>
      <c r="M69" s="58"/>
      <c r="N69" s="58"/>
      <c r="O69" s="58"/>
      <c r="P69" s="58"/>
      <c r="Q69" s="58"/>
      <c r="R69" s="58"/>
      <c r="S69" s="58"/>
      <c r="T69" s="58"/>
      <c r="U69" s="58"/>
      <c r="V69" s="58"/>
      <c r="W69" s="105"/>
      <c r="X69" s="58" t="s">
        <v>3695</v>
      </c>
      <c r="Y69" s="52"/>
      <c r="Z69" s="52"/>
      <c r="AA69" s="52"/>
      <c r="AB69" s="52"/>
      <c r="AC69" s="52"/>
    </row>
    <row r="70" customHeight="1" ht="87.0">
      <c r="A70" s="73">
        <v>58</v>
      </c>
      <c r="B70" s="116"/>
      <c r="C70" s="116"/>
      <c r="D70" s="116" t="s">
        <v>3735</v>
      </c>
      <c r="E70" s="58" t="s">
        <v>3736</v>
      </c>
      <c r="F70" s="58" t="s">
        <v>210</v>
      </c>
      <c r="G70" s="58" t="s">
        <v>3737</v>
      </c>
      <c r="H70" s="58" t="s">
        <v>3738</v>
      </c>
      <c r="I70" s="58" t="s">
        <v>3440</v>
      </c>
      <c r="J70" s="58" t="s">
        <v>3739</v>
      </c>
      <c r="K70" s="74" t="s">
        <v>3740</v>
      </c>
      <c r="L70" s="58"/>
      <c r="M70" s="58"/>
      <c r="N70" s="58"/>
      <c r="O70" s="58"/>
      <c r="P70" s="58"/>
      <c r="Q70" s="58"/>
      <c r="R70" s="58"/>
      <c r="S70" s="58"/>
      <c r="T70" s="58"/>
      <c r="U70" s="58"/>
      <c r="V70" s="58"/>
      <c r="W70" s="77" t="s">
        <v>3741</v>
      </c>
      <c r="X70" s="58" t="s">
        <v>3695</v>
      </c>
      <c r="Y70" s="52"/>
      <c r="Z70" s="52"/>
      <c r="AA70" s="52"/>
      <c r="AB70" s="52"/>
      <c r="AC70" s="52"/>
    </row>
    <row r="71" customHeight="1" ht="87.0">
      <c r="A71" s="73">
        <v>59</v>
      </c>
      <c r="B71" s="116"/>
      <c r="C71" s="118"/>
      <c r="D71" s="118"/>
      <c r="E71" s="58" t="s">
        <v>3742</v>
      </c>
      <c r="F71" s="58" t="s">
        <v>225</v>
      </c>
      <c r="G71" s="58" t="s">
        <v>3743</v>
      </c>
      <c r="H71" s="58" t="s">
        <v>3744</v>
      </c>
      <c r="I71" s="58" t="s">
        <v>3440</v>
      </c>
      <c r="J71" s="58" t="s">
        <v>3745</v>
      </c>
      <c r="K71" s="104"/>
      <c r="L71" s="58"/>
      <c r="M71" s="58"/>
      <c r="N71" s="58"/>
      <c r="O71" s="58"/>
      <c r="P71" s="58"/>
      <c r="Q71" s="58"/>
      <c r="R71" s="58"/>
      <c r="S71" s="58"/>
      <c r="T71" s="58"/>
      <c r="U71" s="58"/>
      <c r="V71" s="58"/>
      <c r="W71" s="77" t="s">
        <v>3741</v>
      </c>
      <c r="X71" s="58" t="s">
        <v>3695</v>
      </c>
      <c r="Y71" s="52"/>
      <c r="Z71" s="52"/>
      <c r="AA71" s="52"/>
      <c r="AB71" s="52"/>
      <c r="AC71" s="52"/>
    </row>
    <row r="72" customHeight="1" ht="87.0">
      <c r="A72" s="73">
        <v>60</v>
      </c>
      <c r="B72" s="116"/>
      <c r="C72" s="116" t="s">
        <v>3746</v>
      </c>
      <c r="D72" s="117" t="s">
        <v>3747</v>
      </c>
      <c r="E72" s="58" t="s">
        <v>3748</v>
      </c>
      <c r="F72" s="58" t="s">
        <v>203</v>
      </c>
      <c r="G72" s="58" t="s">
        <v>3749</v>
      </c>
      <c r="H72" s="58" t="s">
        <v>3750</v>
      </c>
      <c r="I72" s="58" t="s">
        <v>3440</v>
      </c>
      <c r="J72" s="58" t="s">
        <v>3751</v>
      </c>
      <c r="K72" s="74" t="s">
        <v>3752</v>
      </c>
      <c r="L72" s="58"/>
      <c r="M72" s="58"/>
      <c r="N72" s="58"/>
      <c r="O72" s="58"/>
      <c r="P72" s="58"/>
      <c r="Q72" s="58"/>
      <c r="R72" s="58"/>
      <c r="S72" s="58"/>
      <c r="T72" s="58"/>
      <c r="U72" s="58"/>
      <c r="V72" s="58"/>
      <c r="W72" s="105"/>
      <c r="X72" s="58" t="s">
        <v>3695</v>
      </c>
      <c r="Y72" s="52"/>
      <c r="Z72" s="52"/>
      <c r="AA72" s="52"/>
      <c r="AB72" s="52"/>
      <c r="AC72" s="52"/>
    </row>
    <row r="73" customHeight="1" ht="87.0">
      <c r="A73" s="73">
        <v>61</v>
      </c>
      <c r="B73" s="116"/>
      <c r="C73" s="116"/>
      <c r="D73" s="117" t="s">
        <v>3753</v>
      </c>
      <c r="E73" s="58" t="s">
        <v>3754</v>
      </c>
      <c r="F73" s="58" t="s">
        <v>210</v>
      </c>
      <c r="G73" s="58" t="s">
        <v>3755</v>
      </c>
      <c r="H73" s="58" t="s">
        <v>3756</v>
      </c>
      <c r="I73" s="58" t="s">
        <v>3440</v>
      </c>
      <c r="J73" s="58" t="s">
        <v>3757</v>
      </c>
      <c r="K73" s="104"/>
      <c r="L73" s="58"/>
      <c r="M73" s="58"/>
      <c r="N73" s="58"/>
      <c r="O73" s="58"/>
      <c r="P73" s="58"/>
      <c r="Q73" s="58"/>
      <c r="R73" s="58"/>
      <c r="S73" s="58"/>
      <c r="T73" s="58"/>
      <c r="U73" s="58"/>
      <c r="V73" s="58"/>
      <c r="W73" s="77" t="s">
        <v>3758</v>
      </c>
      <c r="X73" s="58" t="s">
        <v>3695</v>
      </c>
      <c r="Y73" s="52"/>
      <c r="Z73" s="52"/>
      <c r="AA73" s="52"/>
      <c r="AB73" s="52"/>
      <c r="AC73" s="52"/>
    </row>
    <row r="74" customHeight="1" ht="87.0">
      <c r="A74" s="73">
        <v>62</v>
      </c>
      <c r="B74" s="116"/>
      <c r="C74" s="116"/>
      <c r="D74" s="117" t="s">
        <v>3759</v>
      </c>
      <c r="E74" s="58" t="s">
        <v>3760</v>
      </c>
      <c r="F74" s="58" t="s">
        <v>203</v>
      </c>
      <c r="G74" s="58" t="s">
        <v>3761</v>
      </c>
      <c r="H74" s="58" t="s">
        <v>1600</v>
      </c>
      <c r="I74" s="58" t="s">
        <v>3440</v>
      </c>
      <c r="J74" s="58" t="s">
        <v>3762</v>
      </c>
      <c r="K74" s="74" t="s">
        <v>3763</v>
      </c>
      <c r="L74" s="58"/>
      <c r="M74" s="58"/>
      <c r="N74" s="58"/>
      <c r="O74" s="58"/>
      <c r="P74" s="58"/>
      <c r="Q74" s="58"/>
      <c r="R74" s="58"/>
      <c r="S74" s="58"/>
      <c r="T74" s="58"/>
      <c r="U74" s="58"/>
      <c r="V74" s="58"/>
      <c r="W74" s="77" t="s">
        <v>3758</v>
      </c>
      <c r="X74" s="58" t="s">
        <v>3695</v>
      </c>
      <c r="Y74" s="52"/>
      <c r="Z74" s="52"/>
      <c r="AA74" s="52"/>
      <c r="AB74" s="52"/>
      <c r="AC74" s="52"/>
    </row>
    <row r="75" customHeight="1" ht="87.0">
      <c r="A75" s="73">
        <v>63</v>
      </c>
      <c r="B75" s="116"/>
      <c r="C75" s="118"/>
      <c r="D75" s="117" t="s">
        <v>3764</v>
      </c>
      <c r="E75" s="58" t="s">
        <v>3765</v>
      </c>
      <c r="F75" s="58" t="s">
        <v>225</v>
      </c>
      <c r="G75" s="58" t="s">
        <v>3766</v>
      </c>
      <c r="H75" s="58" t="s">
        <v>3767</v>
      </c>
      <c r="I75" s="58" t="s">
        <v>3440</v>
      </c>
      <c r="J75" s="58" t="s">
        <v>3768</v>
      </c>
      <c r="K75" s="104"/>
      <c r="L75" s="58"/>
      <c r="M75" s="58"/>
      <c r="N75" s="58"/>
      <c r="O75" s="58"/>
      <c r="P75" s="58"/>
      <c r="Q75" s="58"/>
      <c r="R75" s="58"/>
      <c r="S75" s="58"/>
      <c r="T75" s="58"/>
      <c r="U75" s="58"/>
      <c r="V75" s="58"/>
      <c r="W75" s="77" t="s">
        <v>3769</v>
      </c>
      <c r="X75" s="58" t="s">
        <v>3695</v>
      </c>
      <c r="Y75" s="52"/>
      <c r="Z75" s="52"/>
      <c r="AA75" s="52"/>
      <c r="AB75" s="52"/>
      <c r="AC75" s="52"/>
    </row>
    <row r="76" customHeight="1" ht="87.0">
      <c r="A76" s="73">
        <v>64</v>
      </c>
      <c r="B76" s="116"/>
      <c r="C76" s="116" t="s">
        <v>3770</v>
      </c>
      <c r="D76" s="117" t="s">
        <v>3771</v>
      </c>
      <c r="E76" s="58" t="s">
        <v>3772</v>
      </c>
      <c r="F76" s="58" t="s">
        <v>210</v>
      </c>
      <c r="G76" s="58" t="s">
        <v>3773</v>
      </c>
      <c r="H76" s="58" t="s">
        <v>3774</v>
      </c>
      <c r="I76" s="58" t="s">
        <v>3440</v>
      </c>
      <c r="J76" s="58" t="s">
        <v>3775</v>
      </c>
      <c r="K76" s="74" t="s">
        <v>3776</v>
      </c>
      <c r="L76" s="58"/>
      <c r="M76" s="58"/>
      <c r="N76" s="58"/>
      <c r="O76" s="58"/>
      <c r="P76" s="58"/>
      <c r="Q76" s="58"/>
      <c r="R76" s="58"/>
      <c r="S76" s="58"/>
      <c r="T76" s="58"/>
      <c r="U76" s="58"/>
      <c r="V76" s="58"/>
      <c r="W76" s="105"/>
      <c r="X76" s="58" t="s">
        <v>3695</v>
      </c>
      <c r="Y76" s="52"/>
      <c r="Z76" s="52"/>
      <c r="AA76" s="52"/>
      <c r="AB76" s="52"/>
      <c r="AC76" s="52"/>
    </row>
    <row r="77" customHeight="1" ht="87.0">
      <c r="A77" s="73">
        <v>65</v>
      </c>
      <c r="B77" s="116"/>
      <c r="C77" s="118"/>
      <c r="D77" s="117" t="s">
        <v>3777</v>
      </c>
      <c r="E77" s="58" t="s">
        <v>3778</v>
      </c>
      <c r="F77" s="58" t="s">
        <v>210</v>
      </c>
      <c r="G77" s="58" t="s">
        <v>3779</v>
      </c>
      <c r="H77" s="58" t="s">
        <v>3780</v>
      </c>
      <c r="I77" s="58" t="s">
        <v>3440</v>
      </c>
      <c r="J77" s="58" t="s">
        <v>3781</v>
      </c>
      <c r="K77" s="104"/>
      <c r="L77" s="58"/>
      <c r="M77" s="58"/>
      <c r="N77" s="58"/>
      <c r="O77" s="58"/>
      <c r="P77" s="58"/>
      <c r="Q77" s="58"/>
      <c r="R77" s="58"/>
      <c r="S77" s="58"/>
      <c r="T77" s="58"/>
      <c r="U77" s="58"/>
      <c r="V77" s="58"/>
      <c r="W77" s="77" t="s">
        <v>3782</v>
      </c>
      <c r="X77" s="58" t="s">
        <v>3695</v>
      </c>
      <c r="Y77" s="52"/>
      <c r="Z77" s="52"/>
      <c r="AA77" s="52"/>
      <c r="AB77" s="52"/>
      <c r="AC77" s="52"/>
    </row>
    <row r="78" customHeight="1" ht="100.5">
      <c r="A78" s="73">
        <v>66</v>
      </c>
      <c r="B78" s="116"/>
      <c r="C78" s="117" t="s">
        <v>3783</v>
      </c>
      <c r="D78" s="117" t="s">
        <v>1183</v>
      </c>
      <c r="E78" s="58" t="s">
        <v>3784</v>
      </c>
      <c r="F78" s="58" t="s">
        <v>210</v>
      </c>
      <c r="G78" s="58" t="s">
        <v>3785</v>
      </c>
      <c r="H78" s="58" t="s">
        <v>3786</v>
      </c>
      <c r="I78" s="58" t="s">
        <v>3440</v>
      </c>
      <c r="J78" s="58" t="s">
        <v>3787</v>
      </c>
      <c r="K78" s="74" t="s">
        <v>3788</v>
      </c>
      <c r="L78" s="58"/>
      <c r="M78" s="58"/>
      <c r="N78" s="58"/>
      <c r="O78" s="58"/>
      <c r="P78" s="58"/>
      <c r="Q78" s="58"/>
      <c r="R78" s="58"/>
      <c r="S78" s="58"/>
      <c r="T78" s="58"/>
      <c r="U78" s="58"/>
      <c r="V78" s="58"/>
      <c r="W78" s="77" t="s">
        <v>3789</v>
      </c>
      <c r="X78" s="58" t="s">
        <v>3695</v>
      </c>
      <c r="Y78" s="52"/>
      <c r="Z78" s="52"/>
      <c r="AA78" s="52"/>
      <c r="AB78" s="52"/>
      <c r="AC78" s="52"/>
    </row>
    <row r="79" customHeight="1" ht="87.0">
      <c r="A79" s="73">
        <v>67</v>
      </c>
      <c r="B79" s="116"/>
      <c r="C79" s="116" t="s">
        <v>3790</v>
      </c>
      <c r="D79" s="117" t="s">
        <v>3791</v>
      </c>
      <c r="E79" s="58" t="s">
        <v>622</v>
      </c>
      <c r="F79" s="58" t="s">
        <v>210</v>
      </c>
      <c r="G79" s="58" t="s">
        <v>3792</v>
      </c>
      <c r="H79" s="58" t="s">
        <v>3793</v>
      </c>
      <c r="I79" s="58" t="s">
        <v>3440</v>
      </c>
      <c r="J79" s="58" t="s">
        <v>3794</v>
      </c>
      <c r="K79" s="74" t="s">
        <v>3795</v>
      </c>
      <c r="L79" s="58"/>
      <c r="M79" s="58"/>
      <c r="N79" s="58"/>
      <c r="O79" s="58"/>
      <c r="P79" s="58"/>
      <c r="Q79" s="58"/>
      <c r="R79" s="58"/>
      <c r="S79" s="58"/>
      <c r="T79" s="58"/>
      <c r="U79" s="58"/>
      <c r="V79" s="58"/>
      <c r="W79" s="105"/>
      <c r="X79" s="58" t="s">
        <v>3695</v>
      </c>
      <c r="Y79" s="52"/>
      <c r="Z79" s="52"/>
      <c r="AA79" s="52"/>
      <c r="AB79" s="52"/>
      <c r="AC79" s="52"/>
    </row>
    <row r="80" customHeight="1" ht="87.0">
      <c r="A80" s="73">
        <v>68</v>
      </c>
      <c r="B80" s="116"/>
      <c r="C80" s="118"/>
      <c r="D80" s="117" t="s">
        <v>3796</v>
      </c>
      <c r="E80" s="58" t="s">
        <v>3797</v>
      </c>
      <c r="F80" s="58" t="s">
        <v>225</v>
      </c>
      <c r="G80" s="58" t="s">
        <v>3798</v>
      </c>
      <c r="H80" s="58" t="s">
        <v>3799</v>
      </c>
      <c r="I80" s="58" t="s">
        <v>3440</v>
      </c>
      <c r="J80" s="58" t="s">
        <v>3800</v>
      </c>
      <c r="K80" s="74" t="s">
        <v>3795</v>
      </c>
      <c r="L80" s="58"/>
      <c r="M80" s="58"/>
      <c r="N80" s="58"/>
      <c r="O80" s="58"/>
      <c r="P80" s="58"/>
      <c r="Q80" s="58"/>
      <c r="R80" s="58"/>
      <c r="S80" s="58"/>
      <c r="T80" s="58"/>
      <c r="U80" s="58"/>
      <c r="V80" s="58"/>
      <c r="W80" s="105"/>
      <c r="X80" s="58" t="s">
        <v>3695</v>
      </c>
      <c r="Y80" s="52"/>
      <c r="Z80" s="52"/>
      <c r="AA80" s="52"/>
      <c r="AB80" s="52"/>
      <c r="AC80" s="52"/>
    </row>
    <row r="81" customHeight="1" ht="87.0">
      <c r="A81" s="73">
        <v>69</v>
      </c>
      <c r="B81" s="116"/>
      <c r="C81" s="116" t="s">
        <v>3801</v>
      </c>
      <c r="D81" s="117" t="s">
        <v>3703</v>
      </c>
      <c r="E81" s="58" t="s">
        <v>3802</v>
      </c>
      <c r="F81" s="58" t="s">
        <v>203</v>
      </c>
      <c r="G81" s="58" t="s">
        <v>3803</v>
      </c>
      <c r="H81" s="58" t="s">
        <v>3804</v>
      </c>
      <c r="I81" s="58" t="s">
        <v>3440</v>
      </c>
      <c r="J81" s="58" t="s">
        <v>3805</v>
      </c>
      <c r="K81" s="74" t="s">
        <v>3806</v>
      </c>
      <c r="L81" s="58"/>
      <c r="M81" s="58"/>
      <c r="N81" s="58"/>
      <c r="O81" s="58"/>
      <c r="P81" s="58"/>
      <c r="Q81" s="58"/>
      <c r="R81" s="58"/>
      <c r="S81" s="58"/>
      <c r="T81" s="58"/>
      <c r="U81" s="58"/>
      <c r="V81" s="58"/>
      <c r="W81" s="105"/>
      <c r="X81" s="58" t="s">
        <v>3695</v>
      </c>
      <c r="Y81" s="52"/>
      <c r="Z81" s="52"/>
      <c r="AA81" s="52"/>
      <c r="AB81" s="52"/>
      <c r="AC81" s="52"/>
    </row>
    <row r="82" customHeight="1" ht="127.5">
      <c r="A82" s="73">
        <v>70</v>
      </c>
      <c r="B82" s="116"/>
      <c r="C82" s="116"/>
      <c r="D82" s="117" t="s">
        <v>3807</v>
      </c>
      <c r="E82" s="58" t="s">
        <v>3808</v>
      </c>
      <c r="F82" s="58" t="s">
        <v>203</v>
      </c>
      <c r="G82" s="58" t="s">
        <v>3809</v>
      </c>
      <c r="H82" s="58" t="s">
        <v>3810</v>
      </c>
      <c r="I82" s="58" t="s">
        <v>3440</v>
      </c>
      <c r="J82" s="58" t="s">
        <v>3811</v>
      </c>
      <c r="K82" s="74" t="s">
        <v>3812</v>
      </c>
      <c r="L82" s="58"/>
      <c r="M82" s="58"/>
      <c r="N82" s="58"/>
      <c r="O82" s="58"/>
      <c r="P82" s="58"/>
      <c r="Q82" s="58"/>
      <c r="R82" s="58"/>
      <c r="S82" s="58"/>
      <c r="T82" s="58"/>
      <c r="U82" s="58"/>
      <c r="V82" s="58"/>
      <c r="W82" s="105"/>
      <c r="X82" s="58" t="s">
        <v>3443</v>
      </c>
      <c r="Y82" s="52"/>
      <c r="Z82" s="52"/>
      <c r="AA82" s="52"/>
      <c r="AB82" s="52"/>
      <c r="AC82" s="52"/>
    </row>
    <row r="83" customHeight="1" ht="87.0">
      <c r="A83" s="73">
        <v>71</v>
      </c>
      <c r="B83" s="116"/>
      <c r="C83" s="116"/>
      <c r="D83" s="117" t="s">
        <v>3813</v>
      </c>
      <c r="E83" s="58" t="s">
        <v>3814</v>
      </c>
      <c r="F83" s="58" t="s">
        <v>203</v>
      </c>
      <c r="G83" s="58" t="s">
        <v>3815</v>
      </c>
      <c r="H83" s="58" t="s">
        <v>3816</v>
      </c>
      <c r="I83" s="58" t="s">
        <v>3440</v>
      </c>
      <c r="J83" s="58" t="s">
        <v>3817</v>
      </c>
      <c r="K83" s="74" t="s">
        <v>3818</v>
      </c>
      <c r="L83" s="58"/>
      <c r="M83" s="58"/>
      <c r="N83" s="58"/>
      <c r="O83" s="58"/>
      <c r="P83" s="58"/>
      <c r="Q83" s="58"/>
      <c r="R83" s="58"/>
      <c r="S83" s="58"/>
      <c r="T83" s="58"/>
      <c r="U83" s="58"/>
      <c r="V83" s="58"/>
      <c r="W83" s="105"/>
      <c r="X83" s="58" t="s">
        <v>3819</v>
      </c>
      <c r="Y83" s="52"/>
      <c r="Z83" s="52"/>
      <c r="AA83" s="52"/>
      <c r="AB83" s="52"/>
      <c r="AC83" s="52"/>
    </row>
    <row r="84" customHeight="1" ht="87.0">
      <c r="A84" s="73">
        <v>72</v>
      </c>
      <c r="B84" s="116"/>
      <c r="C84" s="116"/>
      <c r="D84" s="117" t="s">
        <v>3820</v>
      </c>
      <c r="E84" s="58" t="s">
        <v>3821</v>
      </c>
      <c r="F84" s="58" t="s">
        <v>203</v>
      </c>
      <c r="G84" s="58" t="s">
        <v>3822</v>
      </c>
      <c r="H84" s="58" t="s">
        <v>3823</v>
      </c>
      <c r="I84" s="58" t="s">
        <v>3440</v>
      </c>
      <c r="J84" s="58" t="s">
        <v>3824</v>
      </c>
      <c r="K84" s="74" t="s">
        <v>3825</v>
      </c>
      <c r="L84" s="58"/>
      <c r="M84" s="58"/>
      <c r="N84" s="58"/>
      <c r="O84" s="58"/>
      <c r="P84" s="58"/>
      <c r="Q84" s="58"/>
      <c r="R84" s="58"/>
      <c r="S84" s="58"/>
      <c r="T84" s="58"/>
      <c r="U84" s="58"/>
      <c r="V84" s="58"/>
      <c r="W84" s="105"/>
      <c r="X84" s="58" t="s">
        <v>3408</v>
      </c>
      <c r="Y84" s="52"/>
      <c r="Z84" s="52"/>
      <c r="AA84" s="52"/>
      <c r="AB84" s="52"/>
      <c r="AC84" s="52"/>
    </row>
    <row r="85" customHeight="1" ht="87.0">
      <c r="A85" s="73">
        <v>73</v>
      </c>
      <c r="B85" s="116"/>
      <c r="C85" s="118"/>
      <c r="D85" s="117" t="s">
        <v>3783</v>
      </c>
      <c r="E85" s="58" t="s">
        <v>3826</v>
      </c>
      <c r="F85" s="58" t="s">
        <v>203</v>
      </c>
      <c r="G85" s="58" t="s">
        <v>3827</v>
      </c>
      <c r="H85" s="58" t="s">
        <v>3828</v>
      </c>
      <c r="I85" s="58" t="s">
        <v>3440</v>
      </c>
      <c r="J85" s="58" t="s">
        <v>3829</v>
      </c>
      <c r="K85" s="74" t="s">
        <v>3830</v>
      </c>
      <c r="L85" s="58"/>
      <c r="M85" s="58"/>
      <c r="N85" s="58"/>
      <c r="O85" s="58"/>
      <c r="P85" s="58"/>
      <c r="Q85" s="58"/>
      <c r="R85" s="58"/>
      <c r="S85" s="58"/>
      <c r="T85" s="58"/>
      <c r="U85" s="58"/>
      <c r="V85" s="58"/>
      <c r="W85" s="105"/>
      <c r="X85" s="58" t="s">
        <v>3695</v>
      </c>
      <c r="Y85" s="52"/>
      <c r="Z85" s="52"/>
      <c r="AA85" s="52"/>
      <c r="AB85" s="52"/>
      <c r="AC85" s="52"/>
    </row>
    <row r="86" customHeight="1" ht="141.0">
      <c r="A86" s="73">
        <v>74</v>
      </c>
      <c r="B86" s="116"/>
      <c r="C86" s="116" t="s">
        <v>3831</v>
      </c>
      <c r="D86" s="117" t="s">
        <v>3832</v>
      </c>
      <c r="E86" s="58" t="s">
        <v>3833</v>
      </c>
      <c r="F86" s="58" t="s">
        <v>203</v>
      </c>
      <c r="G86" s="58" t="s">
        <v>3834</v>
      </c>
      <c r="H86" s="58" t="s">
        <v>3835</v>
      </c>
      <c r="I86" s="58" t="s">
        <v>3440</v>
      </c>
      <c r="J86" s="58" t="s">
        <v>3836</v>
      </c>
      <c r="K86" s="74" t="s">
        <v>3837</v>
      </c>
      <c r="L86" s="58"/>
      <c r="M86" s="58"/>
      <c r="N86" s="58"/>
      <c r="O86" s="58"/>
      <c r="P86" s="58"/>
      <c r="Q86" s="58"/>
      <c r="R86" s="58"/>
      <c r="S86" s="58"/>
      <c r="T86" s="58"/>
      <c r="U86" s="58"/>
      <c r="V86" s="58"/>
      <c r="W86" s="77" t="s">
        <v>3838</v>
      </c>
      <c r="X86" s="58" t="s">
        <v>3443</v>
      </c>
      <c r="Y86" s="52"/>
      <c r="Z86" s="52"/>
      <c r="AA86" s="52"/>
      <c r="AB86" s="52"/>
      <c r="AC86" s="52"/>
    </row>
    <row r="87" customHeight="1" ht="141.0">
      <c r="A87" s="73">
        <v>75</v>
      </c>
      <c r="B87" s="116"/>
      <c r="C87" s="116"/>
      <c r="D87" s="117" t="s">
        <v>75</v>
      </c>
      <c r="E87" s="58" t="s">
        <v>3839</v>
      </c>
      <c r="F87" s="58" t="s">
        <v>203</v>
      </c>
      <c r="G87" s="58" t="s">
        <v>3840</v>
      </c>
      <c r="H87" s="58" t="s">
        <v>3841</v>
      </c>
      <c r="I87" s="58" t="s">
        <v>3440</v>
      </c>
      <c r="J87" s="58" t="s">
        <v>3842</v>
      </c>
      <c r="K87" s="74" t="s">
        <v>3843</v>
      </c>
      <c r="L87" s="58"/>
      <c r="M87" s="58"/>
      <c r="N87" s="58"/>
      <c r="O87" s="58"/>
      <c r="P87" s="58"/>
      <c r="Q87" s="58"/>
      <c r="R87" s="58"/>
      <c r="S87" s="58"/>
      <c r="T87" s="58"/>
      <c r="U87" s="58"/>
      <c r="V87" s="58"/>
      <c r="W87" s="77" t="s">
        <v>3838</v>
      </c>
      <c r="X87" s="58" t="s">
        <v>3443</v>
      </c>
      <c r="Y87" s="52"/>
      <c r="Z87" s="52"/>
      <c r="AA87" s="52"/>
      <c r="AB87" s="52"/>
      <c r="AC87" s="52"/>
    </row>
    <row r="88" customHeight="1" ht="141.0">
      <c r="A88" s="73">
        <v>76</v>
      </c>
      <c r="B88" s="116"/>
      <c r="C88" s="116"/>
      <c r="D88" s="117" t="s">
        <v>3844</v>
      </c>
      <c r="E88" s="58" t="s">
        <v>3845</v>
      </c>
      <c r="F88" s="58" t="s">
        <v>210</v>
      </c>
      <c r="G88" s="58" t="s">
        <v>3846</v>
      </c>
      <c r="H88" s="58" t="s">
        <v>3847</v>
      </c>
      <c r="I88" s="58" t="s">
        <v>3440</v>
      </c>
      <c r="J88" s="58" t="s">
        <v>3848</v>
      </c>
      <c r="K88" s="74" t="s">
        <v>3849</v>
      </c>
      <c r="L88" s="58"/>
      <c r="M88" s="58"/>
      <c r="N88" s="58"/>
      <c r="O88" s="58"/>
      <c r="P88" s="58"/>
      <c r="Q88" s="58"/>
      <c r="R88" s="58"/>
      <c r="S88" s="58"/>
      <c r="T88" s="58"/>
      <c r="U88" s="58"/>
      <c r="V88" s="58"/>
      <c r="W88" s="77" t="s">
        <v>3838</v>
      </c>
      <c r="X88" s="58" t="s">
        <v>3443</v>
      </c>
      <c r="Y88" s="52"/>
      <c r="Z88" s="52"/>
      <c r="AA88" s="52"/>
      <c r="AB88" s="52"/>
      <c r="AC88" s="52"/>
    </row>
    <row r="89" customHeight="1" ht="100.5">
      <c r="A89" s="73">
        <v>77</v>
      </c>
      <c r="B89" s="118"/>
      <c r="C89" s="118"/>
      <c r="D89" s="117" t="s">
        <v>3850</v>
      </c>
      <c r="E89" s="58" t="s">
        <v>3851</v>
      </c>
      <c r="F89" s="58" t="s">
        <v>210</v>
      </c>
      <c r="G89" s="58" t="s">
        <v>3852</v>
      </c>
      <c r="H89" s="58" t="s">
        <v>3853</v>
      </c>
      <c r="I89" s="58" t="s">
        <v>3854</v>
      </c>
      <c r="J89" s="58" t="s">
        <v>3855</v>
      </c>
      <c r="K89" s="104"/>
      <c r="L89" s="58"/>
      <c r="M89" s="58"/>
      <c r="N89" s="58"/>
      <c r="O89" s="58"/>
      <c r="P89" s="58"/>
      <c r="Q89" s="58"/>
      <c r="R89" s="58"/>
      <c r="S89" s="58"/>
      <c r="T89" s="58"/>
      <c r="U89" s="58"/>
      <c r="V89" s="58"/>
      <c r="W89" s="77" t="s">
        <v>3856</v>
      </c>
      <c r="X89" s="58" t="s">
        <v>3695</v>
      </c>
      <c r="Y89" s="52"/>
      <c r="Z89" s="52"/>
      <c r="AA89" s="52"/>
      <c r="AB89" s="52"/>
      <c r="AC89" s="52"/>
    </row>
    <row r="90" customHeight="1" ht="154.5">
      <c r="A90" s="73">
        <v>78</v>
      </c>
      <c r="B90" s="116" t="s">
        <v>3857</v>
      </c>
      <c r="C90" s="116" t="s">
        <v>3689</v>
      </c>
      <c r="D90" s="117" t="s">
        <v>2259</v>
      </c>
      <c r="E90" s="58" t="s">
        <v>3858</v>
      </c>
      <c r="F90" s="58" t="s">
        <v>203</v>
      </c>
      <c r="G90" s="58" t="s">
        <v>3859</v>
      </c>
      <c r="H90" s="58" t="s">
        <v>3860</v>
      </c>
      <c r="I90" s="58" t="s">
        <v>3861</v>
      </c>
      <c r="J90" s="58" t="s">
        <v>3862</v>
      </c>
      <c r="K90" s="74" t="s">
        <v>3863</v>
      </c>
      <c r="L90" s="58"/>
      <c r="M90" s="58"/>
      <c r="N90" s="58"/>
      <c r="O90" s="58"/>
      <c r="P90" s="58"/>
      <c r="Q90" s="58"/>
      <c r="R90" s="58"/>
      <c r="S90" s="58"/>
      <c r="T90" s="58"/>
      <c r="U90" s="58"/>
      <c r="V90" s="58"/>
      <c r="W90" s="105"/>
      <c r="X90" s="58" t="s">
        <v>3864</v>
      </c>
      <c r="Y90" s="52"/>
      <c r="Z90" s="52"/>
      <c r="AA90" s="52"/>
      <c r="AB90" s="52"/>
      <c r="AC90" s="52"/>
    </row>
    <row r="91" customHeight="1" ht="100.5">
      <c r="A91" s="73">
        <v>79</v>
      </c>
      <c r="B91" s="116"/>
      <c r="C91" s="116"/>
      <c r="D91" s="116" t="s">
        <v>3865</v>
      </c>
      <c r="E91" s="58" t="s">
        <v>3866</v>
      </c>
      <c r="F91" s="58" t="s">
        <v>210</v>
      </c>
      <c r="G91" s="58" t="s">
        <v>3867</v>
      </c>
      <c r="H91" s="58" t="s">
        <v>3868</v>
      </c>
      <c r="I91" s="58" t="s">
        <v>3869</v>
      </c>
      <c r="J91" s="58" t="s">
        <v>3862</v>
      </c>
      <c r="K91" s="74" t="s">
        <v>3870</v>
      </c>
      <c r="L91" s="58"/>
      <c r="M91" s="58"/>
      <c r="N91" s="58"/>
      <c r="O91" s="58"/>
      <c r="P91" s="58"/>
      <c r="Q91" s="58"/>
      <c r="R91" s="58"/>
      <c r="S91" s="58"/>
      <c r="T91" s="58"/>
      <c r="U91" s="58"/>
      <c r="V91" s="58"/>
      <c r="W91" s="105"/>
      <c r="X91" s="58" t="s">
        <v>3864</v>
      </c>
      <c r="Y91" s="52"/>
      <c r="Z91" s="52"/>
      <c r="AA91" s="52"/>
      <c r="AB91" s="52"/>
      <c r="AC91" s="52"/>
    </row>
    <row r="92" customHeight="1" ht="100.5">
      <c r="A92" s="73">
        <v>80</v>
      </c>
      <c r="B92" s="116"/>
      <c r="C92" s="116"/>
      <c r="D92" s="116"/>
      <c r="E92" s="58" t="s">
        <v>3871</v>
      </c>
      <c r="F92" s="58" t="s">
        <v>203</v>
      </c>
      <c r="G92" s="58" t="s">
        <v>3872</v>
      </c>
      <c r="H92" s="58" t="s">
        <v>3873</v>
      </c>
      <c r="I92" s="58" t="s">
        <v>3869</v>
      </c>
      <c r="J92" s="58" t="s">
        <v>3874</v>
      </c>
      <c r="K92" s="74" t="s">
        <v>3875</v>
      </c>
      <c r="L92" s="58"/>
      <c r="M92" s="58"/>
      <c r="N92" s="58"/>
      <c r="O92" s="58"/>
      <c r="P92" s="58"/>
      <c r="Q92" s="58"/>
      <c r="R92" s="58"/>
      <c r="S92" s="58"/>
      <c r="T92" s="58"/>
      <c r="U92" s="58"/>
      <c r="V92" s="58"/>
      <c r="W92" s="105"/>
      <c r="X92" s="58" t="s">
        <v>3864</v>
      </c>
      <c r="Y92" s="52"/>
      <c r="Z92" s="52"/>
      <c r="AA92" s="52"/>
      <c r="AB92" s="52"/>
      <c r="AC92" s="52"/>
    </row>
    <row r="93" customHeight="1" ht="87.0">
      <c r="A93" s="73">
        <v>81</v>
      </c>
      <c r="B93" s="116"/>
      <c r="C93" s="118"/>
      <c r="D93" s="118"/>
      <c r="E93" s="58" t="s">
        <v>3876</v>
      </c>
      <c r="F93" s="58" t="s">
        <v>210</v>
      </c>
      <c r="G93" s="58" t="s">
        <v>3877</v>
      </c>
      <c r="H93" s="58" t="s">
        <v>3878</v>
      </c>
      <c r="I93" s="58" t="s">
        <v>3879</v>
      </c>
      <c r="J93" s="58" t="s">
        <v>3880</v>
      </c>
      <c r="K93" s="104"/>
      <c r="L93" s="58"/>
      <c r="M93" s="58"/>
      <c r="N93" s="58"/>
      <c r="O93" s="58"/>
      <c r="P93" s="58"/>
      <c r="Q93" s="58"/>
      <c r="R93" s="58"/>
      <c r="S93" s="58"/>
      <c r="T93" s="58"/>
      <c r="U93" s="58"/>
      <c r="V93" s="58"/>
      <c r="W93" s="77" t="s">
        <v>3881</v>
      </c>
      <c r="X93" s="58" t="s">
        <v>3864</v>
      </c>
      <c r="Y93" s="52"/>
      <c r="Z93" s="52"/>
      <c r="AA93" s="52"/>
      <c r="AB93" s="52"/>
      <c r="AC93" s="52"/>
    </row>
    <row r="94" customHeight="1" ht="127.5">
      <c r="A94" s="73">
        <v>82</v>
      </c>
      <c r="B94" s="116"/>
      <c r="C94" s="117" t="s">
        <v>3882</v>
      </c>
      <c r="D94" s="117" t="s">
        <v>3521</v>
      </c>
      <c r="E94" s="58" t="s">
        <v>3883</v>
      </c>
      <c r="F94" s="58" t="s">
        <v>210</v>
      </c>
      <c r="G94" s="58" t="s">
        <v>3884</v>
      </c>
      <c r="H94" s="58" t="s">
        <v>3885</v>
      </c>
      <c r="I94" s="58" t="s">
        <v>3886</v>
      </c>
      <c r="J94" s="58" t="s">
        <v>3887</v>
      </c>
      <c r="K94" s="74" t="s">
        <v>3888</v>
      </c>
      <c r="L94" s="58"/>
      <c r="M94" s="58"/>
      <c r="N94" s="58"/>
      <c r="O94" s="58"/>
      <c r="P94" s="58"/>
      <c r="Q94" s="58"/>
      <c r="R94" s="58"/>
      <c r="S94" s="58"/>
      <c r="T94" s="58"/>
      <c r="U94" s="58"/>
      <c r="V94" s="58"/>
      <c r="W94" s="77" t="s">
        <v>3889</v>
      </c>
      <c r="X94" s="58" t="s">
        <v>3864</v>
      </c>
      <c r="Y94" s="52"/>
      <c r="Z94" s="52"/>
      <c r="AA94" s="52"/>
      <c r="AB94" s="52"/>
      <c r="AC94" s="52"/>
    </row>
    <row r="95" customHeight="1" ht="100.5">
      <c r="A95" s="73">
        <v>83</v>
      </c>
      <c r="B95" s="116"/>
      <c r="C95" s="116" t="s">
        <v>3890</v>
      </c>
      <c r="D95" s="117" t="s">
        <v>3891</v>
      </c>
      <c r="E95" s="58" t="s">
        <v>3892</v>
      </c>
      <c r="F95" s="58" t="s">
        <v>210</v>
      </c>
      <c r="G95" s="58" t="s">
        <v>3893</v>
      </c>
      <c r="H95" s="58" t="s">
        <v>3894</v>
      </c>
      <c r="I95" s="58" t="s">
        <v>3895</v>
      </c>
      <c r="J95" s="58" t="s">
        <v>3862</v>
      </c>
      <c r="K95" s="104"/>
      <c r="L95" s="58"/>
      <c r="M95" s="58"/>
      <c r="N95" s="58"/>
      <c r="O95" s="58"/>
      <c r="P95" s="58"/>
      <c r="Q95" s="58"/>
      <c r="R95" s="58"/>
      <c r="S95" s="58"/>
      <c r="T95" s="58"/>
      <c r="U95" s="58"/>
      <c r="V95" s="58"/>
      <c r="W95" s="77" t="s">
        <v>3896</v>
      </c>
      <c r="X95" s="58" t="s">
        <v>3864</v>
      </c>
      <c r="Y95" s="52"/>
      <c r="Z95" s="52"/>
      <c r="AA95" s="52"/>
      <c r="AB95" s="52"/>
      <c r="AC95" s="52"/>
    </row>
    <row r="96" customHeight="1" ht="154.5">
      <c r="A96" s="73">
        <v>84</v>
      </c>
      <c r="B96" s="116"/>
      <c r="C96" s="116"/>
      <c r="D96" s="117" t="s">
        <v>3897</v>
      </c>
      <c r="E96" s="58" t="s">
        <v>3898</v>
      </c>
      <c r="F96" s="58" t="s">
        <v>203</v>
      </c>
      <c r="G96" s="58" t="s">
        <v>3899</v>
      </c>
      <c r="H96" s="58" t="s">
        <v>3900</v>
      </c>
      <c r="I96" s="58" t="s">
        <v>3901</v>
      </c>
      <c r="J96" s="58" t="s">
        <v>3862</v>
      </c>
      <c r="K96" s="104"/>
      <c r="L96" s="58"/>
      <c r="M96" s="58"/>
      <c r="N96" s="58"/>
      <c r="O96" s="58"/>
      <c r="P96" s="58"/>
      <c r="Q96" s="58"/>
      <c r="R96" s="58"/>
      <c r="S96" s="58"/>
      <c r="T96" s="58"/>
      <c r="U96" s="58"/>
      <c r="V96" s="58"/>
      <c r="W96" s="77" t="s">
        <v>3902</v>
      </c>
      <c r="X96" s="58" t="s">
        <v>3864</v>
      </c>
      <c r="Y96" s="52"/>
      <c r="Z96" s="52"/>
      <c r="AA96" s="52"/>
      <c r="AB96" s="52"/>
      <c r="AC96" s="52"/>
    </row>
    <row r="97" customHeight="1" ht="127.5">
      <c r="A97" s="73">
        <v>85</v>
      </c>
      <c r="B97" s="116"/>
      <c r="C97" s="116"/>
      <c r="D97" s="117" t="s">
        <v>3903</v>
      </c>
      <c r="E97" s="58" t="s">
        <v>3904</v>
      </c>
      <c r="F97" s="58" t="s">
        <v>203</v>
      </c>
      <c r="G97" s="58" t="s">
        <v>3905</v>
      </c>
      <c r="H97" s="58" t="s">
        <v>3906</v>
      </c>
      <c r="I97" s="58" t="s">
        <v>3907</v>
      </c>
      <c r="J97" s="58" t="s">
        <v>3862</v>
      </c>
      <c r="K97" s="74" t="s">
        <v>3908</v>
      </c>
      <c r="L97" s="58"/>
      <c r="M97" s="58"/>
      <c r="N97" s="58"/>
      <c r="O97" s="58"/>
      <c r="P97" s="58"/>
      <c r="Q97" s="58"/>
      <c r="R97" s="58"/>
      <c r="S97" s="58"/>
      <c r="T97" s="58"/>
      <c r="U97" s="58"/>
      <c r="V97" s="58"/>
      <c r="W97" s="105"/>
      <c r="X97" s="58" t="s">
        <v>3864</v>
      </c>
      <c r="Y97" s="52"/>
      <c r="Z97" s="52"/>
      <c r="AA97" s="52"/>
      <c r="AB97" s="52"/>
      <c r="AC97" s="52"/>
    </row>
    <row r="98" customHeight="1" ht="87.0">
      <c r="A98" s="73">
        <v>86</v>
      </c>
      <c r="B98" s="116"/>
      <c r="C98" s="118"/>
      <c r="D98" s="117" t="s">
        <v>953</v>
      </c>
      <c r="E98" s="58" t="s">
        <v>3909</v>
      </c>
      <c r="F98" s="58" t="s">
        <v>210</v>
      </c>
      <c r="G98" s="58" t="s">
        <v>3910</v>
      </c>
      <c r="H98" s="58" t="s">
        <v>3911</v>
      </c>
      <c r="I98" s="58" t="s">
        <v>3440</v>
      </c>
      <c r="J98" s="58" t="s">
        <v>3912</v>
      </c>
      <c r="K98" s="74" t="s">
        <v>3913</v>
      </c>
      <c r="L98" s="58"/>
      <c r="M98" s="58"/>
      <c r="N98" s="58"/>
      <c r="O98" s="58"/>
      <c r="P98" s="58"/>
      <c r="Q98" s="58"/>
      <c r="R98" s="58"/>
      <c r="S98" s="58"/>
      <c r="T98" s="58"/>
      <c r="U98" s="58"/>
      <c r="V98" s="58"/>
      <c r="W98" s="77" t="s">
        <v>3914</v>
      </c>
      <c r="X98" s="58" t="s">
        <v>3864</v>
      </c>
      <c r="Y98" s="52"/>
      <c r="Z98" s="52"/>
      <c r="AA98" s="52"/>
      <c r="AB98" s="52"/>
      <c r="AC98" s="52"/>
    </row>
    <row r="99" customHeight="1" ht="100.5">
      <c r="A99" s="73">
        <v>87</v>
      </c>
      <c r="B99" s="116"/>
      <c r="C99" s="117" t="s">
        <v>3790</v>
      </c>
      <c r="D99" s="117" t="s">
        <v>3791</v>
      </c>
      <c r="E99" s="58" t="s">
        <v>622</v>
      </c>
      <c r="F99" s="58" t="s">
        <v>225</v>
      </c>
      <c r="G99" s="58" t="s">
        <v>3915</v>
      </c>
      <c r="H99" s="58" t="s">
        <v>3916</v>
      </c>
      <c r="I99" s="58" t="s">
        <v>3869</v>
      </c>
      <c r="J99" s="58" t="s">
        <v>3917</v>
      </c>
      <c r="K99" s="74" t="s">
        <v>3918</v>
      </c>
      <c r="L99" s="58"/>
      <c r="M99" s="58"/>
      <c r="N99" s="58"/>
      <c r="O99" s="58"/>
      <c r="P99" s="58"/>
      <c r="Q99" s="58"/>
      <c r="R99" s="58"/>
      <c r="S99" s="58"/>
      <c r="T99" s="58"/>
      <c r="U99" s="58"/>
      <c r="V99" s="58"/>
      <c r="W99" s="105"/>
      <c r="X99" s="58" t="s">
        <v>3864</v>
      </c>
      <c r="Y99" s="52"/>
      <c r="Z99" s="52"/>
      <c r="AA99" s="52"/>
      <c r="AB99" s="52"/>
      <c r="AC99" s="52"/>
    </row>
    <row r="100" customHeight="1" ht="114.0">
      <c r="A100" s="73">
        <v>88</v>
      </c>
      <c r="B100" s="116"/>
      <c r="C100" s="116" t="s">
        <v>3919</v>
      </c>
      <c r="D100" s="117" t="s">
        <v>3920</v>
      </c>
      <c r="E100" s="58" t="s">
        <v>3802</v>
      </c>
      <c r="F100" s="58" t="s">
        <v>203</v>
      </c>
      <c r="G100" s="58" t="s">
        <v>3921</v>
      </c>
      <c r="H100" s="58" t="s">
        <v>3922</v>
      </c>
      <c r="I100" s="58" t="s">
        <v>3923</v>
      </c>
      <c r="J100" s="58" t="s">
        <v>3924</v>
      </c>
      <c r="K100" s="74" t="s">
        <v>3925</v>
      </c>
      <c r="L100" s="58"/>
      <c r="M100" s="58"/>
      <c r="N100" s="58"/>
      <c r="O100" s="58"/>
      <c r="P100" s="58"/>
      <c r="Q100" s="58"/>
      <c r="R100" s="58"/>
      <c r="S100" s="58"/>
      <c r="T100" s="58"/>
      <c r="U100" s="58"/>
      <c r="V100" s="58"/>
      <c r="W100" s="105"/>
      <c r="X100" s="58" t="s">
        <v>3864</v>
      </c>
      <c r="Y100" s="52"/>
      <c r="Z100" s="52"/>
      <c r="AA100" s="52"/>
      <c r="AB100" s="52"/>
      <c r="AC100" s="52"/>
    </row>
    <row r="101" customHeight="1" ht="141.0">
      <c r="A101" s="73">
        <v>89</v>
      </c>
      <c r="B101" s="116"/>
      <c r="C101" s="116"/>
      <c r="D101" s="117" t="s">
        <v>3807</v>
      </c>
      <c r="E101" s="58" t="s">
        <v>3808</v>
      </c>
      <c r="F101" s="58" t="s">
        <v>203</v>
      </c>
      <c r="G101" s="58" t="s">
        <v>3926</v>
      </c>
      <c r="H101" s="58" t="s">
        <v>3927</v>
      </c>
      <c r="I101" s="58" t="s">
        <v>3928</v>
      </c>
      <c r="J101" s="58" t="s">
        <v>3924</v>
      </c>
      <c r="K101" s="74" t="s">
        <v>3929</v>
      </c>
      <c r="L101" s="58"/>
      <c r="M101" s="58"/>
      <c r="N101" s="58"/>
      <c r="O101" s="58"/>
      <c r="P101" s="58"/>
      <c r="Q101" s="58"/>
      <c r="R101" s="58"/>
      <c r="S101" s="58"/>
      <c r="T101" s="58"/>
      <c r="U101" s="58"/>
      <c r="V101" s="58"/>
      <c r="W101" s="105"/>
      <c r="X101" s="58" t="s">
        <v>3443</v>
      </c>
      <c r="Y101" s="52"/>
      <c r="Z101" s="52"/>
      <c r="AA101" s="52"/>
      <c r="AB101" s="52"/>
      <c r="AC101" s="52"/>
    </row>
    <row r="102" customHeight="1" ht="114.0">
      <c r="A102" s="73">
        <v>90</v>
      </c>
      <c r="B102" s="118"/>
      <c r="C102" s="118"/>
      <c r="D102" s="117" t="s">
        <v>3930</v>
      </c>
      <c r="E102" s="58" t="s">
        <v>3931</v>
      </c>
      <c r="F102" s="58" t="s">
        <v>210</v>
      </c>
      <c r="G102" s="58" t="s">
        <v>3932</v>
      </c>
      <c r="H102" s="58" t="s">
        <v>3933</v>
      </c>
      <c r="I102" s="58" t="s">
        <v>3923</v>
      </c>
      <c r="J102" s="58" t="s">
        <v>3934</v>
      </c>
      <c r="K102" s="74" t="s">
        <v>3935</v>
      </c>
      <c r="L102" s="58"/>
      <c r="M102" s="58"/>
      <c r="N102" s="58"/>
      <c r="O102" s="58"/>
      <c r="P102" s="58"/>
      <c r="Q102" s="58"/>
      <c r="R102" s="58"/>
      <c r="S102" s="58"/>
      <c r="T102" s="58"/>
      <c r="U102" s="58"/>
      <c r="V102" s="58"/>
      <c r="W102" s="105"/>
      <c r="X102" s="58" t="s">
        <v>3408</v>
      </c>
      <c r="Y102" s="52"/>
      <c r="Z102" s="52"/>
      <c r="AA102" s="52"/>
      <c r="AB102" s="52"/>
      <c r="AC102" s="52"/>
    </row>
    <row r="103" customHeight="1" ht="127.5">
      <c r="A103" s="73">
        <v>91</v>
      </c>
      <c r="B103" s="116" t="s">
        <v>3936</v>
      </c>
      <c r="C103" s="116" t="s">
        <v>3937</v>
      </c>
      <c r="D103" s="117" t="s">
        <v>3938</v>
      </c>
      <c r="E103" s="58" t="s">
        <v>3939</v>
      </c>
      <c r="F103" s="58" t="s">
        <v>203</v>
      </c>
      <c r="G103" s="58" t="s">
        <v>3940</v>
      </c>
      <c r="H103" s="58" t="s">
        <v>3941</v>
      </c>
      <c r="I103" s="58" t="s">
        <v>3942</v>
      </c>
      <c r="J103" s="58" t="s">
        <v>3943</v>
      </c>
      <c r="K103" s="74" t="s">
        <v>3944</v>
      </c>
      <c r="L103" s="58"/>
      <c r="M103" s="58"/>
      <c r="N103" s="58"/>
      <c r="O103" s="58"/>
      <c r="P103" s="58"/>
      <c r="Q103" s="58"/>
      <c r="R103" s="58"/>
      <c r="S103" s="58"/>
      <c r="T103" s="58"/>
      <c r="U103" s="58"/>
      <c r="V103" s="58"/>
      <c r="W103" s="77" t="s">
        <v>3945</v>
      </c>
      <c r="X103" s="58" t="s">
        <v>3946</v>
      </c>
      <c r="Y103" s="52"/>
      <c r="Z103" s="52"/>
      <c r="AA103" s="52"/>
      <c r="AB103" s="52"/>
      <c r="AC103" s="52"/>
    </row>
    <row r="104" customHeight="1" ht="100.5">
      <c r="A104" s="73">
        <v>92</v>
      </c>
      <c r="B104" s="116"/>
      <c r="C104" s="116"/>
      <c r="D104" s="117" t="s">
        <v>3947</v>
      </c>
      <c r="E104" s="58" t="s">
        <v>3948</v>
      </c>
      <c r="F104" s="58" t="s">
        <v>203</v>
      </c>
      <c r="G104" s="58" t="s">
        <v>3949</v>
      </c>
      <c r="H104" s="58" t="s">
        <v>3950</v>
      </c>
      <c r="I104" s="58" t="s">
        <v>3660</v>
      </c>
      <c r="J104" s="58" t="s">
        <v>3951</v>
      </c>
      <c r="K104" s="74" t="s">
        <v>3952</v>
      </c>
      <c r="L104" s="58"/>
      <c r="M104" s="58"/>
      <c r="N104" s="58"/>
      <c r="O104" s="58"/>
      <c r="P104" s="58"/>
      <c r="Q104" s="58"/>
      <c r="R104" s="58"/>
      <c r="S104" s="58"/>
      <c r="T104" s="58"/>
      <c r="U104" s="58"/>
      <c r="V104" s="58"/>
      <c r="W104" s="105"/>
      <c r="X104" s="58" t="s">
        <v>3946</v>
      </c>
      <c r="Y104" s="52"/>
      <c r="Z104" s="52"/>
      <c r="AA104" s="52"/>
      <c r="AB104" s="52"/>
      <c r="AC104" s="52"/>
    </row>
    <row r="105" customHeight="1" ht="114.0">
      <c r="A105" s="73">
        <v>93</v>
      </c>
      <c r="B105" s="116"/>
      <c r="C105" s="118"/>
      <c r="D105" s="117" t="s">
        <v>3680</v>
      </c>
      <c r="E105" s="58" t="s">
        <v>3953</v>
      </c>
      <c r="F105" s="58" t="s">
        <v>210</v>
      </c>
      <c r="G105" s="58" t="s">
        <v>3954</v>
      </c>
      <c r="H105" s="58" t="s">
        <v>3955</v>
      </c>
      <c r="I105" s="58" t="s">
        <v>3956</v>
      </c>
      <c r="J105" s="58" t="s">
        <v>3957</v>
      </c>
      <c r="K105" s="74" t="s">
        <v>3958</v>
      </c>
      <c r="L105" s="58"/>
      <c r="M105" s="58"/>
      <c r="N105" s="58"/>
      <c r="O105" s="58"/>
      <c r="P105" s="58"/>
      <c r="Q105" s="58"/>
      <c r="R105" s="58"/>
      <c r="S105" s="58"/>
      <c r="T105" s="58"/>
      <c r="U105" s="58"/>
      <c r="V105" s="58"/>
      <c r="W105" s="105"/>
      <c r="X105" s="58" t="s">
        <v>3946</v>
      </c>
      <c r="Y105" s="52"/>
      <c r="Z105" s="52"/>
      <c r="AA105" s="52"/>
      <c r="AB105" s="52"/>
      <c r="AC105" s="52"/>
    </row>
    <row r="106" customHeight="1" ht="100.5">
      <c r="A106" s="73">
        <v>94</v>
      </c>
      <c r="B106" s="116"/>
      <c r="C106" s="117" t="s">
        <v>3959</v>
      </c>
      <c r="D106" s="117" t="s">
        <v>3960</v>
      </c>
      <c r="E106" s="58" t="s">
        <v>3961</v>
      </c>
      <c r="F106" s="58" t="s">
        <v>203</v>
      </c>
      <c r="G106" s="58" t="s">
        <v>3962</v>
      </c>
      <c r="H106" s="58" t="s">
        <v>3963</v>
      </c>
      <c r="I106" s="58" t="s">
        <v>3655</v>
      </c>
      <c r="J106" s="58" t="s">
        <v>3964</v>
      </c>
      <c r="K106" s="74" t="s">
        <v>3965</v>
      </c>
      <c r="L106" s="58"/>
      <c r="M106" s="58"/>
      <c r="N106" s="58"/>
      <c r="O106" s="58"/>
      <c r="P106" s="58"/>
      <c r="Q106" s="58"/>
      <c r="R106" s="58"/>
      <c r="S106" s="58"/>
      <c r="T106" s="58"/>
      <c r="U106" s="58"/>
      <c r="V106" s="58"/>
      <c r="W106" s="77" t="s">
        <v>3966</v>
      </c>
      <c r="X106" s="58" t="s">
        <v>3408</v>
      </c>
      <c r="Y106" s="52"/>
      <c r="Z106" s="52"/>
      <c r="AA106" s="52"/>
      <c r="AB106" s="52"/>
      <c r="AC106" s="52"/>
    </row>
    <row r="107" customHeight="1" ht="100.5">
      <c r="A107" s="73">
        <v>95</v>
      </c>
      <c r="B107" s="118"/>
      <c r="C107" s="117" t="s">
        <v>3967</v>
      </c>
      <c r="D107" s="117" t="s">
        <v>3689</v>
      </c>
      <c r="E107" s="58" t="s">
        <v>3968</v>
      </c>
      <c r="F107" s="58" t="s">
        <v>210</v>
      </c>
      <c r="G107" s="58" t="s">
        <v>3969</v>
      </c>
      <c r="H107" s="58" t="s">
        <v>3970</v>
      </c>
      <c r="I107" s="58" t="s">
        <v>3869</v>
      </c>
      <c r="J107" s="58" t="s">
        <v>3943</v>
      </c>
      <c r="K107" s="104"/>
      <c r="L107" s="58"/>
      <c r="M107" s="58"/>
      <c r="N107" s="58"/>
      <c r="O107" s="58"/>
      <c r="P107" s="58"/>
      <c r="Q107" s="58"/>
      <c r="R107" s="58"/>
      <c r="S107" s="58"/>
      <c r="T107" s="58"/>
      <c r="U107" s="58"/>
      <c r="V107" s="58"/>
      <c r="W107" s="77" t="s">
        <v>3945</v>
      </c>
      <c r="X107" s="58" t="s">
        <v>3946</v>
      </c>
      <c r="Y107" s="52"/>
      <c r="Z107" s="52"/>
      <c r="AA107" s="52"/>
      <c r="AB107" s="52"/>
      <c r="AC107" s="52"/>
    </row>
    <row r="108" customHeight="1" ht="87.0">
      <c r="A108" s="73">
        <v>96</v>
      </c>
      <c r="B108" s="116" t="s">
        <v>3971</v>
      </c>
      <c r="C108" s="116" t="s">
        <v>3972</v>
      </c>
      <c r="D108" s="117" t="s">
        <v>269</v>
      </c>
      <c r="E108" s="58" t="s">
        <v>3973</v>
      </c>
      <c r="F108" s="58" t="s">
        <v>210</v>
      </c>
      <c r="G108" s="58" t="s">
        <v>3974</v>
      </c>
      <c r="H108" s="58" t="s">
        <v>3975</v>
      </c>
      <c r="I108" s="58" t="s">
        <v>3440</v>
      </c>
      <c r="J108" s="58" t="s">
        <v>3976</v>
      </c>
      <c r="K108" s="74" t="s">
        <v>3977</v>
      </c>
      <c r="L108" s="58"/>
      <c r="M108" s="58"/>
      <c r="N108" s="58"/>
      <c r="O108" s="58"/>
      <c r="P108" s="58"/>
      <c r="Q108" s="58"/>
      <c r="R108" s="58"/>
      <c r="S108" s="58"/>
      <c r="T108" s="58"/>
      <c r="U108" s="58"/>
      <c r="V108" s="58"/>
      <c r="W108" s="77" t="s">
        <v>3978</v>
      </c>
      <c r="X108" s="58" t="s">
        <v>3979</v>
      </c>
      <c r="Y108" s="52"/>
      <c r="Z108" s="52"/>
      <c r="AA108" s="52"/>
      <c r="AB108" s="52"/>
      <c r="AC108" s="52"/>
    </row>
    <row r="109" customHeight="1" ht="127.5">
      <c r="A109" s="73">
        <v>97</v>
      </c>
      <c r="B109" s="116"/>
      <c r="C109" s="118"/>
      <c r="D109" s="117" t="s">
        <v>1183</v>
      </c>
      <c r="E109" s="58" t="s">
        <v>3980</v>
      </c>
      <c r="F109" s="58" t="s">
        <v>203</v>
      </c>
      <c r="G109" s="58" t="s">
        <v>3981</v>
      </c>
      <c r="H109" s="58" t="s">
        <v>3982</v>
      </c>
      <c r="I109" s="58" t="s">
        <v>3983</v>
      </c>
      <c r="J109" s="58" t="s">
        <v>3984</v>
      </c>
      <c r="K109" s="74" t="s">
        <v>3985</v>
      </c>
      <c r="L109" s="58"/>
      <c r="M109" s="58"/>
      <c r="N109" s="58"/>
      <c r="O109" s="58"/>
      <c r="P109" s="58"/>
      <c r="Q109" s="58"/>
      <c r="R109" s="58"/>
      <c r="S109" s="58"/>
      <c r="T109" s="58"/>
      <c r="U109" s="58"/>
      <c r="V109" s="58"/>
      <c r="W109" s="77" t="s">
        <v>3986</v>
      </c>
      <c r="X109" s="58" t="s">
        <v>3979</v>
      </c>
      <c r="Y109" s="52"/>
      <c r="Z109" s="52"/>
      <c r="AA109" s="52"/>
      <c r="AB109" s="52"/>
      <c r="AC109" s="52"/>
    </row>
    <row r="110" customHeight="1" ht="87.0">
      <c r="A110" s="73">
        <v>98</v>
      </c>
      <c r="B110" s="116"/>
      <c r="C110" s="116" t="s">
        <v>3987</v>
      </c>
      <c r="D110" s="117" t="s">
        <v>3988</v>
      </c>
      <c r="E110" s="58" t="s">
        <v>3989</v>
      </c>
      <c r="F110" s="58" t="s">
        <v>203</v>
      </c>
      <c r="G110" s="58" t="s">
        <v>3990</v>
      </c>
      <c r="H110" s="58" t="s">
        <v>3991</v>
      </c>
      <c r="I110" s="58" t="s">
        <v>3440</v>
      </c>
      <c r="J110" s="58" t="s">
        <v>3992</v>
      </c>
      <c r="K110" s="74" t="s">
        <v>3993</v>
      </c>
      <c r="L110" s="58"/>
      <c r="M110" s="58"/>
      <c r="N110" s="58"/>
      <c r="O110" s="58"/>
      <c r="P110" s="58"/>
      <c r="Q110" s="58"/>
      <c r="R110" s="58"/>
      <c r="S110" s="58"/>
      <c r="T110" s="58"/>
      <c r="U110" s="58"/>
      <c r="V110" s="58"/>
      <c r="W110" s="105"/>
      <c r="X110" s="58" t="s">
        <v>3979</v>
      </c>
      <c r="Y110" s="52"/>
      <c r="Z110" s="52"/>
      <c r="AA110" s="52"/>
      <c r="AB110" s="52"/>
      <c r="AC110" s="52"/>
    </row>
    <row r="111" customHeight="1" ht="127.5">
      <c r="A111" s="73">
        <v>99</v>
      </c>
      <c r="B111" s="118"/>
      <c r="C111" s="118"/>
      <c r="D111" s="117" t="s">
        <v>3994</v>
      </c>
      <c r="E111" s="58" t="s">
        <v>3995</v>
      </c>
      <c r="F111" s="58" t="s">
        <v>210</v>
      </c>
      <c r="G111" s="58" t="s">
        <v>3996</v>
      </c>
      <c r="H111" s="58" t="s">
        <v>3997</v>
      </c>
      <c r="I111" s="58" t="s">
        <v>3998</v>
      </c>
      <c r="J111" s="58" t="s">
        <v>3999</v>
      </c>
      <c r="K111" s="74" t="s">
        <v>4000</v>
      </c>
      <c r="L111" s="58"/>
      <c r="M111" s="58"/>
      <c r="N111" s="58"/>
      <c r="O111" s="58"/>
      <c r="P111" s="58"/>
      <c r="Q111" s="58"/>
      <c r="R111" s="58"/>
      <c r="S111" s="58"/>
      <c r="T111" s="58"/>
      <c r="U111" s="58"/>
      <c r="V111" s="58"/>
      <c r="W111" s="105"/>
      <c r="X111" s="58" t="s">
        <v>3979</v>
      </c>
      <c r="Y111" s="52"/>
      <c r="Z111" s="52"/>
      <c r="AA111" s="52"/>
      <c r="AB111" s="52"/>
      <c r="AC111" s="52"/>
    </row>
    <row r="112" customHeight="1" ht="87.0">
      <c r="A112" s="73">
        <v>100</v>
      </c>
      <c r="B112" s="116" t="s">
        <v>4001</v>
      </c>
      <c r="C112" s="116" t="s">
        <v>4002</v>
      </c>
      <c r="D112" s="117" t="s">
        <v>4003</v>
      </c>
      <c r="E112" s="58" t="s">
        <v>4004</v>
      </c>
      <c r="F112" s="58" t="s">
        <v>203</v>
      </c>
      <c r="G112" s="58" t="s">
        <v>4005</v>
      </c>
      <c r="H112" s="58" t="s">
        <v>4006</v>
      </c>
      <c r="I112" s="58" t="s">
        <v>4007</v>
      </c>
      <c r="J112" s="58" t="s">
        <v>4008</v>
      </c>
      <c r="K112" s="74" t="s">
        <v>4009</v>
      </c>
      <c r="L112" s="58"/>
      <c r="M112" s="58"/>
      <c r="N112" s="58"/>
      <c r="O112" s="58"/>
      <c r="P112" s="58"/>
      <c r="Q112" s="58"/>
      <c r="R112" s="58"/>
      <c r="S112" s="58"/>
      <c r="T112" s="58"/>
      <c r="U112" s="58"/>
      <c r="V112" s="58"/>
      <c r="W112" s="105"/>
      <c r="X112" s="58" t="s">
        <v>3502</v>
      </c>
      <c r="Y112" s="52"/>
      <c r="Z112" s="52"/>
      <c r="AA112" s="52"/>
      <c r="AB112" s="52"/>
      <c r="AC112" s="52"/>
    </row>
    <row r="113" customHeight="1" ht="100.5">
      <c r="A113" s="73">
        <v>101</v>
      </c>
      <c r="B113" s="116"/>
      <c r="C113" s="116"/>
      <c r="D113" s="117" t="s">
        <v>4010</v>
      </c>
      <c r="E113" s="58" t="s">
        <v>4011</v>
      </c>
      <c r="F113" s="58" t="s">
        <v>203</v>
      </c>
      <c r="G113" s="58" t="s">
        <v>4012</v>
      </c>
      <c r="H113" s="58" t="s">
        <v>4013</v>
      </c>
      <c r="I113" s="58" t="s">
        <v>3440</v>
      </c>
      <c r="J113" s="58" t="s">
        <v>4014</v>
      </c>
      <c r="K113" s="74" t="s">
        <v>4015</v>
      </c>
      <c r="L113" s="58"/>
      <c r="M113" s="58"/>
      <c r="N113" s="58"/>
      <c r="O113" s="58"/>
      <c r="P113" s="58"/>
      <c r="Q113" s="58"/>
      <c r="R113" s="58"/>
      <c r="S113" s="58"/>
      <c r="T113" s="58"/>
      <c r="U113" s="58"/>
      <c r="V113" s="58"/>
      <c r="W113" s="77" t="s">
        <v>3501</v>
      </c>
      <c r="X113" s="58" t="s">
        <v>3502</v>
      </c>
      <c r="Y113" s="52"/>
      <c r="Z113" s="52"/>
      <c r="AA113" s="52"/>
      <c r="AB113" s="52"/>
      <c r="AC113" s="52"/>
    </row>
    <row r="114" customHeight="1" ht="87.0">
      <c r="A114" s="73">
        <v>102</v>
      </c>
      <c r="B114" s="116"/>
      <c r="C114" s="116"/>
      <c r="D114" s="117" t="s">
        <v>4016</v>
      </c>
      <c r="E114" s="58" t="s">
        <v>4017</v>
      </c>
      <c r="F114" s="58" t="s">
        <v>210</v>
      </c>
      <c r="G114" s="58" t="s">
        <v>4018</v>
      </c>
      <c r="H114" s="58" t="s">
        <v>4019</v>
      </c>
      <c r="I114" s="58" t="s">
        <v>4020</v>
      </c>
      <c r="J114" s="58" t="s">
        <v>4021</v>
      </c>
      <c r="K114" s="74" t="s">
        <v>4022</v>
      </c>
      <c r="L114" s="58"/>
      <c r="M114" s="58"/>
      <c r="N114" s="58"/>
      <c r="O114" s="58"/>
      <c r="P114" s="58"/>
      <c r="Q114" s="58"/>
      <c r="R114" s="58"/>
      <c r="S114" s="58"/>
      <c r="T114" s="58"/>
      <c r="U114" s="58"/>
      <c r="V114" s="58"/>
      <c r="W114" s="105"/>
      <c r="X114" s="58" t="s">
        <v>3502</v>
      </c>
      <c r="Y114" s="52"/>
      <c r="Z114" s="52"/>
      <c r="AA114" s="52"/>
      <c r="AB114" s="52"/>
      <c r="AC114" s="52"/>
    </row>
    <row r="115" customHeight="1" ht="73.5">
      <c r="A115" s="73">
        <v>103</v>
      </c>
      <c r="B115" s="118"/>
      <c r="C115" s="118"/>
      <c r="D115" s="117" t="s">
        <v>4023</v>
      </c>
      <c r="E115" s="58" t="s">
        <v>4024</v>
      </c>
      <c r="F115" s="58" t="s">
        <v>210</v>
      </c>
      <c r="G115" s="58" t="s">
        <v>4025</v>
      </c>
      <c r="H115" s="58" t="s">
        <v>4026</v>
      </c>
      <c r="I115" s="58" t="s">
        <v>4027</v>
      </c>
      <c r="J115" s="58" t="s">
        <v>4028</v>
      </c>
      <c r="K115" s="104"/>
      <c r="L115" s="58"/>
      <c r="M115" s="58"/>
      <c r="N115" s="58"/>
      <c r="O115" s="58"/>
      <c r="P115" s="58"/>
      <c r="Q115" s="58"/>
      <c r="R115" s="58"/>
      <c r="S115" s="58"/>
      <c r="T115" s="58"/>
      <c r="U115" s="58"/>
      <c r="V115" s="58"/>
      <c r="W115" s="77" t="s">
        <v>4029</v>
      </c>
      <c r="X115" s="58" t="s">
        <v>3502</v>
      </c>
      <c r="Y115" s="52"/>
      <c r="Z115" s="52"/>
      <c r="AA115" s="52"/>
      <c r="AB115" s="52"/>
      <c r="AC115" s="52"/>
    </row>
    <row r="116" customHeight="1" ht="87.0">
      <c r="A116" s="73">
        <v>104</v>
      </c>
      <c r="B116" s="118" t="s">
        <v>4030</v>
      </c>
      <c r="C116" s="117" t="s">
        <v>1216</v>
      </c>
      <c r="D116" s="117" t="s">
        <v>4031</v>
      </c>
      <c r="E116" s="58" t="s">
        <v>4032</v>
      </c>
      <c r="F116" s="58" t="s">
        <v>203</v>
      </c>
      <c r="G116" s="58" t="s">
        <v>4033</v>
      </c>
      <c r="H116" s="58" t="s">
        <v>4034</v>
      </c>
      <c r="I116" s="58" t="s">
        <v>4035</v>
      </c>
      <c r="J116" s="58" t="s">
        <v>4036</v>
      </c>
      <c r="K116" s="104"/>
      <c r="L116" s="58"/>
      <c r="M116" s="58"/>
      <c r="N116" s="58"/>
      <c r="O116" s="58"/>
      <c r="P116" s="58"/>
      <c r="Q116" s="58"/>
      <c r="R116" s="58"/>
      <c r="S116" s="58"/>
      <c r="T116" s="58"/>
      <c r="U116" s="58"/>
      <c r="V116" s="58"/>
      <c r="W116" s="77" t="s">
        <v>4037</v>
      </c>
      <c r="X116" s="58" t="s">
        <v>4038</v>
      </c>
      <c r="Y116" s="52"/>
      <c r="Z116" s="52"/>
      <c r="AA116" s="52"/>
      <c r="AB116" s="52"/>
      <c r="AC116" s="52"/>
    </row>
    <row r="117" customHeight="1" ht="87.0">
      <c r="A117" s="73">
        <v>105</v>
      </c>
      <c r="B117" s="116" t="s">
        <v>110</v>
      </c>
      <c r="C117" s="116" t="s">
        <v>111</v>
      </c>
      <c r="D117" s="117" t="s">
        <v>4039</v>
      </c>
      <c r="E117" s="58" t="s">
        <v>4040</v>
      </c>
      <c r="F117" s="58" t="s">
        <v>203</v>
      </c>
      <c r="G117" s="58" t="s">
        <v>4041</v>
      </c>
      <c r="H117" s="58" t="s">
        <v>4042</v>
      </c>
      <c r="I117" s="58" t="s">
        <v>4043</v>
      </c>
      <c r="J117" s="58" t="s">
        <v>3441</v>
      </c>
      <c r="K117" s="74" t="s">
        <v>4044</v>
      </c>
      <c r="L117" s="58"/>
      <c r="M117" s="58"/>
      <c r="N117" s="58"/>
      <c r="O117" s="58"/>
      <c r="P117" s="58"/>
      <c r="Q117" s="58"/>
      <c r="R117" s="58"/>
      <c r="S117" s="58"/>
      <c r="T117" s="58"/>
      <c r="U117" s="58"/>
      <c r="V117" s="58"/>
      <c r="W117" s="105"/>
      <c r="X117" s="58" t="s">
        <v>3400</v>
      </c>
      <c r="Y117" s="52"/>
      <c r="Z117" s="52"/>
      <c r="AA117" s="52"/>
      <c r="AB117" s="52"/>
      <c r="AC117" s="52"/>
    </row>
    <row r="118" customHeight="1" ht="100.5">
      <c r="A118" s="73">
        <v>106</v>
      </c>
      <c r="B118" s="116"/>
      <c r="C118" s="116"/>
      <c r="D118" s="117" t="s">
        <v>4045</v>
      </c>
      <c r="E118" s="58" t="s">
        <v>4046</v>
      </c>
      <c r="F118" s="58" t="s">
        <v>203</v>
      </c>
      <c r="G118" s="58" t="s">
        <v>4047</v>
      </c>
      <c r="H118" s="58" t="s">
        <v>4048</v>
      </c>
      <c r="I118" s="58" t="s">
        <v>4049</v>
      </c>
      <c r="J118" s="58" t="s">
        <v>3621</v>
      </c>
      <c r="K118" s="74" t="s">
        <v>4050</v>
      </c>
      <c r="L118" s="58"/>
      <c r="M118" s="58"/>
      <c r="N118" s="58"/>
      <c r="O118" s="58"/>
      <c r="P118" s="58"/>
      <c r="Q118" s="58"/>
      <c r="R118" s="58"/>
      <c r="S118" s="58"/>
      <c r="T118" s="58"/>
      <c r="U118" s="58"/>
      <c r="V118" s="58"/>
      <c r="W118" s="105"/>
      <c r="X118" s="58" t="s">
        <v>3695</v>
      </c>
      <c r="Y118" s="52"/>
      <c r="Z118" s="52"/>
      <c r="AA118" s="52"/>
      <c r="AB118" s="52"/>
      <c r="AC118" s="52"/>
    </row>
    <row r="119" customHeight="1" ht="87.0">
      <c r="A119" s="73">
        <v>107</v>
      </c>
      <c r="B119" s="116"/>
      <c r="C119" s="118"/>
      <c r="D119" s="117" t="s">
        <v>4051</v>
      </c>
      <c r="E119" s="58" t="s">
        <v>4052</v>
      </c>
      <c r="F119" s="58" t="s">
        <v>203</v>
      </c>
      <c r="G119" s="58" t="s">
        <v>4053</v>
      </c>
      <c r="H119" s="58" t="s">
        <v>4054</v>
      </c>
      <c r="I119" s="58" t="s">
        <v>4043</v>
      </c>
      <c r="J119" s="58" t="s">
        <v>3984</v>
      </c>
      <c r="K119" s="74" t="s">
        <v>4055</v>
      </c>
      <c r="L119" s="58"/>
      <c r="M119" s="58"/>
      <c r="N119" s="58"/>
      <c r="O119" s="58"/>
      <c r="P119" s="58"/>
      <c r="Q119" s="58"/>
      <c r="R119" s="58"/>
      <c r="S119" s="58"/>
      <c r="T119" s="58"/>
      <c r="U119" s="58"/>
      <c r="V119" s="58"/>
      <c r="W119" s="105"/>
      <c r="X119" s="58" t="s">
        <v>3979</v>
      </c>
      <c r="Y119" s="52"/>
      <c r="Z119" s="52"/>
      <c r="AA119" s="52"/>
      <c r="AB119" s="52"/>
      <c r="AC119" s="52"/>
    </row>
    <row r="120" customHeight="1" ht="87.0">
      <c r="A120" s="73">
        <v>108</v>
      </c>
      <c r="B120" s="116"/>
      <c r="C120" s="116" t="s">
        <v>112</v>
      </c>
      <c r="D120" s="117" t="s">
        <v>4039</v>
      </c>
      <c r="E120" s="58" t="s">
        <v>4040</v>
      </c>
      <c r="F120" s="58" t="s">
        <v>203</v>
      </c>
      <c r="G120" s="58" t="s">
        <v>4056</v>
      </c>
      <c r="H120" s="58" t="s">
        <v>4057</v>
      </c>
      <c r="I120" s="58" t="s">
        <v>4058</v>
      </c>
      <c r="J120" s="58" t="s">
        <v>3441</v>
      </c>
      <c r="K120" s="74" t="s">
        <v>4059</v>
      </c>
      <c r="L120" s="58"/>
      <c r="M120" s="58"/>
      <c r="N120" s="58"/>
      <c r="O120" s="58"/>
      <c r="P120" s="58"/>
      <c r="Q120" s="58"/>
      <c r="R120" s="58"/>
      <c r="S120" s="58"/>
      <c r="T120" s="58"/>
      <c r="U120" s="58"/>
      <c r="V120" s="58"/>
      <c r="W120" s="105"/>
      <c r="X120" s="58" t="s">
        <v>3400</v>
      </c>
      <c r="Y120" s="52"/>
      <c r="Z120" s="52"/>
      <c r="AA120" s="52"/>
      <c r="AB120" s="52"/>
      <c r="AC120" s="52"/>
    </row>
    <row r="121" customHeight="1" ht="100.5">
      <c r="A121" s="73">
        <v>109</v>
      </c>
      <c r="B121" s="116"/>
      <c r="C121" s="116"/>
      <c r="D121" s="117" t="s">
        <v>4060</v>
      </c>
      <c r="E121" s="58" t="s">
        <v>4061</v>
      </c>
      <c r="F121" s="58" t="s">
        <v>203</v>
      </c>
      <c r="G121" s="58" t="s">
        <v>4062</v>
      </c>
      <c r="H121" s="58" t="s">
        <v>4063</v>
      </c>
      <c r="I121" s="58" t="s">
        <v>4064</v>
      </c>
      <c r="J121" s="58" t="s">
        <v>3621</v>
      </c>
      <c r="K121" s="74" t="s">
        <v>4065</v>
      </c>
      <c r="L121" s="58"/>
      <c r="M121" s="58"/>
      <c r="N121" s="58"/>
      <c r="O121" s="58"/>
      <c r="P121" s="58"/>
      <c r="Q121" s="58"/>
      <c r="R121" s="58"/>
      <c r="S121" s="58"/>
      <c r="T121" s="58"/>
      <c r="U121" s="58"/>
      <c r="V121" s="58"/>
      <c r="W121" s="105"/>
      <c r="X121" s="58" t="s">
        <v>3695</v>
      </c>
      <c r="Y121" s="52"/>
      <c r="Z121" s="52"/>
      <c r="AA121" s="52"/>
      <c r="AB121" s="52"/>
      <c r="AC121" s="52"/>
    </row>
    <row r="122" customHeight="1" ht="100.5">
      <c r="A122" s="73">
        <v>110</v>
      </c>
      <c r="B122" s="116"/>
      <c r="C122" s="116"/>
      <c r="D122" s="117" t="s">
        <v>3680</v>
      </c>
      <c r="E122" s="58" t="s">
        <v>4066</v>
      </c>
      <c r="F122" s="58" t="s">
        <v>210</v>
      </c>
      <c r="G122" s="58" t="s">
        <v>4067</v>
      </c>
      <c r="H122" s="58" t="s">
        <v>4068</v>
      </c>
      <c r="I122" s="58" t="s">
        <v>4064</v>
      </c>
      <c r="J122" s="58" t="s">
        <v>3685</v>
      </c>
      <c r="K122" s="74" t="s">
        <v>4069</v>
      </c>
      <c r="L122" s="58"/>
      <c r="M122" s="58"/>
      <c r="N122" s="58"/>
      <c r="O122" s="58"/>
      <c r="P122" s="58"/>
      <c r="Q122" s="58"/>
      <c r="R122" s="58"/>
      <c r="S122" s="58"/>
      <c r="T122" s="58"/>
      <c r="U122" s="58"/>
      <c r="V122" s="58"/>
      <c r="W122" s="105"/>
      <c r="X122" s="58" t="s">
        <v>3687</v>
      </c>
      <c r="Y122" s="52"/>
      <c r="Z122" s="52"/>
      <c r="AA122" s="52"/>
      <c r="AB122" s="52"/>
      <c r="AC122" s="52"/>
    </row>
    <row r="123" customHeight="1" ht="87.0">
      <c r="A123" s="73">
        <v>111</v>
      </c>
      <c r="B123" s="118"/>
      <c r="C123" s="118"/>
      <c r="D123" s="117" t="s">
        <v>4051</v>
      </c>
      <c r="E123" s="58" t="s">
        <v>4052</v>
      </c>
      <c r="F123" s="58" t="s">
        <v>210</v>
      </c>
      <c r="G123" s="58" t="s">
        <v>4070</v>
      </c>
      <c r="H123" s="58" t="s">
        <v>4071</v>
      </c>
      <c r="I123" s="58" t="s">
        <v>4058</v>
      </c>
      <c r="J123" s="58" t="s">
        <v>3984</v>
      </c>
      <c r="K123" s="74" t="s">
        <v>4055</v>
      </c>
      <c r="L123" s="58"/>
      <c r="M123" s="58"/>
      <c r="N123" s="58"/>
      <c r="O123" s="58"/>
      <c r="P123" s="58"/>
      <c r="Q123" s="58"/>
      <c r="R123" s="58"/>
      <c r="S123" s="58"/>
      <c r="T123" s="58"/>
      <c r="U123" s="58"/>
      <c r="V123" s="58"/>
      <c r="W123" s="105"/>
      <c r="X123" s="58" t="s">
        <v>3979</v>
      </c>
      <c r="Y123" s="52"/>
      <c r="Z123" s="52"/>
      <c r="AA123" s="52"/>
      <c r="AB123" s="52"/>
      <c r="AC123" s="52"/>
    </row>
    <row r="124" customHeight="1" ht="100.5">
      <c r="A124" s="73">
        <v>112</v>
      </c>
      <c r="B124" s="116" t="s">
        <v>89</v>
      </c>
      <c r="C124" s="117" t="s">
        <v>4072</v>
      </c>
      <c r="D124" s="117" t="s">
        <v>1235</v>
      </c>
      <c r="E124" s="58" t="s">
        <v>4073</v>
      </c>
      <c r="F124" s="58" t="s">
        <v>203</v>
      </c>
      <c r="G124" s="58" t="s">
        <v>4074</v>
      </c>
      <c r="H124" s="58" t="s">
        <v>4075</v>
      </c>
      <c r="I124" s="58" t="s">
        <v>4076</v>
      </c>
      <c r="J124" s="58" t="s">
        <v>4077</v>
      </c>
      <c r="K124" s="74" t="s">
        <v>4078</v>
      </c>
      <c r="L124" s="58"/>
      <c r="M124" s="58"/>
      <c r="N124" s="58"/>
      <c r="O124" s="58"/>
      <c r="P124" s="58"/>
      <c r="Q124" s="58"/>
      <c r="R124" s="58"/>
      <c r="S124" s="58"/>
      <c r="T124" s="58"/>
      <c r="U124" s="58"/>
      <c r="V124" s="58"/>
      <c r="W124" s="77" t="s">
        <v>4079</v>
      </c>
      <c r="X124" s="58" t="s">
        <v>3400</v>
      </c>
      <c r="Y124" s="52"/>
      <c r="Z124" s="52"/>
      <c r="AA124" s="52"/>
      <c r="AB124" s="52"/>
      <c r="AC124" s="52"/>
    </row>
    <row r="125" customHeight="1" ht="87.0">
      <c r="A125" s="73">
        <v>113</v>
      </c>
      <c r="B125" s="116"/>
      <c r="C125" s="116" t="s">
        <v>4080</v>
      </c>
      <c r="D125" s="117" t="s">
        <v>4081</v>
      </c>
      <c r="E125" s="58" t="s">
        <v>4082</v>
      </c>
      <c r="F125" s="58" t="s">
        <v>210</v>
      </c>
      <c r="G125" s="58" t="s">
        <v>4083</v>
      </c>
      <c r="H125" s="58" t="s">
        <v>4084</v>
      </c>
      <c r="I125" s="58" t="s">
        <v>3440</v>
      </c>
      <c r="J125" s="58" t="s">
        <v>4085</v>
      </c>
      <c r="K125" s="74" t="s">
        <v>4086</v>
      </c>
      <c r="L125" s="58"/>
      <c r="M125" s="58"/>
      <c r="N125" s="58"/>
      <c r="O125" s="58"/>
      <c r="P125" s="58"/>
      <c r="Q125" s="58"/>
      <c r="R125" s="58"/>
      <c r="S125" s="58"/>
      <c r="T125" s="58"/>
      <c r="U125" s="58"/>
      <c r="V125" s="58"/>
      <c r="W125" s="105"/>
      <c r="X125" s="58" t="s">
        <v>3695</v>
      </c>
      <c r="Y125" s="52"/>
      <c r="Z125" s="52"/>
      <c r="AA125" s="52"/>
      <c r="AB125" s="52"/>
      <c r="AC125" s="52"/>
    </row>
    <row r="126" customHeight="1" ht="87.0">
      <c r="A126" s="73">
        <v>114</v>
      </c>
      <c r="B126" s="118"/>
      <c r="C126" s="118"/>
      <c r="D126" s="117" t="s">
        <v>4087</v>
      </c>
      <c r="E126" s="58" t="s">
        <v>4082</v>
      </c>
      <c r="F126" s="58" t="s">
        <v>210</v>
      </c>
      <c r="G126" s="58" t="s">
        <v>4088</v>
      </c>
      <c r="H126" s="58" t="s">
        <v>4089</v>
      </c>
      <c r="I126" s="58" t="s">
        <v>3440</v>
      </c>
      <c r="J126" s="58" t="s">
        <v>4090</v>
      </c>
      <c r="K126" s="74" t="s">
        <v>4091</v>
      </c>
      <c r="L126" s="58"/>
      <c r="M126" s="58"/>
      <c r="N126" s="58"/>
      <c r="O126" s="58"/>
      <c r="P126" s="58"/>
      <c r="Q126" s="58"/>
      <c r="R126" s="58"/>
      <c r="S126" s="58"/>
      <c r="T126" s="58"/>
      <c r="U126" s="58"/>
      <c r="V126" s="58"/>
      <c r="W126" s="105"/>
      <c r="X126" s="58" t="s">
        <v>3695</v>
      </c>
      <c r="Y126" s="52"/>
      <c r="Z126" s="52"/>
      <c r="AA126" s="52"/>
      <c r="AB126" s="52"/>
      <c r="AC126" s="52"/>
    </row>
  </sheetData>
  <mergeCells count="75">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B16:B19"/>
    <mergeCell ref="B20:B43"/>
    <mergeCell ref="B44:B62"/>
    <mergeCell ref="B63:B89"/>
    <mergeCell ref="B90:B102"/>
    <mergeCell ref="B103:B107"/>
    <mergeCell ref="B108:B111"/>
    <mergeCell ref="B112:B115"/>
    <mergeCell ref="B117:B123"/>
    <mergeCell ref="B124:B126"/>
    <mergeCell ref="C14:C15"/>
    <mergeCell ref="C16:C17"/>
    <mergeCell ref="C18:C19"/>
    <mergeCell ref="C20:C25"/>
    <mergeCell ref="C26:C30"/>
    <mergeCell ref="C31:C37"/>
    <mergeCell ref="C38:C43"/>
    <mergeCell ref="C44:C50"/>
    <mergeCell ref="C51:C55"/>
    <mergeCell ref="C56:C61"/>
    <mergeCell ref="C63:C64"/>
    <mergeCell ref="C65:C66"/>
    <mergeCell ref="C67:C71"/>
    <mergeCell ref="C72:C75"/>
    <mergeCell ref="C76:C77"/>
    <mergeCell ref="C79:C80"/>
    <mergeCell ref="C81:C85"/>
    <mergeCell ref="C86:C89"/>
    <mergeCell ref="C90:C93"/>
    <mergeCell ref="C95:C98"/>
    <mergeCell ref="C100:C102"/>
    <mergeCell ref="C103:C105"/>
    <mergeCell ref="C108:C109"/>
    <mergeCell ref="C110:C111"/>
    <mergeCell ref="C112:C115"/>
    <mergeCell ref="C117:C119"/>
    <mergeCell ref="C120:C123"/>
    <mergeCell ref="C125:C126"/>
    <mergeCell ref="D23:D25"/>
    <mergeCell ref="D39:D41"/>
    <mergeCell ref="D45:D47"/>
    <mergeCell ref="D51:D52"/>
    <mergeCell ref="D53:D55"/>
    <mergeCell ref="D56:D61"/>
    <mergeCell ref="D68:D69"/>
    <mergeCell ref="D70:D71"/>
    <mergeCell ref="D91:D9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52560A22-0737-4E89-BAEE-DC1D8BC4C905}" type="list" allowBlank="1" errorStyle="stop" imeMode="noControl" operator="between" showDropDown="0" showErrorMessage="0" showInputMessage="0">
          <x14:formula1>
            <xm:f>"High,Medium,Low,Critical"</xm:f>
          </x14:formula1>
          <xm:sqref>F13:F178 F118:F148</xm:sqref>
        </x14:dataValidation>
        <x14:dataValidation xr:uid="{4599DBB1-56AA-4ABE-B3FC-6F65F1E58C11}" type="list" allowBlank="1" errorStyle="stop" imeMode="noControl" operator="between" showDropDown="0" showErrorMessage="0" showInputMessage="0">
          <x14:formula1>
            <xm:f>"Passed,Failed,Pending,Blocked,NA,Not execute"</xm:f>
          </x14:formula1>
          <xm:sqref>M13:M178 R13:R178</xm:sqref>
        </x14:dataValidation>
        <x14:dataValidation xr:uid="{737332FB-1F73-430F-89F9-99D66AF04AB7}"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