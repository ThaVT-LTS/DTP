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styles.xml" ContentType="application/vnd.openxmlformats-officedocument.spreadsheetml.styles+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5" firstSheet="0"/>
  </bookViews>
  <sheets>
    <sheet name="Cover" sheetId="1" state="visible" r:id="rId1"/>
    <sheet name="Test_Report" sheetId="2" state="visible" r:id="rId2"/>
    <sheet name="Login" sheetId="3" state="visible" r:id="rId3"/>
    <sheet name="Scopes" sheetId="4" state="visible" r:id="rId4"/>
    <sheet name="Frameworks" sheetId="9" state="visible" r:id="rId12"/>
    <sheet name="Workspaces" sheetId="10" state="visible" r:id="rId13"/>
    <sheet name="Users" sheetId="6" state="visible" r:id="rId6"/>
    <sheet name="Profile" sheetId="7" state="visible" r:id="rId7"/>
    <sheet name="Cần xác nhận" sheetId="8" state="visible" r:id="rId8"/>
  </sheets>
  <calcPr fullCalcOnLoad="1"/>
  <extLst>
    <ext xmlns:x15="http://schemas.microsoft.com/office/spreadsheetml/2010/11/main" uri="{D0CA8CA8-9F24-4464-BF8E-62219DCF47F9}"/>
  </extLst>
</workbook>
</file>

<file path=xl/sharedStrings.xml><?xml version="1.0" encoding="utf-8"?>
<sst xmlns="http://schemas.openxmlformats.org/spreadsheetml/2006/main" count="7961" uniqueCount="3337">
  <si>
    <t xml:space="preserve">TEST CASE</t>
  </si>
  <si>
    <t xml:space="preserve">Project Name</t>
  </si>
  <si>
    <t>DTP</t>
  </si>
  <si>
    <t>Creator</t>
  </si>
  <si>
    <t xml:space="preserve">Project Code</t>
  </si>
  <si>
    <t>Reviewer/Approver</t>
  </si>
  <si>
    <t xml:space="preserve">Document Code</t>
  </si>
  <si>
    <t xml:space="preserve">Issue Date</t>
  </si>
  <si>
    <t>Version</t>
  </si>
  <si>
    <t xml:space="preserve">Version 1.6</t>
  </si>
  <si>
    <t xml:space="preserve">Purpose of document</t>
  </si>
  <si>
    <t xml:space="preserve">Test environment</t>
  </si>
  <si>
    <t xml:space="preserve">Record of change</t>
  </si>
  <si>
    <t xml:space="preserve">Effective Date</t>
  </si>
  <si>
    <t xml:space="preserve">Change Item</t>
  </si>
  <si>
    <t>*A,D,M</t>
  </si>
  <si>
    <t xml:space="preserve">Change description</t>
  </si>
  <si>
    <t>Reference</t>
  </si>
  <si>
    <t>01/10/2026</t>
  </si>
  <si>
    <t>1.0</t>
  </si>
  <si>
    <t xml:space="preserve">Login, Scopes</t>
  </si>
  <si>
    <t>A</t>
  </si>
  <si>
    <t xml:space="preserve">Tạo mới</t>
  </si>
  <si>
    <t xml:space="preserve">UC List v2.1, Figma</t>
  </si>
  <si>
    <t>02/10/2026</t>
  </si>
  <si>
    <t>1.1</t>
  </si>
  <si>
    <t xml:space="preserve">Tất cả sheet</t>
  </si>
  <si>
    <t>M</t>
  </si>
  <si>
    <t xml:space="preserve">Một màu, một phông</t>
  </si>
  <si>
    <t xml:space="preserve">FB-016, FB-019</t>
  </si>
  <si>
    <t>Login</t>
  </si>
  <si>
    <t xml:space="preserve">Sửa vùng đếm tổng kết</t>
  </si>
  <si>
    <t>FB-019</t>
  </si>
  <si>
    <t>05/10/2026</t>
  </si>
  <si>
    <t>1.2</t>
  </si>
  <si>
    <t xml:space="preserve">Users, Profile, Cần xác nhận</t>
  </si>
  <si>
    <t xml:space="preserve">Tạo mới từ UC List v4; nhãn, bố cục chờ Figma trang 02</t>
  </si>
  <si>
    <t xml:space="preserve">UC List v4</t>
  </si>
  <si>
    <t>06/10/2026</t>
  </si>
  <si>
    <t>1.3</t>
  </si>
  <si>
    <t xml:space="preserve">Scopes, Login, Users</t>
  </si>
  <si>
    <t xml:space="preserve">Pre-condition chỉ ghi trạng thái trước khi vào màn đang test, mở màn là Step 1; đổi Name sang giá trị cụ thể ở các case tạo scope</t>
  </si>
  <si>
    <t>FB-040</t>
  </si>
  <si>
    <t>Scopes</t>
  </si>
  <si>
    <t xml:space="preserve">Thêm Scope_130–132; viết lại Scope_021, 022, 025, 026 kiểm tra đủ Type, Name, In scope, Out of scope; thêm Q-S-28</t>
  </si>
  <si>
    <t>FB-041</t>
  </si>
  <si>
    <t>07/10/2026</t>
  </si>
  <si>
    <t>1.4</t>
  </si>
  <si>
    <t xml:space="preserve">Hanna viết lại khu vực Điều hướng và Danh sách scope (No. 1–67)</t>
  </si>
  <si>
    <t xml:space="preserve">FB-042 → FB-046</t>
  </si>
  <si>
    <t>1.5</t>
  </si>
  <si>
    <t xml:space="preserve">Viết lại từ Chi tiết scope trở xuống theo cách viết của bản 1.4; thêm case biên cho Evidence coverage, Coverage; đánh lại No. và TVP_ID</t>
  </si>
  <si>
    <t xml:space="preserve">FB-042 → FB-048</t>
  </si>
  <si>
    <t xml:space="preserve">Mọi ô Times New Roman 10; ô bắt đầu bằng dấu - có dấu nháy đơn ở đầu</t>
  </si>
  <si>
    <t xml:space="preserve">FB-016, FB-049</t>
  </si>
  <si>
    <t>08/10/2026</t>
  </si>
  <si>
    <t>1.6</t>
  </si>
  <si>
    <t>Frameworks</t>
  </si>
  <si>
    <t xml:space="preserve">Thêm sheet Frameworks (118 case; Expected để trống ở case còn câu hỏi Q-F)</t>
  </si>
  <si>
    <t xml:space="preserve">UC v4 FWK-01…07</t>
  </si>
  <si>
    <t>Annotation:</t>
  </si>
  <si>
    <t xml:space="preserve">A: Add</t>
  </si>
  <si>
    <t xml:space="preserve">D: Delete</t>
  </si>
  <si>
    <t xml:space="preserve">M: Modify</t>
  </si>
  <si>
    <t xml:space="preserve">Test Round 1</t>
  </si>
  <si>
    <t xml:space="preserve">Test Round 2 (After fixed bug)</t>
  </si>
  <si>
    <t xml:space="preserve">Sheet name</t>
  </si>
  <si>
    <t xml:space="preserve">Classification I</t>
  </si>
  <si>
    <t xml:space="preserve">Classification II</t>
  </si>
  <si>
    <t xml:space="preserve">Executed rate</t>
  </si>
  <si>
    <t>Executed</t>
  </si>
  <si>
    <t>Total</t>
  </si>
  <si>
    <t>Passed</t>
  </si>
  <si>
    <t>Failed</t>
  </si>
  <si>
    <t>Pending</t>
  </si>
  <si>
    <t>Blocked</t>
  </si>
  <si>
    <t>NA</t>
  </si>
  <si>
    <t xml:space="preserve">Not execute</t>
  </si>
  <si>
    <t xml:space="preserve">Executed 
rate</t>
  </si>
  <si>
    <t xml:space="preserve">Đăng nhập - Login</t>
  </si>
  <si>
    <t xml:space="preserve">Điều hướng - Redirect</t>
  </si>
  <si>
    <t xml:space="preserve">Hiển thị - Display</t>
  </si>
  <si>
    <t xml:space="preserve">Ngôn ngữ - Language</t>
  </si>
  <si>
    <t>Email</t>
  </si>
  <si>
    <t xml:space="preserve">Mật khẩu - Password</t>
  </si>
  <si>
    <t xml:space="preserve">Ghi nhớ đăng nhập</t>
  </si>
  <si>
    <t xml:space="preserve">Đăng nhập - Sign in</t>
  </si>
  <si>
    <t xml:space="preserve">Nút Sign in</t>
  </si>
  <si>
    <t xml:space="preserve">Hỗ trợ - Support</t>
  </si>
  <si>
    <t xml:space="preserve">Bảo mật - Security</t>
  </si>
  <si>
    <t xml:space="preserve">Vào danh sách - Scope list</t>
  </si>
  <si>
    <t xml:space="preserve">Vào chi tiết - Scope detail</t>
  </si>
  <si>
    <t xml:space="preserve">Danh sách scope - Scope list</t>
  </si>
  <si>
    <t xml:space="preserve">Tiêu đề trang - Title</t>
  </si>
  <si>
    <t xml:space="preserve">Trạng thái rỗng - Empty</t>
  </si>
  <si>
    <t xml:space="preserve">Tạo scope - Create scope</t>
  </si>
  <si>
    <t xml:space="preserve">Thanh công cụ - Toolbar</t>
  </si>
  <si>
    <t xml:space="preserve">Bảng danh sách - Table</t>
  </si>
  <si>
    <t xml:space="preserve">Phân trang - Paging</t>
  </si>
  <si>
    <t xml:space="preserve">Chi tiết scope - Scope detail</t>
  </si>
  <si>
    <t xml:space="preserve">Phần đầu - Header</t>
  </si>
  <si>
    <t xml:space="preserve">Điều hướng trong màn - Section nav</t>
  </si>
  <si>
    <t xml:space="preserve">Tổng quan - Overview</t>
  </si>
  <si>
    <t xml:space="preserve">Sửa scope - Edit scope</t>
  </si>
  <si>
    <t xml:space="preserve">Khối Frameworks - Frameworks</t>
  </si>
  <si>
    <t xml:space="preserve">Gắn framework - Link framework</t>
  </si>
  <si>
    <t xml:space="preserve">Đổi tier - Change tier</t>
  </si>
  <si>
    <t xml:space="preserve">Khối Users - Users</t>
  </si>
  <si>
    <t xml:space="preserve">Gán người dùng - Assign users</t>
  </si>
  <si>
    <t xml:space="preserve">Tổng hợp - Summary</t>
  </si>
  <si>
    <t xml:space="preserve">Phân quyền - Permission</t>
  </si>
  <si>
    <t xml:space="preserve">Customer User</t>
  </si>
  <si>
    <t xml:space="preserve">Customer Viewer</t>
  </si>
  <si>
    <t xml:space="preserve">Vai trò SGS - SGS roles</t>
  </si>
  <si>
    <t xml:space="preserve">Cách ly tenant - Tenant isolation</t>
  </si>
  <si>
    <t xml:space="preserve">Dữ liệu nhập - Input</t>
  </si>
  <si>
    <t xml:space="preserve">Ghi vết - Audit log</t>
  </si>
  <si>
    <t xml:space="preserve">Vào danh sách - Framework list</t>
  </si>
  <si>
    <t xml:space="preserve">Vào chi tiết - Framework detail</t>
  </si>
  <si>
    <t xml:space="preserve">Quay lại - Back</t>
  </si>
  <si>
    <t xml:space="preserve">Danh sách framework - Framework list</t>
  </si>
  <si>
    <t xml:space="preserve">Tiêu đề trang - Page header</t>
  </si>
  <si>
    <t xml:space="preserve">Phân trang - Pagination</t>
  </si>
  <si>
    <t xml:space="preserve">Chi tiết framework - Framework detail</t>
  </si>
  <si>
    <t xml:space="preserve">Menu ba chấm - More menu</t>
  </si>
  <si>
    <t xml:space="preserve">Điều hướng trong màn - In-page tabs</t>
  </si>
  <si>
    <t xml:space="preserve">Yêu cầu - Requirements</t>
  </si>
  <si>
    <t xml:space="preserve">Nhập framework - Import framework</t>
  </si>
  <si>
    <t xml:space="preserve">Hộp thoại Import - Import dialog</t>
  </si>
  <si>
    <t xml:space="preserve">Chọn file - File picker</t>
  </si>
  <si>
    <t xml:space="preserve">Kiểm tra file - Check file</t>
  </si>
  <si>
    <t xml:space="preserve">Bản nháp - Draft preview</t>
  </si>
  <si>
    <t xml:space="preserve">Nội dung bản nháp - Draft content</t>
  </si>
  <si>
    <t xml:space="preserve">Khung Import bên phải - Import panel</t>
  </si>
  <si>
    <t xml:space="preserve">Huỷ bản nháp - Discard draft</t>
  </si>
  <si>
    <t xml:space="preserve">Kích hoạt framework - Activate framework</t>
  </si>
  <si>
    <t xml:space="preserve">Hộp thoại Activate - Activate dialog</t>
  </si>
  <si>
    <t xml:space="preserve">Hiển thị với khách hàng - Customer view</t>
  </si>
  <si>
    <t xml:space="preserve">SGS Admin</t>
  </si>
  <si>
    <t xml:space="preserve">SGS User</t>
  </si>
  <si>
    <t xml:space="preserve">SGS Consultant</t>
  </si>
  <si>
    <t xml:space="preserve">SGS Auditor/Certification</t>
  </si>
  <si>
    <t xml:space="preserve">Vai trò Customer</t>
  </si>
  <si>
    <t xml:space="preserve">Dữ liệu trong file import - Imported data</t>
  </si>
  <si>
    <t>Users</t>
  </si>
  <si>
    <t xml:space="preserve">Vào danh sách - User list</t>
  </si>
  <si>
    <t xml:space="preserve">Vào chi tiết - User detail</t>
  </si>
  <si>
    <t xml:space="preserve">Danh sách người dùng - User list</t>
  </si>
  <si>
    <t xml:space="preserve">Phạm vi dữ liệu - Boundary</t>
  </si>
  <si>
    <t xml:space="preserve">Người được mời - Invited user</t>
  </si>
  <si>
    <t xml:space="preserve">Chi tiết người dùng - User detail</t>
  </si>
  <si>
    <t xml:space="preserve">Nội dung - Content</t>
  </si>
  <si>
    <t xml:space="preserve">Mời người dùng - Invite user</t>
  </si>
  <si>
    <t xml:space="preserve">Vai trò được chọn - Role options</t>
  </si>
  <si>
    <t xml:space="preserve">Gửi lời mời - Send invitation</t>
  </si>
  <si>
    <t xml:space="preserve">Lời mời đang chờ - Pending invitation</t>
  </si>
  <si>
    <t xml:space="preserve">Đổi vai trò - Change role</t>
  </si>
  <si>
    <t xml:space="preserve">Quyền theo scope - Scope access</t>
  </si>
  <si>
    <t xml:space="preserve">Cấp quyền - Grant</t>
  </si>
  <si>
    <t xml:space="preserve">Gỡ quyền - Remove</t>
  </si>
  <si>
    <t xml:space="preserve">Đối tượng được cấp - Who can be granted</t>
  </si>
  <si>
    <t xml:space="preserve">Ma trận quyền - Role permissions</t>
  </si>
  <si>
    <t xml:space="preserve">Xem ma trận - View</t>
  </si>
  <si>
    <t xml:space="preserve">Phạm vi affiliate - Affiliate boundary</t>
  </si>
  <si>
    <t>Profile</t>
  </si>
  <si>
    <t xml:space="preserve">Chỗ đổi ngôn ngữ - Language setting</t>
  </si>
  <si>
    <t xml:space="preserve">Đổi ngôn ngữ - Switch language</t>
  </si>
  <si>
    <t xml:space="preserve">Giao diện - Interface</t>
  </si>
  <si>
    <t xml:space="preserve">Nội dung framework - Framework content</t>
  </si>
  <si>
    <t xml:space="preserve">Lưu lựa chọn - Persistence</t>
  </si>
  <si>
    <t xml:space="preserve">Theo người dùng - Per user</t>
  </si>
  <si>
    <t xml:space="preserve">Function Name</t>
  </si>
  <si>
    <t xml:space="preserve">AUTH-L0001_Đăng nhập</t>
  </si>
  <si>
    <t xml:space="preserve">Round </t>
  </si>
  <si>
    <t xml:space="preserve">Screen Name</t>
  </si>
  <si>
    <t xml:space="preserve">Login · Customer Portal</t>
  </si>
  <si>
    <t xml:space="preserve">Round 1</t>
  </si>
  <si>
    <t>Hanna</t>
  </si>
  <si>
    <t xml:space="preserve">Created date</t>
  </si>
  <si>
    <t xml:space="preserve">Round 2</t>
  </si>
  <si>
    <t xml:space="preserve">Figma SGS-DTP-DS · Screens 01 Authentication · Customer / Sign in</t>
  </si>
  <si>
    <t>Classification</t>
  </si>
  <si>
    <t>Priority</t>
  </si>
  <si>
    <t>TVP_ID</t>
  </si>
  <si>
    <t xml:space="preserve">Test case name/ Test view point</t>
  </si>
  <si>
    <t>Pre-condition</t>
  </si>
  <si>
    <t>Step</t>
  </si>
  <si>
    <t xml:space="preserve">Expected result</t>
  </si>
  <si>
    <t xml:space="preserve">Dev test</t>
  </si>
  <si>
    <t>Result</t>
  </si>
  <si>
    <t xml:space="preserve">Test person</t>
  </si>
  <si>
    <t xml:space="preserve">Test date</t>
  </si>
  <si>
    <t>Bug_ID</t>
  </si>
  <si>
    <t>Remark</t>
  </si>
  <si>
    <t xml:space="preserve">Open question</t>
  </si>
  <si>
    <t>UC</t>
  </si>
  <si>
    <t>No.</t>
  </si>
  <si>
    <t>I</t>
  </si>
  <si>
    <t>II</t>
  </si>
  <si>
    <t>III</t>
  </si>
  <si>
    <t>IV</t>
  </si>
  <si>
    <t xml:space="preserve">Vào màn hình</t>
  </si>
  <si>
    <t xml:space="preserve">Chưa đăng nhập</t>
  </si>
  <si>
    <t>High</t>
  </si>
  <si>
    <t>TC_001</t>
  </si>
  <si>
    <t xml:space="preserve">Kiểm tra đường dẫn vào màn hình đăng nhập</t>
  </si>
  <si>
    <t xml:space="preserve">1. Mở {{url.customer}}</t>
  </si>
  <si>
    <t xml:space="preserve">- Chuyển sang màn hình Đăng nhập
- Hiển thị đủ: logo SGS, tiêu đề Digital Trust Platform, phụ đề Customer Portal</t>
  </si>
  <si>
    <t>UC-AUTH-001</t>
  </si>
  <si>
    <t xml:space="preserve">Đã đăng nhập</t>
  </si>
  <si>
    <t>Medium</t>
  </si>
  <si>
    <t>TC_002</t>
  </si>
  <si>
    <t xml:space="preserve">Kiểm tra khi đã đăng nhập mà mở lại màn đăng nhập</t>
  </si>
  <si>
    <t xml:space="preserve">Đã đăng nhập bằng {{user.cust_admin}}</t>
  </si>
  <si>
    <t xml:space="preserve">1. Mở lại {{url.customer}}/login</t>
  </si>
  <si>
    <t xml:space="preserve">Chưa rõ: vào thẳng Home hay vẫn hiện màn đăng nhập → Q-L-12</t>
  </si>
  <si>
    <t xml:space="preserve">Mở link sâu khi chưa đăng nhập</t>
  </si>
  <si>
    <t>TC_003</t>
  </si>
  <si>
    <t xml:space="preserve">Kiểm tra mở trang nội bộ bằng URL khi chưa đăng nhập</t>
  </si>
  <si>
    <t xml:space="preserve">1. Dán URL một trang nội bộ, ví dụ {{url.customer}}/scopes
2. Enter</t>
  </si>
  <si>
    <t xml:space="preserve">- Chuyển sang màn hình Đăng nhập, không hiển thị nội dung trang nội bộ</t>
  </si>
  <si>
    <t xml:space="preserve">Sau khi đăng nhập có quay lại đúng trang vừa mở không → Q-L-12</t>
  </si>
  <si>
    <t>UC-ROL-001</t>
  </si>
  <si>
    <t xml:space="preserve">Khối bên trái</t>
  </si>
  <si>
    <t xml:space="preserve">Thương hiệu</t>
  </si>
  <si>
    <t>Low</t>
  </si>
  <si>
    <t>TC_004</t>
  </si>
  <si>
    <t xml:space="preserve">Kiểm tra hiển thị khối thương hiệu bên trái</t>
  </si>
  <si>
    <t xml:space="preserve">1. Mở {{url.customer}}
2. Kiểm tra khối bên trái</t>
  </si>
  <si>
    <t xml:space="preserve">- Hiển thị hoạ tiết thương hiệu SGS
- Tiêu đề: Digital Trust Platform
- Phụ đề: Customer Portal</t>
  </si>
  <si>
    <t xml:space="preserve">Khối bên phải</t>
  </si>
  <si>
    <t xml:space="preserve">Logo và tiêu đề</t>
  </si>
  <si>
    <t>TC_005</t>
  </si>
  <si>
    <t xml:space="preserve">Kiểm tra hiển thị logo và tiêu đề khối đăng nhập</t>
  </si>
  <si>
    <t xml:space="preserve">1. Mở {{url.customer}}
2. Kiểm tra phần đầu khối bên phải</t>
  </si>
  <si>
    <t xml:space="preserve">- Logo SGS
- Tiêu đề: Digital Trust Platform
- Phụ đề: Customer Portal</t>
  </si>
  <si>
    <t xml:space="preserve">Tiêu đề trình duyệt</t>
  </si>
  <si>
    <t>TC_006</t>
  </si>
  <si>
    <t xml:space="preserve">Kiểm tra tiêu đề tab trình duyệt</t>
  </si>
  <si>
    <t xml:space="preserve">1. Mở {{url.customer}}
2. Kiểm tra tiêu đề tab</t>
  </si>
  <si>
    <t xml:space="preserve">Chưa có text tiêu đề tab trong thiết kế</t>
  </si>
  <si>
    <t xml:space="preserve">Màn hình hẹp</t>
  </si>
  <si>
    <t>TC_007</t>
  </si>
  <si>
    <t xml:space="preserve">Kiểm tra hiển thị ở màn hình hẹp</t>
  </si>
  <si>
    <t xml:space="preserve">1. Mở {{url.customer}}
2. Thu nhỏ cửa sổ xuống dưới 768px
3. Kiểm tra bố cục</t>
  </si>
  <si>
    <t xml:space="preserve">Thiết kế chưa có bản màn hình hẹp</t>
  </si>
  <si>
    <t xml:space="preserve">Bộ chọn ngôn ngữ</t>
  </si>
  <si>
    <t xml:space="preserve">Hiển thị mặc định</t>
  </si>
  <si>
    <t>TC_008</t>
  </si>
  <si>
    <t xml:space="preserve">Kiểm tra hiển thị mặc định của bộ chọn ngôn ngữ</t>
  </si>
  <si>
    <t xml:space="preserve">1. Mở {{url.customer}}
2. Kiểm tra góc trên bên phải</t>
  </si>
  <si>
    <t xml:space="preserve">- Hiển thị icon quả địa cầu
- Giá trị mặc định: EN
- Có mũi tên mở danh sách</t>
  </si>
  <si>
    <t xml:space="preserve">Mặc định lấy theo trình duyệt hay cố định EN → Q-L-08</t>
  </si>
  <si>
    <t xml:space="preserve">Mở danh sách</t>
  </si>
  <si>
    <t>TC_009</t>
  </si>
  <si>
    <t xml:space="preserve">Kiểm tra hiển thị khi mở danh sách ngôn ngữ</t>
  </si>
  <si>
    <t xml:space="preserve">1. Mở {{url.customer}}
2. Bấm vào bộ chọn ngôn ngữ</t>
  </si>
  <si>
    <t xml:space="preserve">Danh sách ngôn ngữ gồm những gì → Q-L-08</t>
  </si>
  <si>
    <t xml:space="preserve">Chọn ngôn ngữ khác</t>
  </si>
  <si>
    <t>TC_010</t>
  </si>
  <si>
    <t xml:space="preserve">Kiểm tra khi chọn một ngôn ngữ khác</t>
  </si>
  <si>
    <t xml:space="preserve">1. Mở {{url.customer}}
2. Mở danh sách
3. Chọn một ngôn ngữ khác EN</t>
  </si>
  <si>
    <t xml:space="preserve">Bản dịch của màn đăng nhập chưa có → Q-L-08</t>
  </si>
  <si>
    <t xml:space="preserve">Giữ lựa chọn</t>
  </si>
  <si>
    <t>TC_011</t>
  </si>
  <si>
    <t xml:space="preserve">Kiểm tra giữ ngôn ngữ đã chọn sau khi tải lại trang</t>
  </si>
  <si>
    <t xml:space="preserve">1. Mở {{url.customer}}
2. Chọn ngôn ngữ khác
3. Tải lại trang</t>
  </si>
  <si>
    <t xml:space="preserve">Có lưu lựa chọn không → Q-L-08</t>
  </si>
  <si>
    <t xml:space="preserve">Hiển thị</t>
  </si>
  <si>
    <t xml:space="preserve">Mặc định</t>
  </si>
  <si>
    <t>TC_012</t>
  </si>
  <si>
    <t xml:space="preserve">Kiểm tra hiển thị mặc định của trường Email</t>
  </si>
  <si>
    <t xml:space="preserve">1. Mở {{url.customer}}
2. Kiểm tra trường Email</t>
  </si>
  <si>
    <t xml:space="preserve">- Nhãn: Email kèm dấu * đỏ
- Placeholder: name@company.com
- Ô rỗng, không có thông báo lỗi</t>
  </si>
  <si>
    <t xml:space="preserve">Khi focus</t>
  </si>
  <si>
    <t>TC_013</t>
  </si>
  <si>
    <t xml:space="preserve">Kiểm tra hiển thị khi đặt con trỏ vào trường Email</t>
  </si>
  <si>
    <t xml:space="preserve">1. Mở {{url.customer}}
2. Bấm vào trường Email</t>
  </si>
  <si>
    <t xml:space="preserve">- Trường được làm nổi
- Placeholder vẫn hiển thị khi chưa gõ</t>
  </si>
  <si>
    <t xml:space="preserve">Nhập liệu</t>
  </si>
  <si>
    <t xml:space="preserve">Nhập hợp lệ</t>
  </si>
  <si>
    <t>TC_014</t>
  </si>
  <si>
    <t xml:space="preserve">Kiểm tra nhập email đúng định dạng</t>
  </si>
  <si>
    <t xml:space="preserve">1. Mở {{url.customer}}
2. Nhập {{user.cust_admin}}</t>
  </si>
  <si>
    <t xml:space="preserve">- Hiển thị đúng text đã nhập
- Không có thông báo lỗi</t>
  </si>
  <si>
    <t xml:space="preserve">Giới hạn ký tự</t>
  </si>
  <si>
    <t>TC_015</t>
  </si>
  <si>
    <t xml:space="preserve">Kiểm tra nhập quá giới hạn ký tự</t>
  </si>
  <si>
    <t xml:space="preserve">1. Mở {{url.customer}}
2. Nhập chuỗi dài hơn giới hạn cho phép</t>
  </si>
  <si>
    <t xml:space="preserve">Giới hạn ký tự của Email là bao nhiêu → Q-L-10</t>
  </si>
  <si>
    <t xml:space="preserve">Ký tự đặc biệt và câu lệnh SQL</t>
  </si>
  <si>
    <t>TC_016</t>
  </si>
  <si>
    <t xml:space="preserve">Kiểm tra nhập ký tự đặc biệt và câu lệnh SQL</t>
  </si>
  <si>
    <t xml:space="preserve">1. Mở {{url.customer}}
2. Nhập chuỗi chứa ' OR 1=1 -- và thẻ &lt;script&gt;
3. Bấm Sign in</t>
  </si>
  <si>
    <t xml:space="preserve">- Không đăng nhập được
- Không có lỗi hệ thống, không lộ thông tin kỹ thuật</t>
  </si>
  <si>
    <t xml:space="preserve">Text lỗi hiển thị là gì → Q-L-02</t>
  </si>
  <si>
    <t xml:space="preserve">Khoảng trắng đầu cuối</t>
  </si>
  <si>
    <t>TC_017</t>
  </si>
  <si>
    <t xml:space="preserve">Kiểm tra nhập email có khoảng trắng ở đầu và cuối</t>
  </si>
  <si>
    <t xml:space="preserve">1. Mở {{url.customer}}
2. Nhập ' {{user.cust_admin}} '
3. Bấm Sign in</t>
  </si>
  <si>
    <t xml:space="preserve">Có tự cắt khoảng trắng không → Q-L-02</t>
  </si>
  <si>
    <t xml:space="preserve">Chữ hoa chữ thường</t>
  </si>
  <si>
    <t>TC_018</t>
  </si>
  <si>
    <t xml:space="preserve">Kiểm tra nhập email viết hoa</t>
  </si>
  <si>
    <t xml:space="preserve">1. Mở {{url.customer}}
2. Nhập email đúng nhưng viết hoa toàn bộ
3. Bấm Sign in</t>
  </si>
  <si>
    <t xml:space="preserve">Email có phân biệt hoa thường không → Q-L-02</t>
  </si>
  <si>
    <t xml:space="preserve">Kiểm tra dữ liệu</t>
  </si>
  <si>
    <t xml:space="preserve">Bỏ trống</t>
  </si>
  <si>
    <t>TC_019</t>
  </si>
  <si>
    <t xml:space="preserve">Kiểm tra bỏ trống Email rồi đăng nhập</t>
  </si>
  <si>
    <t xml:space="preserve">1. Mở {{url.customer}}
2. Để trống Email
3. Nhập mật khẩu hợp lệ
4. Bấm Sign in</t>
  </si>
  <si>
    <t xml:space="preserve">- Không gọi đăng nhập
- Hiển thị thông báo lỗi ngay dưới trường Email</t>
  </si>
  <si>
    <t xml:space="preserve">Text lỗi nguyên văn → Q-L-01</t>
  </si>
  <si>
    <t xml:space="preserve">Sai định dạng</t>
  </si>
  <si>
    <t>TC_020</t>
  </si>
  <si>
    <t xml:space="preserve">Kiểm tra nhập email sai định dạng</t>
  </si>
  <si>
    <t xml:space="preserve">1. Mở {{url.customer}}
2. Nhập 'abc@' 
3. Nhập mật khẩu hợp lệ
4. Bấm Sign in</t>
  </si>
  <si>
    <t xml:space="preserve">Text lỗi nguyên văn → Q-L-02</t>
  </si>
  <si>
    <t>TC_021</t>
  </si>
  <si>
    <t xml:space="preserve">Kiểm tra hiển thị mặc định của trường Mật khẩu</t>
  </si>
  <si>
    <t xml:space="preserve">1. Mở {{url.customer}}
2. Kiểm tra trường Password</t>
  </si>
  <si>
    <t xml:space="preserve">- Nhãn: Password kèm dấu * đỏ
- Placeholder: Enter your password
- Ô rỗng, không có thông báo lỗi</t>
  </si>
  <si>
    <t xml:space="preserve">Che ký tự</t>
  </si>
  <si>
    <t>TC_022</t>
  </si>
  <si>
    <t xml:space="preserve">Kiểm tra ký tự mật khẩu được che</t>
  </si>
  <si>
    <t xml:space="preserve">1. Mở {{url.customer}}
2. Nhập mật khẩu bất kỳ</t>
  </si>
  <si>
    <t xml:space="preserve">- Mọi ký tự hiển thị dạng chấm tròn, không hiện text gốc</t>
  </si>
  <si>
    <t xml:space="preserve">Nút hiện mật khẩu</t>
  </si>
  <si>
    <t>TC_023</t>
  </si>
  <si>
    <t xml:space="preserve">Kiểm tra nút hiện/ẩn mật khẩu</t>
  </si>
  <si>
    <t xml:space="preserve">1. Mở {{url.customer}}
2. Kiểm tra bên trong trường Password</t>
  </si>
  <si>
    <t xml:space="preserve">Thiết kế không có nút hiện/ẩn mật khẩu — có hay không → Q-L-11</t>
  </si>
  <si>
    <t>TC_024</t>
  </si>
  <si>
    <t xml:space="preserve">Giới hạn ký tự của Password là bao nhiêu → Q-L-10</t>
  </si>
  <si>
    <t xml:space="preserve">Dán nội dung</t>
  </si>
  <si>
    <t>TC_025</t>
  </si>
  <si>
    <t xml:space="preserve">Kiểm tra dán mật khẩu từ bộ nhớ tạm</t>
  </si>
  <si>
    <t xml:space="preserve">1. Mở {{url.customer}}
2. Dán chuỗi vào trường Password</t>
  </si>
  <si>
    <t xml:space="preserve">- Cho phép dán
- Ký tự vẫn được che</t>
  </si>
  <si>
    <t>TC_026</t>
  </si>
  <si>
    <t xml:space="preserve">Kiểm tra bỏ trống Mật khẩu rồi đăng nhập</t>
  </si>
  <si>
    <t xml:space="preserve">1. Mở {{url.customer}}
2. Nhập Email hợp lệ
3. Để trống Password
4. Bấm Sign in</t>
  </si>
  <si>
    <t xml:space="preserve">- Không gọi đăng nhập
- Hiển thị thông báo lỗi ngay dưới trường Password</t>
  </si>
  <si>
    <t xml:space="preserve">Bỏ trống cả hai</t>
  </si>
  <si>
    <t>TC_027</t>
  </si>
  <si>
    <t xml:space="preserve">Kiểm tra bỏ trống cả hai trường rồi đăng nhập</t>
  </si>
  <si>
    <t xml:space="preserve">1. Mở {{url.customer}}
2. Để trống cả hai
3. Bấm Sign in</t>
  </si>
  <si>
    <t xml:space="preserve">- Không gọi đăng nhập
- Hiển thị lỗi ở cả hai trường</t>
  </si>
  <si>
    <t>Checkbox</t>
  </si>
  <si>
    <t>TC_028</t>
  </si>
  <si>
    <t xml:space="preserve">Kiểm tra trạng thái mặc định của checkbox</t>
  </si>
  <si>
    <t xml:space="preserve">1. Mở {{url.customer}}
2. Kiểm tra checkbox Keep me signed in</t>
  </si>
  <si>
    <t xml:space="preserve">- Checkbox ở trạng thái chưa tích
- Nhãn: Keep me signed in</t>
  </si>
  <si>
    <t xml:space="preserve">Tích và bỏ tích</t>
  </si>
  <si>
    <t>TC_029</t>
  </si>
  <si>
    <t xml:space="preserve">Kiểm tra tích và bỏ tích checkbox</t>
  </si>
  <si>
    <t xml:space="preserve">1. Mở {{url.customer}}
2. Tích checkbox
3. Bỏ tích</t>
  </si>
  <si>
    <t xml:space="preserve">- Trạng thái đổi theo thao tác</t>
  </si>
  <si>
    <t xml:space="preserve">Phiên đăng nhập</t>
  </si>
  <si>
    <t xml:space="preserve">Có tích</t>
  </si>
  <si>
    <t>TC_030</t>
  </si>
  <si>
    <t xml:space="preserve">Kiểm tra thời hạn phiên khi có tích</t>
  </si>
  <si>
    <t xml:space="preserve">1. Mở {{url.customer}}
2. Tích checkbox
3. Đăng nhập thành công
4. Đóng trình duyệt rồi mở lại</t>
  </si>
  <si>
    <t xml:space="preserve">Thời hạn phiên khi có tích là bao lâu → Q-L-06</t>
  </si>
  <si>
    <t xml:space="preserve">Không tích</t>
  </si>
  <si>
    <t>TC_031</t>
  </si>
  <si>
    <t xml:space="preserve">Kiểm tra thời hạn phiên khi không tích</t>
  </si>
  <si>
    <t xml:space="preserve">1. Mở {{url.customer}}
2. Không tích checkbox
3. Đăng nhập thành công
4. Đóng trình duyệt rồi mở lại</t>
  </si>
  <si>
    <t xml:space="preserve">Thời hạn phiên khi không tích là bao lâu → Q-L-06</t>
  </si>
  <si>
    <t xml:space="preserve">Thành công</t>
  </si>
  <si>
    <t xml:space="preserve">Đúng cặp email và mật khẩu</t>
  </si>
  <si>
    <t>TC_032</t>
  </si>
  <si>
    <t xml:space="preserve">Kiểm tra đăng nhập với thông tin hợp lệ</t>
  </si>
  <si>
    <t xml:space="preserve">Chưa đăng nhập; có tài khoản {{user.cust_admin}} đang hoạt động</t>
  </si>
  <si>
    <t xml:space="preserve">1. Mở {{url.customer}}
2. Nhập {{user.cust_admin}}
3. Nhập mật khẩu đúng
4. Bấm Sign in</t>
  </si>
  <si>
    <t xml:space="preserve">- Đăng nhập thành công, không có thông báo lỗi
- Rời khỏi màn hình đăng nhập</t>
  </si>
  <si>
    <t xml:space="preserve">Màn hình sau khi đăng nhập</t>
  </si>
  <si>
    <t>TC_033</t>
  </si>
  <si>
    <t xml:space="preserve">Kiểm tra màn hình hiển thị sau khi đăng nhập</t>
  </si>
  <si>
    <t xml:space="preserve">1. Mở {{url.customer}}
2. Đăng nhập thành công
3. Kiểm tra màn hình</t>
  </si>
  <si>
    <t xml:space="preserve">- Hiển thị màn hình Home của Customer Portal
- Menu trái hiện đúng các mục theo vai trò</t>
  </si>
  <si>
    <t xml:space="preserve">Xác nhận màn hình đích là Home → Q-L-12</t>
  </si>
  <si>
    <t xml:space="preserve">Nhấn Enter để gửi</t>
  </si>
  <si>
    <t>TC_034</t>
  </si>
  <si>
    <t xml:space="preserve">Kiểm tra đăng nhập bằng phím Enter</t>
  </si>
  <si>
    <t xml:space="preserve">1. Mở {{url.customer}}
2. Nhập đủ email và mật khẩu
3. Nhấn phím Enter</t>
  </si>
  <si>
    <t xml:space="preserve">- Gửi biểu mẫu, kết quả giống khi bấm Sign in</t>
  </si>
  <si>
    <t xml:space="preserve">Vai trò khác</t>
  </si>
  <si>
    <t>TC_035</t>
  </si>
  <si>
    <t xml:space="preserve">Kiểm tra đăng nhập bằng vai trò chỉ đọc</t>
  </si>
  <si>
    <t xml:space="preserve">Chưa đăng nhập; có tài khoản {{user.cust_viewer}} đang hoạt động</t>
  </si>
  <si>
    <t xml:space="preserve">1. Mở {{url.customer}}
2. Đăng nhập bằng {{user.cust_viewer}}</t>
  </si>
  <si>
    <t xml:space="preserve">- Đăng nhập thành công
- Menu và nút hành động hiển thị theo đúng quyền của vai trò</t>
  </si>
  <si>
    <t xml:space="preserve">Không thành công</t>
  </si>
  <si>
    <t xml:space="preserve">Sai mật khẩu</t>
  </si>
  <si>
    <t>TC_036</t>
  </si>
  <si>
    <t xml:space="preserve">Kiểm tra đăng nhập với mật khẩu sai</t>
  </si>
  <si>
    <t xml:space="preserve">1. Mở {{url.customer}}
2. Nhập email đúng
3. Nhập mật khẩu sai
4. Bấm Sign in</t>
  </si>
  <si>
    <t xml:space="preserve">- Không đăng nhập được, vẫn ở màn hình đăng nhập
- Hiển thị thông báo lỗi</t>
  </si>
  <si>
    <t xml:space="preserve">Text lỗi nguyên văn → Q-L-03</t>
  </si>
  <si>
    <t xml:space="preserve">Email không tồn tại</t>
  </si>
  <si>
    <t>TC_037</t>
  </si>
  <si>
    <t xml:space="preserve">Kiểm tra đăng nhập với email không tồn tại</t>
  </si>
  <si>
    <t xml:space="preserve">1. Mở {{url.customer}}
2. Nhập email chưa đăng ký
3. Nhập mật khẩu bất kỳ
4. Bấm Sign in</t>
  </si>
  <si>
    <t xml:space="preserve">- Không đăng nhập được
- Thông báo lỗi KHÔNG được tiết lộ email có tồn tại trên hệ thống hay không</t>
  </si>
  <si>
    <t xml:space="preserve">Text lỗi nguyên văn, và có dùng chung text với sai mật khẩu không → Q-L-03</t>
  </si>
  <si>
    <t xml:space="preserve">Tài khoản chưa kích hoạt</t>
  </si>
  <si>
    <t>TC_038</t>
  </si>
  <si>
    <t xml:space="preserve">Kiểm tra đăng nhập bằng tài khoản chưa kích hoạt</t>
  </si>
  <si>
    <t xml:space="preserve">Chưa đăng nhập; có tài khoản ở trạng thái chưa kích hoạt</t>
  </si>
  <si>
    <t xml:space="preserve">1. Mở {{url.customer}}
2. Nhập email của tài khoản chưa kích hoạt
3. Nhập mật khẩu
4. Bấm Sign in</t>
  </si>
  <si>
    <t xml:space="preserve">- Không đăng nhập được</t>
  </si>
  <si>
    <t xml:space="preserve">Điều kiện và text của trạng thái Inactive → Q-L-05</t>
  </si>
  <si>
    <t>UC-AUTH-005</t>
  </si>
  <si>
    <t xml:space="preserve">Tài khoản bị khoá</t>
  </si>
  <si>
    <t>TC_039</t>
  </si>
  <si>
    <t xml:space="preserve">Kiểm tra đăng nhập bằng tài khoản bị khoá</t>
  </si>
  <si>
    <t xml:space="preserve">Chưa đăng nhập; có tài khoản ở trạng thái bị khoá</t>
  </si>
  <si>
    <t xml:space="preserve">1. Mở {{url.customer}}
2. Nhập email của tài khoản bị khoá
3. Nhập mật khẩu đúng
4. Bấm Sign in</t>
  </si>
  <si>
    <t xml:space="preserve">Điều kiện khoá và text → Q-L-04</t>
  </si>
  <si>
    <t xml:space="preserve">Sai nhiều lần liên tiếp</t>
  </si>
  <si>
    <t>TC_040</t>
  </si>
  <si>
    <t xml:space="preserve">Kiểm tra nhập sai mật khẩu nhiều lần liên tiếp</t>
  </si>
  <si>
    <t xml:space="preserve">1. Mở {{url.customer}}
2. Nhập sai mật khẩu nhiều lần liên tiếp
3. Kiểm tra sau mỗi lần</t>
  </si>
  <si>
    <t xml:space="preserve">Sai bao nhiêu lần thì khoá, khoá bao lâu, có CAPTCHA không → Q-L-04, Q-L-13</t>
  </si>
  <si>
    <t xml:space="preserve">Tài khoản bị tạm ngừng</t>
  </si>
  <si>
    <t>TC_041</t>
  </si>
  <si>
    <t xml:space="preserve">Kiểm tra đăng nhập khi tài khoản khách hàng bị tạm ngừng</t>
  </si>
  <si>
    <t xml:space="preserve">Chưa đăng nhập; tài khoản khách hàng ở trạng thái tạm ngừng (UC-ACC-009)</t>
  </si>
  <si>
    <t xml:space="preserve">1. Mở {{url.customer}}
2. Đăng nhập bằng người dùng thuộc tenant đó</t>
  </si>
  <si>
    <t xml:space="preserve">- Không truy cập được nền tảng</t>
  </si>
  <si>
    <t xml:space="preserve">Hiển thị thông báo gì → Q-L-05</t>
  </si>
  <si>
    <t>UC-ACC-009</t>
  </si>
  <si>
    <t xml:space="preserve">Trạng thái nút</t>
  </si>
  <si>
    <t>TC_042</t>
  </si>
  <si>
    <t xml:space="preserve">Kiểm tra trạng thái mặc định của nút Sign in</t>
  </si>
  <si>
    <t xml:space="preserve">1. Mở {{url.customer}}
2. Kiểm tra nút Sign in khi hai trường còn rỗng</t>
  </si>
  <si>
    <t xml:space="preserve">Nút bật hay tắt khi chưa nhập gì → Q-L-01</t>
  </si>
  <si>
    <t xml:space="preserve">Đang xử lý</t>
  </si>
  <si>
    <t>TC_043</t>
  </si>
  <si>
    <t xml:space="preserve">Kiểm tra trạng thái nút khi đang gửi</t>
  </si>
  <si>
    <t xml:space="preserve">1. Mở {{url.customer}}
2. Nhập đủ thông tin
3. Bấm Sign in
4. Quan sát nút trong lúc chờ</t>
  </si>
  <si>
    <t xml:space="preserve">Thiết kế chưa có trạng thái đang xử lý</t>
  </si>
  <si>
    <t xml:space="preserve">Bấm nhiều lần</t>
  </si>
  <si>
    <t>TC_044</t>
  </si>
  <si>
    <t xml:space="preserve">Kiểm tra bấm Sign in nhiều lần liên tiếp</t>
  </si>
  <si>
    <t xml:space="preserve">1. Mở {{url.customer}}
2. Nhập đủ thông tin
3. Bấm Sign in liên tiếp nhiều lần</t>
  </si>
  <si>
    <t xml:space="preserve">- Chỉ tạo một phiên đăng nhập, không gửi trùng yêu cầu</t>
  </si>
  <si>
    <t xml:space="preserve">Liên kết</t>
  </si>
  <si>
    <t xml:space="preserve">Contact SGS support</t>
  </si>
  <si>
    <t>TC_045</t>
  </si>
  <si>
    <t xml:space="preserve">Kiểm tra hiển thị dòng hỗ trợ</t>
  </si>
  <si>
    <t xml:space="preserve">1. Mở {{url.customer}}
2. Kiểm tra dòng dưới nút Sign in</t>
  </si>
  <si>
    <t xml:space="preserve">- Text: Need help?
- Liên kết: Contact SGS support, có gạch chân</t>
  </si>
  <si>
    <t xml:space="preserve">Bấm vào liên kết</t>
  </si>
  <si>
    <t>TC_046</t>
  </si>
  <si>
    <t xml:space="preserve">Kiểm tra khi bấm Contact SGS support</t>
  </si>
  <si>
    <t xml:space="preserve">1. Mở {{url.customer}}
2. Bấm Contact SGS support</t>
  </si>
  <si>
    <t xml:space="preserve">Liên kết dẫn tới đâu: email, trang hỗ trợ hay cửa sổ chat → Q-L-09</t>
  </si>
  <si>
    <t xml:space="preserve">Quên mật khẩu</t>
  </si>
  <si>
    <t xml:space="preserve">Lối vào</t>
  </si>
  <si>
    <t>TC_047</t>
  </si>
  <si>
    <t xml:space="preserve">Kiểm tra lối vào chức năng quên mật khẩu</t>
  </si>
  <si>
    <t xml:space="preserve">1. Mở {{url.customer}}
2. Tìm liên kết quên mật khẩu trên màn hình đăng nhập</t>
  </si>
  <si>
    <t xml:space="preserve">Màn hình không có liên kết quên mật khẩu, trong khi UC-AUTH-003 có chức năng này. Vào từ đâu → Q-L-07</t>
  </si>
  <si>
    <t>UC-AUTH-003</t>
  </si>
  <si>
    <t xml:space="preserve">Lộ thông tin</t>
  </si>
  <si>
    <t xml:space="preserve">Mật khẩu trong DOM</t>
  </si>
  <si>
    <t>TC_048</t>
  </si>
  <si>
    <t xml:space="preserve">Kiểm tra mật khẩu không bị lộ trong mã trang</t>
  </si>
  <si>
    <t xml:space="preserve">1. Mở {{url.customer}}
2. Nhập mật khẩu
3. Mở công cụ nhà phát triển, xem phần tử trường Password</t>
  </si>
  <si>
    <t xml:space="preserve">- Thuộc tính type là password
- Giá trị không hiển thị dạng text thường</t>
  </si>
  <si>
    <t xml:space="preserve">Mật khẩu trong yêu cầu mạng</t>
  </si>
  <si>
    <t>TC_049</t>
  </si>
  <si>
    <t xml:space="preserve">Kiểm tra mật khẩu không nằm trên URL</t>
  </si>
  <si>
    <t xml:space="preserve">1. Mở {{url.customer}}
2. Mở tab Network
3. Đăng nhập
4. Kiểm tra yêu cầu đăng nhập</t>
  </si>
  <si>
    <t xml:space="preserve">- Gửi bằng phương thức POST qua HTTPS
- Mật khẩu không nằm trong chuỗi truy vấn của URL</t>
  </si>
  <si>
    <t xml:space="preserve">Phiên làm việc</t>
  </si>
  <si>
    <t xml:space="preserve">Quay lại sau khi đăng xuất</t>
  </si>
  <si>
    <t>TC_050</t>
  </si>
  <si>
    <t xml:space="preserve">Kiểm tra dùng nút Quay lại sau khi đăng xuất</t>
  </si>
  <si>
    <t xml:space="preserve">Đã đăng nhập rồi đăng xuất</t>
  </si>
  <si>
    <t xml:space="preserve">1. Bấm nút Quay lại của trình duyệt
2. Kiểm tra hiển thị</t>
  </si>
  <si>
    <t xml:space="preserve">- Không hiển thị nội dung trang nội bộ
- Chuyển về màn hình đăng nhập</t>
  </si>
  <si>
    <t xml:space="preserve">Gọi thẳng API khi chưa đăng nhập</t>
  </si>
  <si>
    <t>TC_051</t>
  </si>
  <si>
    <t xml:space="preserve">Kiểm tra gọi API khi chưa có phiên</t>
  </si>
  <si>
    <t xml:space="preserve">1. Gọi thẳng một API nội bộ không kèm token</t>
  </si>
  <si>
    <t xml:space="preserve">- Trả về 401, không trả dữ liệu</t>
  </si>
  <si>
    <t xml:space="preserve">Ghi vết</t>
  </si>
  <si>
    <t xml:space="preserve">Ghi nhận lần đăng nhập</t>
  </si>
  <si>
    <t>TC_052</t>
  </si>
  <si>
    <t xml:space="preserve">Kiểm tra ghi vết đăng nhập thành công và thất bại</t>
  </si>
  <si>
    <t xml:space="preserve">1. Mở {{url.customer}}
2. Đăng nhập sai một lần
3. Đăng nhập đúng một lần
4. Mở Audit Trail bằng {{user.sgs_admin}}</t>
  </si>
  <si>
    <t xml:space="preserve">- Có bản ghi cho cả lần thất bại và lần thành công, đúng người, đúng thời điểm</t>
  </si>
  <si>
    <t xml:space="preserve">MVP có ghi vết lần đăng nhập thất bại không</t>
  </si>
  <si>
    <t>UC-AUD-001</t>
  </si>
  <si>
    <t xml:space="preserve">SCP-L0001_Quản lý scope</t>
  </si>
  <si>
    <t xml:space="preserve">Scopes · Customer Portal</t>
  </si>
  <si>
    <t xml:space="preserve">Figma SGS-DTP-DS · Screens 05 Scopes · prototype</t>
  </si>
  <si>
    <t xml:space="preserve">Từ menu</t>
  </si>
  <si>
    <t xml:space="preserve">Bấm Scopes ở menu trái</t>
  </si>
  <si>
    <t>Scope_001</t>
  </si>
  <si>
    <t xml:space="preserve">Kiểm tra vào màn Scopes từ menu trái</t>
  </si>
  <si>
    <t xml:space="preserve">Đăng nhập account Customer Admin</t>
  </si>
  <si>
    <t xml:space="preserve">1. Bấm mục Scopes ở menu trái</t>
  </si>
  <si>
    <t xml:space="preserve">- Chuyển sang màn Scopes
- Breadcrumb: Scopes
- Mục Scopes ở menu trái được tô nền</t>
  </si>
  <si>
    <t>UC-SCP-001</t>
  </si>
  <si>
    <t xml:space="preserve">Bằng URL</t>
  </si>
  <si>
    <t>Scope_002</t>
  </si>
  <si>
    <t xml:space="preserve">Kiểm tra mở màn Scopes bằng URL</t>
  </si>
  <si>
    <t xml:space="preserve">1. Mở thẳng vào scopes</t>
  </si>
  <si>
    <t xml:space="preserve">- Hiển thị màn Scopes
- Mục Scopes ở menu trái được tô nền</t>
  </si>
  <si>
    <t xml:space="preserve">Từ danh sách</t>
  </si>
  <si>
    <t xml:space="preserve">Bấm tên scope</t>
  </si>
  <si>
    <t>Scope_003</t>
  </si>
  <si>
    <t xml:space="preserve">Kiểm tra mở chi tiết scope từ danh sách</t>
  </si>
  <si>
    <t xml:space="preserve">1. Vào màn hình Scopes</t>
  </si>
  <si>
    <t xml:space="preserve">- Chuyển sang màn chi tiết, đúng dạng URL
- Tiêu đề trang đúng định dạng</t>
  </si>
  <si>
    <t>UC-SCP-002</t>
  </si>
  <si>
    <t xml:space="preserve">Mã scope hợp lệ</t>
  </si>
  <si>
    <t>Scope_004</t>
  </si>
  <si>
    <t xml:space="preserve">Kiểm tra mở chi tiết scope bằng URL</t>
  </si>
  <si>
    <t xml:space="preserve">1. Mở url đúng định dạng</t>
  </si>
  <si>
    <t xml:space="preserve">- Hiển thị màn chi tiết của màn hình scope</t>
  </si>
  <si>
    <t xml:space="preserve">Mã scope không tồn tại</t>
  </si>
  <si>
    <t>Scope_005</t>
  </si>
  <si>
    <t xml:space="preserve">Kiểm tra mở chi tiết bằng mã scope không tồn tại</t>
  </si>
  <si>
    <t xml:space="preserve">1. Mở url sai định dạng</t>
  </si>
  <si>
    <t xml:space="preserve">- Hiển thị lỗi:
"This scope doesn’t exist
It may have been removed, or it belongs to an organisation you can’t see."</t>
  </si>
  <si>
    <t xml:space="preserve">Hiện trang lỗi, thông báo, hay quay về danh sách → Q-S-26</t>
  </si>
  <si>
    <t xml:space="preserve">Breadcrumb, tiêu đề, mô tả</t>
  </si>
  <si>
    <t>Scope_006</t>
  </si>
  <si>
    <t xml:space="preserve">Kiểm tra phần đầu màn Scopes</t>
  </si>
  <si>
    <t xml:space="preserve">1. Mở màn Scopes
2. Kiểm tra phần đầu trang</t>
  </si>
  <si>
    <t xml:space="preserve">- Breadcrumb: Scopes
- Tiêu đề: Scopes
- Mô tả: The parts of [tenant.short] you prepare for a framework: the organisation, a product or a system.</t>
  </si>
  <si>
    <t xml:space="preserve">Mô tả dùng tên ngắn (ABC Trading), màn chi tiết dùng tên đầy đủ (ABC Trading Co., Ltd.) → Q-S-02</t>
  </si>
  <si>
    <t xml:space="preserve">Chưa có scope</t>
  </si>
  <si>
    <t xml:space="preserve">Customer Admin</t>
  </si>
  <si>
    <t>Scope_007</t>
  </si>
  <si>
    <t xml:space="preserve">Kiểm tra màn Scopes khi tenant chưa có scope nào</t>
  </si>
  <si>
    <t xml:space="preserve">Đăng nhập Customer Admin của tenant chưa có scope nào</t>
  </si>
  <si>
    <t xml:space="preserve">1. Mở màn Scopes</t>
  </si>
  <si>
    <t xml:space="preserve">- Hiển thị thông tin:
"Create your first scope
A scope is the part of your organisation you want to prepare: the whole organisation, a product, or one system. Link a framework to it to start collecting evidence."</t>
  </si>
  <si>
    <t xml:space="preserve">Figma có frame Scopes / Empty, chưa đối chiếu được text → Q-S-10</t>
  </si>
  <si>
    <t xml:space="preserve">Nút tạo scope</t>
  </si>
  <si>
    <t>Scope_008</t>
  </si>
  <si>
    <t xml:space="preserve">Kiểm tra hiển thị nút tạo scope</t>
  </si>
  <si>
    <t xml:space="preserve">1. Mở màn Scopes
2. Kiểm tra góc trên bên phải</t>
  </si>
  <si>
    <t xml:space="preserve">- Có nút tạo scope ở góc trên bên phải</t>
  </si>
  <si>
    <t xml:space="preserve">Nhãn: Figma 'Create scope', prototype '+ Create scope' → Q-S-03</t>
  </si>
  <si>
    <t>UC-SCP-003</t>
  </si>
  <si>
    <t xml:space="preserve">Mở hộp thoại</t>
  </si>
  <si>
    <t xml:space="preserve">Bấm nút tạo scope</t>
  </si>
  <si>
    <t>Scope_009</t>
  </si>
  <si>
    <t xml:space="preserve">Kiểm tra mở hộp thoại Create scope</t>
  </si>
  <si>
    <t xml:space="preserve">1. Mở màn Scopes
2. Bấm nút tạo scope</t>
  </si>
  <si>
    <t xml:space="preserve">- Mở hộp thoại tiêu đề Create scope, có nút đóng ×
- Có nút Cancel và nút Create scope</t>
  </si>
  <si>
    <t xml:space="preserve">Trạng thái mặc định</t>
  </si>
  <si>
    <t>Scope_010</t>
  </si>
  <si>
    <t xml:space="preserve">Kiểm tra các trường mặc định của hộp thoại Create scope</t>
  </si>
  <si>
    <t xml:space="preserve">1. Mở màn Scopes
2. Mở hộp thoại Create scope
3. Kiểm tra từ trên xuống</t>
  </si>
  <si>
    <t xml:space="preserve">- Type * gồm 3 lựa chọn, chưa chọn sẵn lựa chọn nào:
  Organization — The whole company or one legal entity
  Product — A product or service you offer
  System — One information system; can belong to an organisation and a product
- Name * rỗng
- What is in scope * rỗng
- What is out of scope (optional) rỗng, placeholder: e.g. Marketing email tool run by a supplier</t>
  </si>
  <si>
    <t xml:space="preserve">Chọn loại</t>
  </si>
  <si>
    <t xml:space="preserve">Chọn System</t>
  </si>
  <si>
    <t>Scope_011</t>
  </si>
  <si>
    <t xml:space="preserve">Kiểm tra các trường hiện thêm khi chọn System</t>
  </si>
  <si>
    <t xml:space="preserve">1. Mở màn Scopes
2. Mở hộp thoại Create scope
3. Chọn System</t>
  </si>
  <si>
    <t xml:space="preserve">- Lựa chọn System được đánh dấu
- Hiện thêm hai trường: Belongs to organisation (placeholder Choose) và Belongs to product (optional) (mặc định None)</t>
  </si>
  <si>
    <t xml:space="preserve">Belongs to organisation không có * cũng không ghi (optional) → Q-S-04</t>
  </si>
  <si>
    <t xml:space="preserve">Đổi từ System sang loại khác</t>
  </si>
  <si>
    <t>Scope_012</t>
  </si>
  <si>
    <t xml:space="preserve">Kiểm tra đổi loại sau khi đã chọn System</t>
  </si>
  <si>
    <t xml:space="preserve">1. Mở màn Scopes
2. Mở hộp thoại, chọn System, chọn một giá trị Belongs to organisation
3. Đổi sang Organization
4. Đổi sang Product</t>
  </si>
  <si>
    <t xml:space="preserve">- Ở bước 2 và 3 không còn hai trường Belongs to organisation, Belongs to product (optional)</t>
  </si>
  <si>
    <t xml:space="preserve">Giá trị Belongs to đã chọn có bị bỏ khi đổi loại → Q-S-04</t>
  </si>
  <si>
    <t xml:space="preserve">Danh sách chọn</t>
  </si>
  <si>
    <t xml:space="preserve">Belongs to organisation</t>
  </si>
  <si>
    <t>Scope_013</t>
  </si>
  <si>
    <t xml:space="preserve">Kiểm tra danh sách chọn của Belongs to organisation</t>
  </si>
  <si>
    <t xml:space="preserve">1. Mở màn Scopes
2. Mở hộp thoại, chọn System
3. Mở danh sách Belongs to organisation</t>
  </si>
  <si>
    <t xml:space="preserve">- Chỉ liệt kê scope loại Organization của tenant
- Không có scope loại Product, System</t>
  </si>
  <si>
    <t xml:space="preserve">Belongs to product</t>
  </si>
  <si>
    <t>Scope_014</t>
  </si>
  <si>
    <t xml:space="preserve">Kiểm tra danh sách chọn của Belongs to product (optional)</t>
  </si>
  <si>
    <t xml:space="preserve">1. Mở màn Scopes
2. Mở hộp thoại, chọn System
3. Mở danh sách Belongs to product (optional)</t>
  </si>
  <si>
    <t xml:space="preserve">- Có lựa chọn None
- Liệt kê scope loại Product của tenant
- Không có scope loại Organization, System</t>
  </si>
  <si>
    <t xml:space="preserve">Không chọn Type</t>
  </si>
  <si>
    <t>Scope_015</t>
  </si>
  <si>
    <t xml:space="preserve">Kiểm tra tạo scope khi chưa chọn Type</t>
  </si>
  <si>
    <t xml:space="preserve">1. Mở màn Scopes
2. Mở hộp thoại
3. Nhập Name, What is in scope; không chọn Type
4. Bấm Create scope</t>
  </si>
  <si>
    <t xml:space="preserve">- Không tạo scope, hộp thoại vẫn mở
- Hiện lỗi tại Type:
"Choose the type of scope."</t>
  </si>
  <si>
    <t xml:space="preserve">Text lỗi nguyên văn → Q-S-05</t>
  </si>
  <si>
    <t xml:space="preserve">Bỏ trống Name</t>
  </si>
  <si>
    <t>Scope_016</t>
  </si>
  <si>
    <t xml:space="preserve">Kiểm tra tạo scope khi bỏ trống Name</t>
  </si>
  <si>
    <t xml:space="preserve">1. Mở màn Scopes
2. Mở hộp thoại
3. Chọn Organization, nhập What is in scope, để trống Name
4. Bấm Create scope</t>
  </si>
  <si>
    <t xml:space="preserve">- Không tạo scope, hộp thoại vẫn mở
- Hiện lỗi tại Name:
"Enter a name."</t>
  </si>
  <si>
    <t xml:space="preserve">Name chỉ có khoảng trắng</t>
  </si>
  <si>
    <t>Scope_017</t>
  </si>
  <si>
    <t xml:space="preserve">Kiểm tra tạo scope khi Name chỉ có khoảng trắng</t>
  </si>
  <si>
    <t xml:space="preserve">1. Mở màn Scopes
2. Mở hộp thoại
3. Chọn Organization, nhập Name là ba dấu cách, nhập What is in scope
4. Bấm Create scope</t>
  </si>
  <si>
    <t xml:space="preserve">Khoảng trắng có bị coi là rỗng → Q-S-05</t>
  </si>
  <si>
    <t xml:space="preserve">Bỏ trống What is in scope</t>
  </si>
  <si>
    <t>Scope_018</t>
  </si>
  <si>
    <t xml:space="preserve">Kiểm tra tạo scope khi bỏ trống What is in scope</t>
  </si>
  <si>
    <t xml:space="preserve">1. Mở màn Scopes
2. Mở hộp thoại
3. Chọn Organization, nhập Name, để trống What is in scope
4. Bấm Create scope</t>
  </si>
  <si>
    <t xml:space="preserve">- Không tạo scope, hộp thoại vẫn mở
- Hiện lỗi tại What is in scope:
"Describe what is in scope."</t>
  </si>
  <si>
    <t xml:space="preserve">What is in scope chỉ có khoảng trắng</t>
  </si>
  <si>
    <t>Scope_019</t>
  </si>
  <si>
    <t xml:space="preserve">Kiểm tra tạo scope khi What is in scope chỉ có khoảng trắng</t>
  </si>
  <si>
    <t xml:space="preserve">1. Mở màn Scopes
2. Mở hộp thoại
3. Chọn Organization, nhập Name, nhập What is in scope là ba dấu cách
4. Bấm Create scope</t>
  </si>
  <si>
    <t xml:space="preserve">Trùng tên</t>
  </si>
  <si>
    <t>Scope_020</t>
  </si>
  <si>
    <t xml:space="preserve">Kiểm tra tạo scope trùng tên scope đang có</t>
  </si>
  <si>
    <t xml:space="preserve">1. Mở màn Scopes
2. Mở hộp thoại
3. Nhập Name trùng tên [Organization], nhập đủ trường bắt buộc
4. Bấm Create scope</t>
  </si>
  <si>
    <t xml:space="preserve">- Không tạo scope, hộp thoại vẫn mở
- Hiện lỗi tại Name:
"A scope with this name already exists."</t>
  </si>
  <si>
    <t xml:space="preserve">Chặn hay cho phép trùng tên; có phân biệt hoa thường → Q-S-05</t>
  </si>
  <si>
    <t xml:space="preserve">Quá giới hạn ký tự</t>
  </si>
  <si>
    <t>Scope_021</t>
  </si>
  <si>
    <t xml:space="preserve">1. Mở màn Scopes
2. Nhập Name, What is in scope, What is out of scope dài hơn giới hạn</t>
  </si>
  <si>
    <t xml:space="preserve">Giới hạn ký tự từng trường → Q-S-05</t>
  </si>
  <si>
    <t xml:space="preserve">Bấm Cancel</t>
  </si>
  <si>
    <t>Scope_022</t>
  </si>
  <si>
    <t xml:space="preserve">Kiểm tra huỷ tạo scope bằng Cancel</t>
  </si>
  <si>
    <t xml:space="preserve">1. Mở màn Scopes
2. Mở hộp thoại, chọn loại, nhập Name
3. Bấm Cancel</t>
  </si>
  <si>
    <t xml:space="preserve">- Hộp thoại đóng
- Bảng không có dòng mới, dòng đếm giữ nguyên</t>
  </si>
  <si>
    <t xml:space="preserve">Đang nhập dở có hỏi xác nhận không → Q-S-06</t>
  </si>
  <si>
    <t xml:space="preserve">Bấm ×</t>
  </si>
  <si>
    <t>Scope_023</t>
  </si>
  <si>
    <t xml:space="preserve">Kiểm tra đóng hộp thoại tạo scope bằng nút ×</t>
  </si>
  <si>
    <t xml:space="preserve">1. Mở màn Scopes
2. Mở hộp thoại, nhập Name
3. Bấm ×</t>
  </si>
  <si>
    <t xml:space="preserve">- Hộp thoại đóng, không tạo scope</t>
  </si>
  <si>
    <t xml:space="preserve">Nhấn Esc</t>
  </si>
  <si>
    <t>Scope_024</t>
  </si>
  <si>
    <t xml:space="preserve">Kiểm tra nhấn Esc khi đang mở hộp thoại tạo scope</t>
  </si>
  <si>
    <t xml:space="preserve">1. Mở màn Scopes
2. Mở hộp thoại, nhập Name
3. Nhấn Esc</t>
  </si>
  <si>
    <t xml:space="preserve">Thiết kế không ghi; prototype đóng hộp thoại ngay → Q-S-06</t>
  </si>
  <si>
    <t xml:space="preserve">Organization — hiện ở danh sách</t>
  </si>
  <si>
    <t>Scope_025</t>
  </si>
  <si>
    <t xml:space="preserve">Kiểm tra thông tin vừa tạo</t>
  </si>
  <si>
    <t xml:space="preserve">1. Mở màn Scopes
2. Bấm nút tạo scope để mở hộp thoại Create scope
3. Chọn Type: Organization
4. Nhập
- Name: abc
- What is in scope: abc
- What is out of scope (optional): abc
5. Bấm Create scope, tạo thành công
6. Kiểm tra dòng vừa tạo trong danh sách</t>
  </si>
  <si>
    <t xml:space="preserve">- Hộp thoại đóng, tạo thành công
- Danh sách có dòng với Name: abc, nhãn loại Organization
- Cột Belongs to: —
- Dòng đếm tăng 1</t>
  </si>
  <si>
    <t xml:space="preserve">Danh sách scope có hiển thị What is in scope / What is out of scope không? Yêu cầu của Hanna: kiểm tra cả 4 thông tin trên Danh sách; Figma chỉ có các cột Scope, Belongs to, Frameworks, Users, Evidence coverage → Q-S-28</t>
  </si>
  <si>
    <t xml:space="preserve">Product — hiện ở danh sách</t>
  </si>
  <si>
    <t>Scope_026</t>
  </si>
  <si>
    <t xml:space="preserve">1. Mở màn Scopes
2. Bấm nút tạo scope để mở hộp thoại Create scope
3. Chọn Type: Product
4. Nhập
- Name: abc
- What is in scope: abc
- What is out of scope (optional): abc
5. Bấm Create scope, tạo thành công
6. Kiểm tra dòng vừa tạo trong danh sách</t>
  </si>
  <si>
    <t xml:space="preserve">- Hộp thoại đóng, tạo thành công
- Danh sách có dòng với
+ Name: abc
+ Nhãn loại: Product
- Cột Belongs to: —
- Dòng đếm tăng 1</t>
  </si>
  <si>
    <t xml:space="preserve">System — hiện ở danh sách</t>
  </si>
  <si>
    <t>Scope_027</t>
  </si>
  <si>
    <t xml:space="preserve">Kiểm tra scope System vừa tạo hiện ở danh sách</t>
  </si>
  <si>
    <t xml:space="preserve">1. Mở màn Scopes
2. Bấm nút tạo scope để mở hộp thoại Create scope
3. Chọn Type: System
4. Nhập
- Name: abc
- What is in scope: abc
- What is out of scope (optional): abc
5. Chọn
- Belongs to organisation: [Organization]
- Belongs to product (optional): [Product]
6. Bấm Create scope, tạo thành công
7. Kiểm tra dòng vừa tạo trong danh sách</t>
  </si>
  <si>
    <t xml:space="preserve">- Hộp thoại đóng, tạo thành công
- Danh sách có dòng với
+ Name: abc
+ Nhãn loại: System
- Cột Belongs to: [Organization], [Product]
- Dòng đếm tăng 1</t>
  </si>
  <si>
    <t xml:space="preserve">Dòng đếm</t>
  </si>
  <si>
    <t xml:space="preserve">Tổng số scope</t>
  </si>
  <si>
    <t>Scope_028</t>
  </si>
  <si>
    <t xml:space="preserve">Kiểm tra dòng đếm số scope</t>
  </si>
  <si>
    <t xml:space="preserve">1. Mở màn Scopes
2. Kiểm tra dòng phía trên bảng, bên trái</t>
  </si>
  <si>
    <t xml:space="preserve">- Hiển thị &lt;n&gt; scopes, n bằng tổng số scope trong bảng (cộng mọi trang)</t>
  </si>
  <si>
    <t xml:space="preserve">Tìm kiếm</t>
  </si>
  <si>
    <t xml:space="preserve">Hiển thị ô tìm kiếm</t>
  </si>
  <si>
    <t>Scope_029</t>
  </si>
  <si>
    <t xml:space="preserve">Kiểm tra ô tìm kiếm</t>
  </si>
  <si>
    <t xml:space="preserve">1. Mở màn Scopes
2. Kiểm tra phía trên bảng, bên phải</t>
  </si>
  <si>
    <t xml:space="preserve">- Ô tìm kiếm có icon kính lúp, placeholder: Search scopes</t>
  </si>
  <si>
    <t xml:space="preserve">Một phần tên</t>
  </si>
  <si>
    <t>Scope_030</t>
  </si>
  <si>
    <t xml:space="preserve">Kiểm tra tìm theo một phần tên scope</t>
  </si>
  <si>
    <t xml:space="preserve">1. Mở màn Scopes
2. Nhập [từ khóa] là một phần tên scope vào ô tìm kiếm</t>
  </si>
  <si>
    <t xml:space="preserve">- Bảng chỉ còn các scope có tên chứa [từ khóa]
- Dòng phân trang cập nhật theo số kết quả, ví dụ 1–2 of 2 items</t>
  </si>
  <si>
    <t xml:space="preserve">Dòng đếm có đổi theo kết quả không (prototype giữ nguyên tổng) → Q-S-07</t>
  </si>
  <si>
    <t xml:space="preserve">Chữ hoa</t>
  </si>
  <si>
    <t>Scope_031</t>
  </si>
  <si>
    <t xml:space="preserve">Kiểm tra tìm kiếm khi nhập chữ hoa</t>
  </si>
  <si>
    <t xml:space="preserve">1. Mở màn Scopes
2. Nhập [từ khóa] viết hoa vào ô tìm kiếm</t>
  </si>
  <si>
    <t xml:space="preserve">- Hệ thống hiển thị data đúng định dạng, không phân biệt chữ hoa hay không</t>
  </si>
  <si>
    <t xml:space="preserve">Có phân biệt hoa thường không (prototype không phân biệt) → Q-S-07</t>
  </si>
  <si>
    <t xml:space="preserve">Không có kết quả</t>
  </si>
  <si>
    <t>Scope_032</t>
  </si>
  <si>
    <t xml:space="preserve">Kiểm tra tìm kiếm không ra kết quả</t>
  </si>
  <si>
    <t xml:space="preserve">1. Mở màn Scopes
2. Nhập [từ khóa] không khớp tên scope nào vào ô tìm kiếm</t>
  </si>
  <si>
    <t xml:space="preserve">- Bảng và dòng phân trang ẩn
- Thông báo: No results for “[từ khóa]”
- Dòng phụ: Try a different search term.</t>
  </si>
  <si>
    <t xml:space="preserve">Text lấy từ prototype, Figma chưa có trạng thái này → Q-S-07</t>
  </si>
  <si>
    <t xml:space="preserve">Ký tự đặc biệt</t>
  </si>
  <si>
    <t>Scope_033</t>
  </si>
  <si>
    <t xml:space="preserve">Kiểm tra nhập ký tự đặc biệt vào ô tìm kiếm</t>
  </si>
  <si>
    <t xml:space="preserve">1. Mở màn Scopes
2. Nhập ' OR 1=1 -- vào ô tìm kiếm</t>
  </si>
  <si>
    <t xml:space="preserve">- Không có lỗi hệ thống, không lộ thông tin kỹ thuật
- Chuỗi được tìm như văn bản thường</t>
  </si>
  <si>
    <t xml:space="preserve">Xoá từ khoá</t>
  </si>
  <si>
    <t>Scope_034</t>
  </si>
  <si>
    <t xml:space="preserve">Kiểm tra xoá từ khoá tìm kiếm</t>
  </si>
  <si>
    <t xml:space="preserve">1. Mở màn Scopes
2. Nhập từ khóa
3. Xoá hết nội dung ô tìm kiếm</t>
  </si>
  <si>
    <t xml:space="preserve">- Bảng hiển thị lại toàn bộ scope
- Dòng phân trang trở về như lúc mở màn</t>
  </si>
  <si>
    <t xml:space="preserve">Tiêu đề cột</t>
  </si>
  <si>
    <t>Scope_035</t>
  </si>
  <si>
    <t xml:space="preserve">Kiểm tra tiêu đề các cột</t>
  </si>
  <si>
    <t xml:space="preserve">1. Mở màn Scopes
2. Kiểm tra hàng tiêu đề của bảng</t>
  </si>
  <si>
    <t xml:space="preserve">- 5 cột theo thứ tự: Scope · Belongs to · Frameworks · Users · Evidence coverage</t>
  </si>
  <si>
    <t xml:space="preserve">Cột Evidence coverage có trong MVP không → Q-S-11</t>
  </si>
  <si>
    <t xml:space="preserve">Cột Scope</t>
  </si>
  <si>
    <t>Scope_036</t>
  </si>
  <si>
    <t xml:space="preserve">Kiểm tra cột Scope</t>
  </si>
  <si>
    <t xml:space="preserve">1. Mở màn Scopes
2. Kiểm tra từng dòng ở cột Scope</t>
  </si>
  <si>
    <t xml:space="preserve">- Tên scope dạng liên kết
- Dưới tên có nhãn loại Organization, Product hoặc System, đúng loại của scope</t>
  </si>
  <si>
    <t xml:space="preserve">Cột Belongs to</t>
  </si>
  <si>
    <t>Scope_037</t>
  </si>
  <si>
    <t xml:space="preserve">Kiểm tra cột Belongs to với scope Organization</t>
  </si>
  <si>
    <t xml:space="preserve">1. Mở màn Scopes
2. Kiểm tra cột Belongs to của type: Organization</t>
  </si>
  <si>
    <t xml:space="preserve">- Hiển thị Belongs to: —</t>
  </si>
  <si>
    <t>Scope_038</t>
  </si>
  <si>
    <t xml:space="preserve">Kiểm tra cột Belongs to với scope Product</t>
  </si>
  <si>
    <t xml:space="preserve">1. Mở màn Scopes
2. Kiểm tra cột Belongs to của type: Product</t>
  </si>
  <si>
    <t>Scope_039</t>
  </si>
  <si>
    <t xml:space="preserve">Kiểm tra cột Belongs to với scope System</t>
  </si>
  <si>
    <t xml:space="preserve">1. Tạo scope với type: System chọn
- Belongs to organisation: [Organization]
- Belongs to product (optional): [Product]
2. Tạo thành công Scope
3. Kiểm tra cột Belongs to của type: System</t>
  </si>
  <si>
    <t xml:space="preserve">- Hiển thị Belongs to đúng thông tin đã chọn  Belongs to organisation và Belongs to product (optional), phân cách nhau bởi dấu phẩy</t>
  </si>
  <si>
    <t>Scope_040</t>
  </si>
  <si>
    <t xml:space="preserve">Kiểm tra cột Belongs to với scope System và bỏ trống lựa chọn Belongs to organisation và Belongs to product (optional)</t>
  </si>
  <si>
    <t xml:space="preserve">1. Tạo scope với type: System bỏ trống
- Belongs to organisation:
- Belongs to product (optional):
2. Tạo thành công Scope
3. Kiểm tra cột Belongs to của type: System</t>
  </si>
  <si>
    <t xml:space="preserve">Cột Frameworks — đã gắn</t>
  </si>
  <si>
    <t>Scope_041</t>
  </si>
  <si>
    <t xml:space="preserve">Kiểm tra cột Frameworks của scope đã gắn framework</t>
  </si>
  <si>
    <t xml:space="preserve">1. Mở màn Scopes
2. Đã gắn link Frameworks
3. Kiểm tra cột Frameworks</t>
  </si>
  <si>
    <t xml:space="preserve">- Mỗi framework một dòng dạng &lt;tên&gt; · &lt;phiên bản&gt;, ví dụ ISO/IEC 27001 · 2022
- Framework có tier thêm · &lt;tier&gt;, ví dụ Appendix 10 · 2022 · Medium</t>
  </si>
  <si>
    <t xml:space="preserve">Cột Frameworks — chưa gắn</t>
  </si>
  <si>
    <t>Scope_042</t>
  </si>
  <si>
    <t xml:space="preserve">Kiểm tra cột Frameworks của scope chưa gắn framework</t>
  </si>
  <si>
    <t xml:space="preserve">Đăng nhập account Customer Admin; trên Scopes đã tạo abc (Organization) chưa gắn framework</t>
  </si>
  <si>
    <t xml:space="preserve">1. Mở màn Scopes
2. Chưa gắn link Frameworks
3. Kiểm tra cột Frameworks của abc</t>
  </si>
  <si>
    <t xml:space="preserve">- Hiển thị: None linked yet</t>
  </si>
  <si>
    <t xml:space="preserve">Text theo Figma, prototype chưa có dữ liệu để đối chiếu → Q-S-13</t>
  </si>
  <si>
    <t xml:space="preserve">Cột Users</t>
  </si>
  <si>
    <t>Scope_043</t>
  </si>
  <si>
    <t xml:space="preserve">Kiểm tra cột Users khớp với màn chi tiết</t>
  </si>
  <si>
    <t xml:space="preserve">1. Mở màn Scopes
2. Ghi số ở cột Users
3. Mở chi tiết, đếm số dòng ở khối Users</t>
  </si>
  <si>
    <t xml:space="preserve">- Hai số bằng nhau</t>
  </si>
  <si>
    <t xml:space="preserve">Có tính Customer Admin không → Q-S-12</t>
  </si>
  <si>
    <t xml:space="preserve">Cột Evidence coverage</t>
  </si>
  <si>
    <t>Scope_044</t>
  </si>
  <si>
    <t xml:space="preserve"> Evidence coverage có nhiều framework</t>
  </si>
  <si>
    <t xml:space="preserve">1. Mở màn hình Scopes
2. Tạo Frameworks với:
- Framework A: 74/116;
- Framework B: 6/31;
- Framework C: 0/78</t>
  </si>
  <si>
    <t xml:space="preserve">- Hiển thị Evidence coverage = (74+6+0)/(116+31+78) × 100 = 35.56% → 36%</t>
  </si>
  <si>
    <t>UC-RDN-004</t>
  </si>
  <si>
    <t>Scope_045</t>
  </si>
  <si>
    <t xml:space="preserve"> Evidence coverage có 2 framework</t>
  </si>
  <si>
    <t xml:space="preserve">1. Mở màn hình Scopes
2. Tạo Frameworks với:
- Framework A: 16/40;
- Framework B: 38/61;</t>
  </si>
  <si>
    <t xml:space="preserve">- Hiển thị Evidence coverage = (16+38)/(40+61) × 100 = 53.47% → 53%</t>
  </si>
  <si>
    <t>Scope_046</t>
  </si>
  <si>
    <t xml:space="preserve">Tất cả requirement đều có mandatory evidence</t>
  </si>
  <si>
    <t xml:space="preserve">1. Mở màn hình Scopes
2. Tạo Frameworks với:
- Framework A: 40/40;
- Framework B: 61/61;</t>
  </si>
  <si>
    <t xml:space="preserve">- Hiển thị Evidence coverage = 101/101 × 100 = 100%</t>
  </si>
  <si>
    <t>Scope_047</t>
  </si>
  <si>
    <t xml:space="preserve">Không có requirement nào có mandatory evidence</t>
  </si>
  <si>
    <t xml:space="preserve">1. Mở màn hình Scopes
2. Tạo Frameworks với:
- Framework A: 0/116;
- Framework B: 0/31;</t>
  </si>
  <si>
    <t xml:space="preserve">- Hiển thị Evidence coverage = 0/147 × 100 = 0%</t>
  </si>
  <si>
    <t>Scope_048</t>
  </si>
  <si>
    <t xml:space="preserve">Chỉ có 1 framework được gắn link</t>
  </si>
  <si>
    <t xml:space="preserve">1. Mở màn hình Scopes
2. Tạo Frameworks với:
- Framework A: 16/40;</t>
  </si>
  <si>
    <t xml:space="preserve">- Hiển thị Evidence coverage = 16/40 × 100 = 40%</t>
  </si>
  <si>
    <t>Scope_049</t>
  </si>
  <si>
    <t xml:space="preserve">Một framework đạt 100%, một framework đạt 0%</t>
  </si>
  <si>
    <t xml:space="preserve">1. Mở màn hình Scopes
2. Tạo Frameworks với:
- Framework A: 40/40;
- Framework B: 0/60;</t>
  </si>
  <si>
    <t xml:space="preserve">- Hiển thị Evidence coverage = 40/100 × 100 = 40%</t>
  </si>
  <si>
    <t xml:space="preserve">[ĐỀ XUẤT LÙI] RDN-004 0 giờ, LTS đề xuất Phase 2. Prototype: 54% = (74+6)/(116+31) → Q-S-11</t>
  </si>
  <si>
    <t>Scope_050</t>
  </si>
  <si>
    <t xml:space="preserve">Kiểm tra Evidence coverage khi scope chưa gắn framework nào</t>
  </si>
  <si>
    <t xml:space="preserve">1. Mở màn hình Scopes
2. Kiểm tra cột Evidence coverage của scope chưa gắn framework</t>
  </si>
  <si>
    <t xml:space="preserve">- Hiển thị Evidence coverage:—</t>
  </si>
  <si>
    <t xml:space="preserve">Scope chưa gắn framework: cột Evidence coverage hiện —, 0% hay để trống → Q-S-13</t>
  </si>
  <si>
    <t>Scope_051</t>
  </si>
  <si>
    <t xml:space="preserve">Kiểm tra Evidence coverage khi phần thập phân đúng bằng .5</t>
  </si>
  <si>
    <t xml:space="preserve">1. Mở màn hình Scopes
2. Tạo Frameworks với:
- Framework A: 1/8</t>
  </si>
  <si>
    <t xml:space="preserve">- Hiển thị Evidence coverage = 1/8 × 100 = 12.5% → 13%</t>
  </si>
  <si>
    <t xml:space="preserve">1/8 × 100 = 12.5%: hiển thị 12% hay 13% (cách làm tròn khi phần thập phân đúng bằng .5) → Q-S-11</t>
  </si>
  <si>
    <t>Scope_052</t>
  </si>
  <si>
    <t xml:space="preserve">Kiểm tra Evidence coverage khi kết quả trên 0% và dưới 0.5%</t>
  </si>
  <si>
    <t xml:space="preserve">1. Mở màn hình Scopes
2. Tạo Frameworks với:
- Framework A: 1/250</t>
  </si>
  <si>
    <t xml:space="preserve">- Hiển thị Evidence coverage = 1/250 × 100 = 0.4% → 0%.</t>
  </si>
  <si>
    <t xml:space="preserve">1/250 × 100 = 0.4%: làm tròn như các case trên thì ra 0% dù đã có 1 requirement đủ evidence; hiển thị 0%, 1% hay &lt;1% → Q-S-11</t>
  </si>
  <si>
    <t>Scope_053</t>
  </si>
  <si>
    <t xml:space="preserve">Kiểm tra Evidence coverage khi kết quả từ 99.5% đến dưới 100%</t>
  </si>
  <si>
    <t xml:space="preserve">1. Mở màn hình Scopes
2. Tạo Frameworks với:
- Framework A: 249/250</t>
  </si>
  <si>
    <t xml:space="preserve">- Hiển thị Evidence coverage = 249/250 × 100 = 99.6% → 100%.</t>
  </si>
  <si>
    <t xml:space="preserve">249/250 × 100 = 99.6%: làm tròn như các case trên thì ra 100% dù còn 1 requirement chưa đủ evidence; hiển thị 100% hay 99% → Q-S-11</t>
  </si>
  <si>
    <t xml:space="preserve">Sắp xếp</t>
  </si>
  <si>
    <t xml:space="preserve">Thứ tự mặc định</t>
  </si>
  <si>
    <t>Scope_054</t>
  </si>
  <si>
    <t xml:space="preserve">Kiểm tra thứ tự mặc định của danh sách</t>
  </si>
  <si>
    <t xml:space="preserve">1. Mở màn Scopes, kiểm tra thứ tự các dòng</t>
  </si>
  <si>
    <t xml:space="preserve">- Hiển thị theo thứ tự thời gian cũ nhất xuống mới nhất</t>
  </si>
  <si>
    <t xml:space="preserve">Mặc định sắp theo gì (prototype không theo tên) → Q-S-08</t>
  </si>
  <si>
    <t xml:space="preserve">Bấm lần 1</t>
  </si>
  <si>
    <t>Scope_055</t>
  </si>
  <si>
    <t xml:space="preserve">Kiểm tra sắp xếp tăng dần theo tên</t>
  </si>
  <si>
    <t xml:space="preserve">1. Mở màn Scopes
2. Bấm tiêu đề cột Scope</t>
  </si>
  <si>
    <t xml:space="preserve">- Các dòng xếp theo tên từ A đến Z</t>
  </si>
  <si>
    <t xml:space="preserve">Figma không có icon sắp xếp → Q-S-08</t>
  </si>
  <si>
    <t xml:space="preserve">Bấm lần 2</t>
  </si>
  <si>
    <t>Scope_056</t>
  </si>
  <si>
    <t xml:space="preserve">Kiểm tra sắp xếp giảm dần theo tên</t>
  </si>
  <si>
    <t xml:space="preserve">1. Mở màn Scopes
2. Bấm tiêu đề cột Scope hai lần</t>
  </si>
  <si>
    <t xml:space="preserve">- Các dòng xếp theo tên từ Z đến A</t>
  </si>
  <si>
    <t>Scope_057</t>
  </si>
  <si>
    <t xml:space="preserve">Kiểm tra dòng phân trang mặc định</t>
  </si>
  <si>
    <t xml:space="preserve">1. Mở màn Scopes
2. Kiểm tra thông tin: Items per page</t>
  </si>
  <si>
    <t xml:space="preserve">- Hiển thị mặc định là 10 items</t>
  </si>
  <si>
    <t xml:space="preserve">Figma: 1–4 of 4 items · Page 1 of 1. Prototype: Items per page 10 · 1–4 of 4 items · [1] of 1 page · ‹ › → Q-S-09</t>
  </si>
  <si>
    <t xml:space="preserve">Các giá trị khác</t>
  </si>
  <si>
    <t>Scope_058</t>
  </si>
  <si>
    <t xml:space="preserve">Kiểm tra các giá trị trong Items per page</t>
  </si>
  <si>
    <t xml:space="preserve">1. Mở màn Scopes
2. Click vào Items per page
3. Kiểm tra hiển thị</t>
  </si>
  <si>
    <t xml:space="preserve">- Hiển thị các giá trị:
+ 10 items
+ 25 items
+ 50 items
+ 100 items</t>
  </si>
  <si>
    <t xml:space="preserve">Đổi số dòng</t>
  </si>
  <si>
    <t xml:space="preserve">Chọn giá trị khác</t>
  </si>
  <si>
    <t>Scope_059</t>
  </si>
  <si>
    <t xml:space="preserve">Kiểm tra đổi số dòng mỗi trang</t>
  </si>
  <si>
    <t xml:space="preserve">Đăng nhập Customer Admin của tenant có từ 11 scope trở lên</t>
  </si>
  <si>
    <t xml:space="preserve">1. Mở màn Scopes
2. Mở Items per page
3. Chọn 25</t>
  </si>
  <si>
    <t xml:space="preserve">- Hiển thị đủ 11 items trên bảng dữ liệu</t>
  </si>
  <si>
    <t xml:space="preserve">Có chọn số dòng không; giá trị 10/25/50/100 theo prototype → Q-S-09</t>
  </si>
  <si>
    <t xml:space="preserve">Chuyển trang</t>
  </si>
  <si>
    <t xml:space="preserve">Chỉ có một trang</t>
  </si>
  <si>
    <t>Scope_060</t>
  </si>
  <si>
    <t xml:space="preserve">Kiểm tra nút chuyển trang khi chỉ có một trang</t>
  </si>
  <si>
    <t xml:space="preserve">1. Mở màn Scopes
2. Kiểm tra hai nút ‹ ›</t>
  </si>
  <si>
    <t xml:space="preserve">- Cả hai nút ở trạng thái không bấm được</t>
  </si>
  <si>
    <t xml:space="preserve">Sang trang 2</t>
  </si>
  <si>
    <t>Scope_061</t>
  </si>
  <si>
    <t xml:space="preserve">Kiểm tra chuyển sang trang 2</t>
  </si>
  <si>
    <t xml:space="preserve">1. Mở màn Scopes
2. Bấm nút ›</t>
  </si>
  <si>
    <t xml:space="preserve">- Bảng hiển thị từ scope thứ 11
- Dòng phân trang: 11–&lt;n&gt; of &lt;n&gt; items</t>
  </si>
  <si>
    <t xml:space="preserve">Số dòng mỗi trang mặc định → Q-S-09</t>
  </si>
  <si>
    <t xml:space="preserve">Các thành phần</t>
  </si>
  <si>
    <t>Scope_062</t>
  </si>
  <si>
    <t xml:space="preserve">Kiểm tra phần đầu màn chi tiết</t>
  </si>
  <si>
    <t xml:space="preserve">1. Mở chi tiết scope Organization (bấm tên scope ở màn Scopes)
2. Kiểm tra phần đầu trang, từ trái sang phải</t>
  </si>
  <si>
    <t xml:space="preserve">- Nút quay lại ←
- Tiêu đề: tên scope
- Dòng phụ: Organization scope · [Tên Organization]
- Nhãn Active
- Nút ⋮ ở góc phải</t>
  </si>
  <si>
    <t xml:space="preserve">Ngoài Active còn trạng thái nào → Q-S-14</t>
  </si>
  <si>
    <t xml:space="preserve">Dòng phụ theo loại</t>
  </si>
  <si>
    <t>Scope_063</t>
  </si>
  <si>
    <t xml:space="preserve">Kiểm tra dòng phụ theo loại scope Organization</t>
  </si>
  <si>
    <t xml:space="preserve">1. Mở chi tiết scope Organization</t>
  </si>
  <si>
    <t xml:space="preserve">- Hiển thị title: Organization scope · [Tên Organization]</t>
  </si>
  <si>
    <t>Scope_064</t>
  </si>
  <si>
    <t xml:space="preserve">Kiểm tra dòng phụ theo loại scope Product</t>
  </si>
  <si>
    <t xml:space="preserve">1. Mở chi tiết scope Product</t>
  </si>
  <si>
    <t xml:space="preserve">- Hiển thị title: Product scope · [Tên Organization]</t>
  </si>
  <si>
    <t>Scope_065</t>
  </si>
  <si>
    <t xml:space="preserve">Kiểm tra dòng phụ theo loại scope System</t>
  </si>
  <si>
    <t xml:space="preserve">1. Mở chi tiết scope System</t>
  </si>
  <si>
    <t xml:space="preserve">- Hiển thị title: System scope · [Tên Organization]</t>
  </si>
  <si>
    <t xml:space="preserve">Nút quay lại</t>
  </si>
  <si>
    <t xml:space="preserve">Bấm ←</t>
  </si>
  <si>
    <t>Scope_066</t>
  </si>
  <si>
    <t xml:space="preserve">Kiểm tra nút quay lại</t>
  </si>
  <si>
    <t xml:space="preserve">1. Mở chi tiết scope (bấm tên scope ở màn Scopes)
2. Bấm nút ←</t>
  </si>
  <si>
    <t xml:space="preserve">- Quay về màn Scopes</t>
  </si>
  <si>
    <t xml:space="preserve">Menu ⋮</t>
  </si>
  <si>
    <t xml:space="preserve">Các mục</t>
  </si>
  <si>
    <t>Scope_067</t>
  </si>
  <si>
    <t xml:space="preserve">Kiểm tra menu ⋮ của scope</t>
  </si>
  <si>
    <t xml:space="preserve">1. Mở chi tiết scope (bấm tên scope ở màn Scopes)
2. Bấm nút ⋮</t>
  </si>
  <si>
    <t xml:space="preserve">- Menu chỉ có một mục: Edit scope</t>
  </si>
  <si>
    <t xml:space="preserve">Không có Archive, Delete: SCP-005 lùi Phase 2, nhưng WBS CP-06 ghi CRUD → Q-S-14</t>
  </si>
  <si>
    <t>UC-SCP-004</t>
  </si>
  <si>
    <t xml:space="preserve">Bấm Edit scope</t>
  </si>
  <si>
    <t>Scope_068</t>
  </si>
  <si>
    <t xml:space="preserve">Kiểm tra mục Edit scope trong menu ⋮</t>
  </si>
  <si>
    <t xml:space="preserve">1. Mở chi tiết scope (bấm tên scope ở màn Scopes)
2. Bấm nút ⋮
3. Bấm Edit scope</t>
  </si>
  <si>
    <t xml:space="preserve">- Mở hộp thoại Edit scope</t>
  </si>
  <si>
    <t xml:space="preserve">Figma không có frame sửa scope → Q-S-15</t>
  </si>
  <si>
    <t xml:space="preserve">Ba mục</t>
  </si>
  <si>
    <t>Scope_069</t>
  </si>
  <si>
    <t xml:space="preserve">Kiểm tra cột điều hướng bên trái</t>
  </si>
  <si>
    <t xml:space="preserve">1. Mở chi tiết scope (bấm tên scope ở màn Scopes)
2. Kiểm tra cột bên trái</t>
  </si>
  <si>
    <t xml:space="preserve">- Ba mục theo thứ tự:
+ Overview
+ Frameworks
+ Users
- Mục Overview được tô nền khi mới mở</t>
  </si>
  <si>
    <t xml:space="preserve">Bấm mục</t>
  </si>
  <si>
    <t xml:space="preserve">Frameworks, Users</t>
  </si>
  <si>
    <t>Scope_070</t>
  </si>
  <si>
    <t xml:space="preserve">Kiểm tra bấm mục trong cột điều hướng</t>
  </si>
  <si>
    <t xml:space="preserve">1. Mở chi tiết scope (bấm tên scope ở màn Scopes)
2. Bấm Frameworks
3. Bấm Users</t>
  </si>
  <si>
    <t xml:space="preserve">- Sau bước 2: trang cuộn tới khối Frameworks
- Sau bước 3: trang cuộn tới khối Users</t>
  </si>
  <si>
    <t xml:space="preserve">Scope Organization</t>
  </si>
  <si>
    <t>Scope_071</t>
  </si>
  <si>
    <t xml:space="preserve">Kiểm tra khối Overview của scope Organization</t>
  </si>
  <si>
    <t xml:space="preserve">Đăng nhập account Customer Admin; scope Organization đã có scope System thuộc về</t>
  </si>
  <si>
    <t xml:space="preserve">1. Mở chi tiết scope Organization
2. Kiểm tra khối số 1 Overview</t>
  </si>
  <si>
    <t xml:space="preserve">- Tiêu đề khối: Overview, có nút Edit
- Type: Organization
- Contains: [System] (system)
- In scope: [What is in scope]
- Out of scope: [What is out of scope]</t>
  </si>
  <si>
    <t xml:space="preserve">Scope Product</t>
  </si>
  <si>
    <t>Scope_072</t>
  </si>
  <si>
    <t xml:space="preserve">Kiểm tra khối Overview của scope Product</t>
  </si>
  <si>
    <t xml:space="preserve">Đăng nhập account Customer Admin; scope Product đã có scope System thuộc về</t>
  </si>
  <si>
    <t xml:space="preserve">1. Mở chi tiết scope Product
2. Kiểm tra khối số 1 Overview</t>
  </si>
  <si>
    <t xml:space="preserve">- Type: Product
- Contains: [System] (system)
- In scope: [What is in scope]
- Out of scope: [What is out of scope]</t>
  </si>
  <si>
    <t xml:space="preserve">Scope System</t>
  </si>
  <si>
    <t>Scope_073</t>
  </si>
  <si>
    <t xml:space="preserve">Kiểm tra khối Overview của scope System</t>
  </si>
  <si>
    <t xml:space="preserve">Đăng nhập account Customer Admin; scope System đã chọn Belongs to organisation: [Organization], Belongs to product (optional): [Product]</t>
  </si>
  <si>
    <t xml:space="preserve">1. Mở chi tiết scope System
2. Kiểm tra khối số 1 Overview</t>
  </si>
  <si>
    <t xml:space="preserve">- Type: System
- Không có trường Contains
- Belongs to: [Organization], [Product]
- In scope: [What is in scope]
- Out of scope: [What is out of scope]</t>
  </si>
  <si>
    <t xml:space="preserve">Trường không có dữ liệu</t>
  </si>
  <si>
    <t>Scope_074</t>
  </si>
  <si>
    <t xml:space="preserve">Kiểm tra trường không có dữ liệu</t>
  </si>
  <si>
    <t xml:space="preserve">Đăng nhập account Customer Admin; scope Product chưa có scope System thuộc về, What is out of scope (optional) để trống</t>
  </si>
  <si>
    <t xml:space="preserve">- Contains: —
- Out of scope: —</t>
  </si>
  <si>
    <t xml:space="preserve">Bấm Edit</t>
  </si>
  <si>
    <t>Scope_075</t>
  </si>
  <si>
    <t xml:space="preserve">Kiểm tra mở hộp thoại Edit scope</t>
  </si>
  <si>
    <t xml:space="preserve">1. Mở chi tiết scope (bấm tên scope ở màn Scopes)
2. Bấm nút Edit ở khối Overview</t>
  </si>
  <si>
    <t xml:space="preserve">- Mở hộp thoại Edit scope, có nút đóng ×
- Các trường điền sẵn giá trị hiện tại:
+ Name *
+ What is in scope *
+ What is out of scope (optional)
- Không có trường Type, Belongs to
- Có nút Cancel và nút Save</t>
  </si>
  <si>
    <t xml:space="preserve">Figma không có frame sửa scope; không cho đổi Type, Belongs to có đúng chủ ý → Q-S-15</t>
  </si>
  <si>
    <t xml:space="preserve">Xoá trống Name</t>
  </si>
  <si>
    <t>Scope_076</t>
  </si>
  <si>
    <t xml:space="preserve">Kiểm tra lưu khi xoá trống Name</t>
  </si>
  <si>
    <t xml:space="preserve">1. Mở chi tiết scope (bấm tên scope ở màn Scopes)
2. Mở Edit scope
3. Xoá hết Name
4. Bấm Save</t>
  </si>
  <si>
    <t xml:space="preserve">- Không lưu, hộp thoại vẫn mở
- Hiện lỗi tại Name:
"Enter a name."</t>
  </si>
  <si>
    <t xml:space="preserve">Xoá trống What is in scope</t>
  </si>
  <si>
    <t>Scope_077</t>
  </si>
  <si>
    <t xml:space="preserve">Kiểm tra lưu khi xoá trống What is in scope</t>
  </si>
  <si>
    <t xml:space="preserve">1. Mở chi tiết scope (bấm tên scope ở màn Scopes)
2. Mở Edit scope
3. Xoá hết What is in scope
4. Bấm Save</t>
  </si>
  <si>
    <t xml:space="preserve">- Không lưu, hộp thoại vẫn mở
- Hiện lỗi tại What is in scope:
"Describe what is in scope."</t>
  </si>
  <si>
    <t xml:space="preserve">Trùng tên scope khác</t>
  </si>
  <si>
    <t>Scope_078</t>
  </si>
  <si>
    <t xml:space="preserve">Kiểm tra đổi Name trùng tên scope khác</t>
  </si>
  <si>
    <t xml:space="preserve">1. Mở chi tiết scope (bấm tên scope ở màn Scopes)
2. Mở Edit scope
3. Đổi Name thành tên của một scope khác đang có
4. Bấm Save</t>
  </si>
  <si>
    <t xml:space="preserve">- Không lưu, hộp thoại vẫn mở
- Hiện lỗi tại Name:
"A scope with this name already exists."</t>
  </si>
  <si>
    <t xml:space="preserve">Chặn hay cho phép trùng tên → Q-S-05</t>
  </si>
  <si>
    <t>Scope_079</t>
  </si>
  <si>
    <t xml:space="preserve">Kiểm tra huỷ sửa scope</t>
  </si>
  <si>
    <t xml:space="preserve">1. Mở chi tiết scope (bấm tên scope ở màn Scopes)
2. Mở Edit scope, đổi Name
3. Bấm Cancel</t>
  </si>
  <si>
    <t xml:space="preserve">- Hộp thoại đóng
- Tiêu đề và khối Overview giữ giá trị cũ</t>
  </si>
  <si>
    <t xml:space="preserve">Scope đang có audit</t>
  </si>
  <si>
    <t>Scope_080</t>
  </si>
  <si>
    <t xml:space="preserve">Kiểm tra sửa scope khi đang có audit</t>
  </si>
  <si>
    <t xml:space="preserve">Đăng nhập account Customer Admin; scope đang có audit chạy trên một framework</t>
  </si>
  <si>
    <t xml:space="preserve">1. Mở chi tiết scope đang có audit
2. Bấm nút Edit ở khối Overview</t>
  </si>
  <si>
    <t xml:space="preserve">- Không mở hộp thoại Edit scope
- Hiện thông báo:
"The scope can't be edited while an audit is running."</t>
  </si>
  <si>
    <t xml:space="preserve">Quy tắc và text lấy từ prototype, UC không ghi → Q-S-16</t>
  </si>
  <si>
    <t xml:space="preserve">Đổi Name — tiêu đề chi tiết</t>
  </si>
  <si>
    <t>Scope_081</t>
  </si>
  <si>
    <t xml:space="preserve">Kiểm tra tên mới ở màn chi tiết sau khi sửa</t>
  </si>
  <si>
    <t xml:space="preserve">1. Mở chi tiết scope (bấm tên scope ở màn Scopes)
2. Mở Edit scope
3. Đổi Name thành: abc1
4. Bấm Save</t>
  </si>
  <si>
    <t xml:space="preserve">- Hộp thoại đóng
- Tiêu đề trang đổi thành abc1</t>
  </si>
  <si>
    <t xml:space="preserve">Đổi Name — danh sách</t>
  </si>
  <si>
    <t>Scope_082</t>
  </si>
  <si>
    <t xml:space="preserve">Kiểm tra tên mới ở màn danh sách</t>
  </si>
  <si>
    <t xml:space="preserve">1. Mở chi tiết scope (bấm tên scope ở màn Scopes)
2. Mở Edit scope
3. Đổi Name thành: abc1
4. Bấm Save
5. Bấm nút ← để về màn Scopes
6. Kiểm tra dòng của scope vừa sửa</t>
  </si>
  <si>
    <t xml:space="preserve">- Cột Scope hiển thị tên mới: abc1</t>
  </si>
  <si>
    <t xml:space="preserve">Sửa In scope, Out of scope</t>
  </si>
  <si>
    <t>Scope_083</t>
  </si>
  <si>
    <t xml:space="preserve">Kiểm tra sửa In scope và Out of scope</t>
  </si>
  <si>
    <t xml:space="preserve">1. Mở chi tiết scope (bấm tên scope ở màn Scopes)
2. Mở Edit scope
3. Sửa
- What is in scope: abc1
- What is out of scope (optional): xoá trống
4. Bấm Save</t>
  </si>
  <si>
    <t xml:space="preserve">- Hộp thoại đóng
- Khối Overview:
+ In scope: abc1
+ Out of scope: —</t>
  </si>
  <si>
    <t xml:space="preserve">Trạng thái rỗng</t>
  </si>
  <si>
    <t xml:space="preserve">Chưa gắn framework</t>
  </si>
  <si>
    <t>Scope_084</t>
  </si>
  <si>
    <t xml:space="preserve">Kiểm tra khối Frameworks khi scope chưa gắn framework</t>
  </si>
  <si>
    <t xml:space="preserve">1. Mở chi tiết scope chưa gắn framework
2. Kiểm tra khối số 2 Frameworks</t>
  </si>
  <si>
    <t xml:space="preserve">- Hiển thị title:
"No framework linked yet. Link one to create a workspace and start collecting evidence."</t>
  </si>
  <si>
    <t xml:space="preserve">Khối Frameworks khi chưa gắn framework hiển thị gì → Q-S-13</t>
  </si>
  <si>
    <t xml:space="preserve">Tiêu đề khối và cột</t>
  </si>
  <si>
    <t>Scope_085</t>
  </si>
  <si>
    <t xml:space="preserve">Kiểm tra khối Frameworks</t>
  </si>
  <si>
    <t xml:space="preserve">1. Mở chi tiết scope đã gắn framework
2. Kiểm tra khối số 2 Frameworks</t>
  </si>
  <si>
    <t xml:space="preserve">- Tiêu đề: Frameworks
- Mô tả: Each framework gets its own workspace
- Có nút gắn framework
- Bảng 4 cột theo thứ tự:
+ Framework · version
+ Tier
+ Coverage
+ Status</t>
  </si>
  <si>
    <t xml:space="preserve">Nhãn nút: Figma 'Link framework', prototype '+ Link framework' → Q-S-03</t>
  </si>
  <si>
    <t xml:space="preserve">Cột Framework · version</t>
  </si>
  <si>
    <t>Scope_086</t>
  </si>
  <si>
    <t xml:space="preserve">Kiểm tra cột Framework · version</t>
  </si>
  <si>
    <t xml:space="preserve">1. Mở chi tiết scope đã gắn framework
2. Kiểm tra cột đầu của bảng ở khối Frameworks</t>
  </si>
  <si>
    <t xml:space="preserve">- Mỗi dòng dạng &lt;tên framework&gt; · &lt;phiên bản&gt;, ví dụ ISO/IEC 27001 · 2022
- Tên framework dạng liên kết</t>
  </si>
  <si>
    <t xml:space="preserve">Cột Tier</t>
  </si>
  <si>
    <t>Scope_087</t>
  </si>
  <si>
    <t xml:space="preserve">Kiểm tra cột Tier của framework có tier</t>
  </si>
  <si>
    <t xml:space="preserve">1. Mở chi tiết scope đã gắn framework có tier
2. Kiểm tra cột Tier của framework đó</t>
  </si>
  <si>
    <t xml:space="preserve">- Hiển thị tier hiện tại của framework</t>
  </si>
  <si>
    <t xml:space="preserve">Prototype ghi 'Medium · 中' ở đây nhưng 'Medium' ở danh sách và Summary; tier có phải 'obligation level' của SCP-002 → Q-S-17</t>
  </si>
  <si>
    <t>Scope_088</t>
  </si>
  <si>
    <t xml:space="preserve">Kiểm tra cột Tier của framework không phân tier</t>
  </si>
  <si>
    <t xml:space="preserve">1. Mở chi tiết scope đã gắn framework không phân tier
2. Kiểm tra cột Tier của framework đó</t>
  </si>
  <si>
    <t xml:space="preserve">- Hiển thị: No tiers</t>
  </si>
  <si>
    <t xml:space="preserve">Cột Coverage</t>
  </si>
  <si>
    <t>Scope_089</t>
  </si>
  <si>
    <t xml:space="preserve">Kiểm tra cột Coverage khi kết quả phải làm tròn lên</t>
  </si>
  <si>
    <t xml:space="preserve">1. Mở chi tiết scope
2. Tạo Frameworks với:
- Framework A: 74/116
3. Kiểm tra cột Coverage của Framework A</t>
  </si>
  <si>
    <t xml:space="preserve">- Hiển thị Coverage = 74/116 × 100 = 63.79% → 64%</t>
  </si>
  <si>
    <t xml:space="preserve">[ĐỀ XUẤT LÙI] RDN-004. Cách tính và làm tròn lấy theo cột Evidence coverage ở danh sách; prototype hiện &lt;%&gt; + thanh tiến trình + &lt;đã có&gt;/&lt;tổng&gt; → Q-S-11</t>
  </si>
  <si>
    <t>Scope_090</t>
  </si>
  <si>
    <t xml:space="preserve">Kiểm tra cột Coverage khi kết quả phải làm tròn xuống</t>
  </si>
  <si>
    <t xml:space="preserve">1. Mở chi tiết scope
2. Tạo Frameworks với:
- Framework A: 6/31
3. Kiểm tra cột Coverage của Framework A</t>
  </si>
  <si>
    <t xml:space="preserve">- Hiển thị Coverage = 6/31 × 100 = 19.35% → 19%</t>
  </si>
  <si>
    <t>Scope_091</t>
  </si>
  <si>
    <t xml:space="preserve">Kiểm tra cột Coverage khi chưa requirement nào đủ evidence</t>
  </si>
  <si>
    <t xml:space="preserve">1. Mở chi tiết scope
2. Tạo Frameworks với:
- Framework A: 0/78
3. Kiểm tra cột Coverage của Framework A</t>
  </si>
  <si>
    <t xml:space="preserve">- Hiển thị Coverage = 0/78 × 100 = 0%</t>
  </si>
  <si>
    <t>Scope_092</t>
  </si>
  <si>
    <t xml:space="preserve">Kiểm tra cột Coverage khi mọi requirement đều đủ evidence</t>
  </si>
  <si>
    <t xml:space="preserve">1. Mở chi tiết scope
2. Tạo Frameworks với:
- Framework A: 61/61
3. Kiểm tra cột Coverage của Framework A</t>
  </si>
  <si>
    <t xml:space="preserve">- Hiển thị Coverage = 61/61 × 100 = 100%</t>
  </si>
  <si>
    <t xml:space="preserve">Cột Status</t>
  </si>
  <si>
    <t>Scope_093</t>
  </si>
  <si>
    <t xml:space="preserve">Kiểm tra cột Status</t>
  </si>
  <si>
    <t xml:space="preserve">1. Mở chi tiết scope đã gắn framework
2. Kiểm tra cột Status</t>
  </si>
  <si>
    <t xml:space="preserve">- Mỗi framework có nhãn trạng thái của workspace, ví dụ Preparing, Audit in progress</t>
  </si>
  <si>
    <t xml:space="preserve">Danh sách trạng thái đầy đủ → Q-S-20</t>
  </si>
  <si>
    <t xml:space="preserve">Nút Change tier</t>
  </si>
  <si>
    <t>Scope_094</t>
  </si>
  <si>
    <t xml:space="preserve">Kiểm tra nút Change tier trên từng dòng</t>
  </si>
  <si>
    <t xml:space="preserve">1. Mở chi tiết scope đã gắn framework có tier và framework không phân tier
2. Kiểm tra cuối mỗi dòng của bảng ở khối Frameworks</t>
  </si>
  <si>
    <t xml:space="preserve">- Dòng framework có tier có nút Change tier
- Dòng framework không phân tier không có nút này</t>
  </si>
  <si>
    <t xml:space="preserve">Bấm tên framework</t>
  </si>
  <si>
    <t>Scope_095</t>
  </si>
  <si>
    <t xml:space="preserve">Kiểm tra mở workspace từ tên framework</t>
  </si>
  <si>
    <t xml:space="preserve">1. Mở chi tiết scope đã gắn framework
2. Bấm tên một framework trong bảng ở khối Frameworks</t>
  </si>
  <si>
    <t xml:space="preserve">- Chuyển sang màn workspace của framework đó trong scope đang xem</t>
  </si>
  <si>
    <t xml:space="preserve">Bấm nút gắn framework</t>
  </si>
  <si>
    <t>Scope_096</t>
  </si>
  <si>
    <t xml:space="preserve">Kiểm tra mở hộp thoại gắn framework</t>
  </si>
  <si>
    <t xml:space="preserve">1. Mở chi tiết scope (bấm tên scope ở màn Scopes)
2. Bấm nút gắn framework ở khối Frameworks</t>
  </si>
  <si>
    <t xml:space="preserve">- Mở hộp thoại Link a framework, có nút đóng ×
- Trường Framework *, placeholder: Choose a framework
- Ghi chú:
"A workspace is created for this scope with the requirements of the chosen tier. You can change the tier later; uploaded evidence stays."
- Có nút Cancel và nút Link and create workspace</t>
  </si>
  <si>
    <t>UC-SCP-006</t>
  </si>
  <si>
    <t xml:space="preserve">Danh sách framework</t>
  </si>
  <si>
    <t xml:space="preserve">Các lựa chọn</t>
  </si>
  <si>
    <t>Scope_097</t>
  </si>
  <si>
    <t xml:space="preserve">Kiểm tra danh sách framework</t>
  </si>
  <si>
    <t xml:space="preserve">1. Mở chi tiết scope (bấm tên scope ở màn Scopes)
2. Mở hộp thoại Link a framework
3. Mở danh sách Framework</t>
  </si>
  <si>
    <t xml:space="preserve">- Mỗi lựa chọn có tên framework và dòng phụ ghi tổ chức ban hành, kèm các tier nếu có, ví dụ MODA · tiers Basic / Medium / High</t>
  </si>
  <si>
    <t xml:space="preserve">Framework đã gắn</t>
  </si>
  <si>
    <t>Scope_098</t>
  </si>
  <si>
    <t xml:space="preserve">Kiểm tra framework đã gắn vào scope có trong danh sách không</t>
  </si>
  <si>
    <t xml:space="preserve">1. Mở chi tiết scope đã gắn [Framework]
2. Mở hộp thoại Link a framework
3. Mở danh sách Framework
4. Tìm [Framework]</t>
  </si>
  <si>
    <t xml:space="preserve">- Vẫn hiển thị lựa chọn framword đó nhưng có thông báo đỏ: 
"[Tên framwork] is already linked to this scope.</t>
  </si>
  <si>
    <t xml:space="preserve">Prototype vẫn liệt kê và cho chọn → ẩn, khoá hay cho gắn lần hai → Q-S-19</t>
  </si>
  <si>
    <t xml:space="preserve">Chọn framework</t>
  </si>
  <si>
    <t xml:space="preserve">Framework có tier</t>
  </si>
  <si>
    <t>Scope_099</t>
  </si>
  <si>
    <t xml:space="preserve">Kiểm tra chọn framework có phân tier</t>
  </si>
  <si>
    <t xml:space="preserve">1. Mở chi tiết scope (bấm tên scope ở màn Scopes)
2. Mở hộp thoại Link a framework
3. Chọn một framework có tier</t>
  </si>
  <si>
    <t xml:space="preserve">- Hiện trường Version * đã có sẵn giá trị, ghi chú: Only active versions are listed.
- Hiện mục Protection tier of this organization * gồm 3 lựa chọn, mỗi lựa chọn có tên tier, mô tả, số requirement
- Chưa chọn sẵn tier nào</t>
  </si>
  <si>
    <t xml:space="preserve">Số requirement tier High: Figma 79, prototype 76 → Q-S-18</t>
  </si>
  <si>
    <t xml:space="preserve">Framework không tier</t>
  </si>
  <si>
    <t>Scope_100</t>
  </si>
  <si>
    <t xml:space="preserve">Kiểm tra chọn framework không phân tier</t>
  </si>
  <si>
    <t xml:space="preserve">1. Mở chi tiết scope (bấm tên scope ở màn Scopes)
2. Mở hộp thoại Link a framework
3. Chọn một framework không phân tier</t>
  </si>
  <si>
    <t xml:space="preserve">- Không hiển thị button "Change tier"</t>
  </si>
  <si>
    <t xml:space="preserve">Phần chọn tier ẩn đi hay hiện No tiers → Q-S-17</t>
  </si>
  <si>
    <t xml:space="preserve">Chưa chọn framework</t>
  </si>
  <si>
    <t>Scope_101</t>
  </si>
  <si>
    <t xml:space="preserve">Kiểm tra bấm gắn khi chưa chọn framework</t>
  </si>
  <si>
    <t xml:space="preserve">1. Mở chi tiết scope (bấm tên scope ở màn Scopes)
2. Mở hộp thoại Link a framework
3. Bấm Link and create workspace</t>
  </si>
  <si>
    <t xml:space="preserve">- Không gắn, hộp thoại vẫn mở</t>
  </si>
  <si>
    <t xml:space="preserve">Hiện lỗi hay khoá nút khi chưa chọn; text lỗi → Q-S-05</t>
  </si>
  <si>
    <t xml:space="preserve">Chưa chọn tier</t>
  </si>
  <si>
    <t>Scope_102</t>
  </si>
  <si>
    <t xml:space="preserve">Kiểm tra bấm gắn khi chưa chọn tier</t>
  </si>
  <si>
    <t xml:space="preserve">1. Mở chi tiết scope (bấm tên scope ở màn Scopes)
2. Mở hộp thoại Link a framework, chọn một framework có tier
3. Không chọn tier
4. Bấm Link and create workspace</t>
  </si>
  <si>
    <t xml:space="preserve">Hiện lỗi hay khoá nút; text lỗi → Q-S-05</t>
  </si>
  <si>
    <t>Scope_103</t>
  </si>
  <si>
    <t xml:space="preserve">Kiểm tra huỷ gắn framework</t>
  </si>
  <si>
    <t xml:space="preserve">1. Mở chi tiết scope (bấm tên scope ở màn Scopes)
2. Mở hộp thoại Link a framework, chọn một framework
3. Bấm Cancel</t>
  </si>
  <si>
    <t xml:space="preserve">- Hộp thoại đóng
- Bảng Frameworks không có dòng mới</t>
  </si>
  <si>
    <t>Scope_104</t>
  </si>
  <si>
    <t xml:space="preserve">Kiểm tra gắn framework có tier</t>
  </si>
  <si>
    <t xml:space="preserve">1. Mở chi tiết scope (bấm tên scope ở màn Scopes)
2. Mở hộp thoại Link a framework
3. Chọn
- Framework: [Framework] có tier
- Protection tier of this organization: Medium
4. Bấm Link and create workspace</t>
  </si>
  <si>
    <t xml:space="preserve">- Hộp thoại đóng
- Bảng Frameworks có thêm dòng [Framework] · &lt;phiên bản&gt;
- Cột Tier của dòng đó là tier đã chọn</t>
  </si>
  <si>
    <t xml:space="preserve">Trạng thái ban đầu của workspace → Q-S-20</t>
  </si>
  <si>
    <t>Scope_105</t>
  </si>
  <si>
    <t xml:space="preserve">Kiểm tra gắn thêm framework khi scope đang có audit</t>
  </si>
  <si>
    <t xml:space="preserve">1. Mở chi tiết scope đang có audit
2. Bấm nút gắn framework</t>
  </si>
  <si>
    <t xml:space="preserve">- Hiển thị chọn framwork bình thường</t>
  </si>
  <si>
    <t xml:space="preserve">Framework không phân tier</t>
  </si>
  <si>
    <t>Scope_106</t>
  </si>
  <si>
    <t xml:space="preserve">Kiểm tra gắn framework không phân tier</t>
  </si>
  <si>
    <t xml:space="preserve">1. Mở chi tiết scope (bấm tên scope ở màn Scopes)
2. Mở hộp thoại Link a framework
3. Chọn Framework: [Framework] không phân tier
4. Bấm Link and create workspace</t>
  </si>
  <si>
    <t xml:space="preserve">- Hộp thoại đóng
- Bảng Frameworks có thêm dòng [Framework] · &lt;phiên bản&gt;
- Cột Tier của dòng đó: No tiers</t>
  </si>
  <si>
    <t xml:space="preserve">Phần chọn tier ẩn đi hay hiện No tiers → Q-S-17; trạng thái ban đầu của workspace → Q-S-20</t>
  </si>
  <si>
    <t xml:space="preserve">Hiện ở màn Workspaces</t>
  </si>
  <si>
    <t>Scope_107</t>
  </si>
  <si>
    <t xml:space="preserve">Kiểm tra workspace mới hiện ở màn Workspaces</t>
  </si>
  <si>
    <t xml:space="preserve">Đăng nhập account Customer Admin; trên Scopes đã gắn [Framework] vào scope [Organization]</t>
  </si>
  <si>
    <t xml:space="preserve">1. Mở màn Workspaces
2. Tìm workspace của [Organization]</t>
  </si>
  <si>
    <t xml:space="preserve">- Có workspace của [Organization] với [Framework] vừa gắn</t>
  </si>
  <si>
    <t xml:space="preserve">Workspace tạo ngay hay sau một khoảng → Q-S-20</t>
  </si>
  <si>
    <t>UC-EVD-003</t>
  </si>
  <si>
    <t xml:space="preserve">Không có audit</t>
  </si>
  <si>
    <t>Scope_108</t>
  </si>
  <si>
    <t xml:space="preserve">Kiểm tra hộp thoại đổi tier</t>
  </si>
  <si>
    <t xml:space="preserve">1. Mở chi tiết scope đã gắn framework có tier, không có audit
2. Bấm Change tier ở dòng framework đó</t>
  </si>
  <si>
    <t xml:space="preserve">- Mở hộp thoại Change tier
- Dòng mô tả ghi framework, phiên bản và tier hiện tại
- 3 lựa chọn tier kèm số requirement, tier hiện tại được đánh dấu
- Có nút Cancel và nút xác nhận</t>
  </si>
  <si>
    <t xml:space="preserve">Theo Figma, prototype chưa có dữ liệu để mở; đổi tier thuộc UC nào → Q-S-17</t>
  </si>
  <si>
    <t xml:space="preserve">[NGOÀI UC]</t>
  </si>
  <si>
    <t xml:space="preserve">Đang có audit</t>
  </si>
  <si>
    <t>Scope_109</t>
  </si>
  <si>
    <t xml:space="preserve">Kiểm tra hộp thoại đổi tier khi đang có audit</t>
  </si>
  <si>
    <t xml:space="preserve">Đăng nhập account Customer Admin; audit [Mã audit] đang chạy trên framework có tier của scope</t>
  </si>
  <si>
    <t xml:space="preserve">1. Mở chi tiết scope đang có audit
2. Bấm Change tier ở dòng framework đang có audit</t>
  </si>
  <si>
    <t xml:space="preserve">- Dòng mô tả: [Tên scope] · [Framework] · &lt;phiên bản&gt; · &lt;tier&gt;
- Khung cảnh báo: Tier can't be changed during an audit
- Nội dung:
"Audit [Mã audit] is reviewing this workspace against tier &lt;tier&gt; (&lt;n&gt; requirements). You can change the tier after the review closes. Unlinking the framework and editing the scope are blocked for the same reason."
- Có nút Close
- Nút Change tier bị khoá</t>
  </si>
  <si>
    <t xml:space="preserve">Text lấy từ prototype, chưa đối chiếu frame Change tier locked → Q-S-16</t>
  </si>
  <si>
    <t>Scope_110</t>
  </si>
  <si>
    <t xml:space="preserve">Kiểm tra huỷ đổi tier</t>
  </si>
  <si>
    <t xml:space="preserve">1. Mở chi tiết scope đã gắn framework có tier, không có audit
2. Mở Change tier
3. Chọn tier khác
4. Bấm Cancel</t>
  </si>
  <si>
    <t xml:space="preserve">- Hộp thoại đóng, cột Tier giữ nguyên</t>
  </si>
  <si>
    <t xml:space="preserve">Đổi tier thuộc UC nào → Q-S-17</t>
  </si>
  <si>
    <t xml:space="preserve">Đóng hộp thoại khoá</t>
  </si>
  <si>
    <t>Scope_111</t>
  </si>
  <si>
    <t xml:space="preserve">Kiểm tra đóng hộp thoại khoá bằng Close</t>
  </si>
  <si>
    <t xml:space="preserve">1. Mở chi tiết scope đang có audit
2. Mở Change tier của framework đang có audit
3. Bấm Close</t>
  </si>
  <si>
    <t xml:space="preserve">Nâng tier</t>
  </si>
  <si>
    <t>Scope_112</t>
  </si>
  <si>
    <t xml:space="preserve">Kiểm tra nâng tier</t>
  </si>
  <si>
    <t xml:space="preserve">1. Mở chi tiết scope đã gắn framework có tier, không có audit
2. Mở Change tier của framework đang ở Medium
3. Chọn High
4. Kiểm tra khung cảnh báo
5. Bấm Change to High</t>
  </si>
  <si>
    <t xml:space="preserve">- Sau bước 3: có cảnh báo số requirement tăng và độ phủ sẽ giảm
- Sau bước 5: hộp thoại đóng, cột Tier đổi thành High</t>
  </si>
  <si>
    <t xml:space="preserve">Bằng chứng đã tải có giữ nguyên → Q-S-22</t>
  </si>
  <si>
    <t xml:space="preserve">Hạ tier</t>
  </si>
  <si>
    <t>Scope_113</t>
  </si>
  <si>
    <t xml:space="preserve">Kiểm tra hạ tier</t>
  </si>
  <si>
    <t xml:space="preserve">1. Mở chi tiết scope đã gắn framework có tier, không có audit
2. Mở Change tier của framework đang ở High
3. Chọn Medium
4. Bấm nút xác nhận</t>
  </si>
  <si>
    <t xml:space="preserve">- Sau bước 3: có cảnh báo số requirement tăng và độ phủ sẽ giảm
- Sau bước 5: hộp thoại đóng, cột Tier đổi thành Medium</t>
  </si>
  <si>
    <t xml:space="preserve">Hạ tier có cảnh báo gì; bằng chứng của requirement bị bỏ ra sao → Q-S-22</t>
  </si>
  <si>
    <t>Scope_114</t>
  </si>
  <si>
    <t xml:space="preserve">Kiểm tra khối Users</t>
  </si>
  <si>
    <t xml:space="preserve">1. Mở chi tiết scope (bấm tên scope ở màn Scopes)
2. Kiểm tra khối số 3 Users</t>
  </si>
  <si>
    <t xml:space="preserve">- Tiêu đề: Users
- Mô tả: Can work in every workspace of this scope
- Có nút Assign users
- Bảng 3 cột theo thứ tự:
+ User
+ Role
+ Given</t>
  </si>
  <si>
    <t>UC-USR-006</t>
  </si>
  <si>
    <t xml:space="preserve">Dòng Customer Admin</t>
  </si>
  <si>
    <t>Scope_115</t>
  </si>
  <si>
    <t xml:space="preserve">Kiểm tra dòng của Customer Admin</t>
  </si>
  <si>
    <t xml:space="preserve">1. Mở chi tiết scope (bấm tên scope ở màn Scopes)
2. Kiểm tra dòng của Customer Admin ở khối Users</t>
  </si>
  <si>
    <t xml:space="preserve">- Role: Customer Admin · sees every scope
- Given: —</t>
  </si>
  <si>
    <t xml:space="preserve">Dòng người được gán</t>
  </si>
  <si>
    <t>Scope_116</t>
  </si>
  <si>
    <t xml:space="preserve">Kiểm tra dòng của người được gán</t>
  </si>
  <si>
    <t xml:space="preserve">1. Mở chi tiết scope đã gán [Customer User]
2. Kiểm tra dòng của [Customer User] ở khối Users</t>
  </si>
  <si>
    <t xml:space="preserve">- Role: Customer User
- Given: ngày được gán, dạng DD Mon YYYY, ví dụ 21 Sep 2026</t>
  </si>
  <si>
    <t xml:space="preserve">Bấm Assign users</t>
  </si>
  <si>
    <t>Scope_117</t>
  </si>
  <si>
    <t xml:space="preserve">Kiểm tra mở hộp thoại Assign users</t>
  </si>
  <si>
    <t xml:space="preserve">1. Mở chi tiết scope (bấm tên scope ở màn Scopes)
2. Bấm nút Assign users</t>
  </si>
  <si>
    <t xml:space="preserve">- Mở hộp thoại Assign users, có nút đóng ×
- Mô tả:
"Users you tick can work in every workspace of [Tên scope]. Customer Admins always have access."
- Mỗi người một dòng gồm:
+ Ô tick
+ Tên
+ Email
- Người chưa kích hoạt có thêm: · invitation pending
- Người đang được gán đã tick sẵn
- Không có Customer Admin trong danh sách
- Có nút Cancel và nút Save</t>
  </si>
  <si>
    <t xml:space="preserve">Vai trò trong danh sách</t>
  </si>
  <si>
    <t>Scope_118</t>
  </si>
  <si>
    <t xml:space="preserve">Kiểm tra những vai trò có trong danh sách gán</t>
  </si>
  <si>
    <t xml:space="preserve">1. Mở chi tiết scope (bấm tên scope ở màn Scopes)
2. Mở Assign users
3. Đối chiếu vai trò của từng người trong danh sách</t>
  </si>
  <si>
    <t xml:space="preserve">- Customer Admin được mặc định Assign trong Scope</t>
  </si>
  <si>
    <t xml:space="preserve">USR-006 chỉ nói Customer User; prototype có cả Customer Viewer và người chưa kích hoạt → Q-S-23</t>
  </si>
  <si>
    <t>Scope_119</t>
  </si>
  <si>
    <t xml:space="preserve">Kiểm tra huỷ gán người dùng</t>
  </si>
  <si>
    <t xml:space="preserve">1. Mở chi tiết scope (bấm tên scope ở màn Scopes)
2. Mở Assign users, tick thêm một người
3. Bấm Cancel</t>
  </si>
  <si>
    <t xml:space="preserve">- Hộp thoại đóng, khối Users không đổi</t>
  </si>
  <si>
    <t xml:space="preserve">Tick thêm — khối Users</t>
  </si>
  <si>
    <t>Scope_120</t>
  </si>
  <si>
    <t xml:space="preserve">Kiểm tra người vừa gán hiện ở khối Users</t>
  </si>
  <si>
    <t xml:space="preserve">1. Mở chi tiết scope (bấm tên scope ở màn Scopes)
2. Mở Assign users
3. Tick [Customer User] chưa được gán
4. Bấm Save</t>
  </si>
  <si>
    <t xml:space="preserve">- Hộp thoại đóng
- Khối Users có thêm dòng:
+ User: [Customer User]
+ Role: Customer User
+ Given: ngày hôm nay</t>
  </si>
  <si>
    <t xml:space="preserve">Tick thêm — người được gán thấy scope</t>
  </si>
  <si>
    <t>Scope_121</t>
  </si>
  <si>
    <t xml:space="preserve">Kiểm tra người vừa được gán thấy scope</t>
  </si>
  <si>
    <t xml:space="preserve">1. Mở chi tiết scope [Organization], gán [Customer User] (Assign users, tick, Save)
2. Đăng xuất, đăng nhập account [Customer User]
3. Mở màn Scopes</t>
  </si>
  <si>
    <t xml:space="preserve">- Danh sách có [Organization]</t>
  </si>
  <si>
    <t xml:space="preserve">Tick thêm — chi tiết người dùng</t>
  </si>
  <si>
    <t>Scope_122</t>
  </si>
  <si>
    <t xml:space="preserve">Kiểm tra scope hiện ở chi tiết người dùng</t>
  </si>
  <si>
    <t xml:space="preserve">1. Mở chi tiết scope [Organization], gán [Customer User] (Assign users, tick, Save)
2. Mở Users ở mục Administration
3. Mở chi tiết [Customer User]</t>
  </si>
  <si>
    <t xml:space="preserve">- Phần scope được gán có [Organization]</t>
  </si>
  <si>
    <t>UC-USR-002</t>
  </si>
  <si>
    <t xml:space="preserve">Bỏ tick — khối Users</t>
  </si>
  <si>
    <t>Scope_123</t>
  </si>
  <si>
    <t xml:space="preserve">Kiểm tra bỏ gán người dùng</t>
  </si>
  <si>
    <t xml:space="preserve">1. Mở chi tiết scope đã gán [Customer User]
2. Mở Assign users
3. Bỏ tick [Customer User]
4. Bấm Save</t>
  </si>
  <si>
    <t xml:space="preserve">- Hộp thoại đóng
- Khối Users không còn dòng [Customer User]</t>
  </si>
  <si>
    <t xml:space="preserve">Thu hồi có thuộc USR-006, có hỏi xác nhận → Q-S-23</t>
  </si>
  <si>
    <t xml:space="preserve">Bỏ tick — người bị bỏ gán</t>
  </si>
  <si>
    <t>Scope_124</t>
  </si>
  <si>
    <t xml:space="preserve">Kiểm tra người bị bỏ gán không còn thấy scope</t>
  </si>
  <si>
    <t xml:space="preserve">1. Mở chi tiết scope [Organization], bỏ gán [Customer User] (Assign users, bỏ tick, Save)
2. Đăng xuất, đăng nhập account [Customer User]
3. Mở màn Scopes
4. Mở url chi tiết của [Organization]</t>
  </si>
  <si>
    <t xml:space="preserve">- Sau bước 3: danh sách không có [Organization]
- Sau bước 4: không hiển thị nội dung của [Organization]</t>
  </si>
  <si>
    <t xml:space="preserve">Thu hồi có thuộc USR-006 → Q-S-23</t>
  </si>
  <si>
    <t xml:space="preserve">Evidence coverage</t>
  </si>
  <si>
    <t>Scope_125</t>
  </si>
  <si>
    <t xml:space="preserve">Kiểm tra khối Summary</t>
  </si>
  <si>
    <t xml:space="preserve">1. Mở chi tiết scope đã gắn framework
2. Kiểm tra khối Summary bên phải</t>
  </si>
  <si>
    <t xml:space="preserve">- Hiển thị thông tin giống khung Frameworks</t>
  </si>
  <si>
    <t xml:space="preserve">[ĐỀ XUẤT LÙI] RDN-004. Prototype: mỗi framework một dòng %, thanh tiến trình, '&lt;n&gt; of &lt;m&gt; requirements have their mandatory evidence'; ghi chú 'Preparation progress only — not a compliance decision.' → Q-S-11</t>
  </si>
  <si>
    <t xml:space="preserve">Danh sách</t>
  </si>
  <si>
    <t xml:space="preserve">Chỉ scope được gán</t>
  </si>
  <si>
    <t>Scope_126</t>
  </si>
  <si>
    <t xml:space="preserve">Kiểm tra màn Scopes với Customer User</t>
  </si>
  <si>
    <t xml:space="preserve">Đăng nhập account Customer User; được gán scope [System], không được gán scope [Organization]</t>
  </si>
  <si>
    <t xml:space="preserve">- Danh sách có [System]
- Danh sách không có [Organization]
- Không có nút tạo scope</t>
  </si>
  <si>
    <t xml:space="preserve">Mô tả trang</t>
  </si>
  <si>
    <t>Scope_127</t>
  </si>
  <si>
    <t xml:space="preserve">Kiểm tra mô tả trang với Customer User</t>
  </si>
  <si>
    <t xml:space="preserve">1. Mở màn Scopes
2. Kiểm tra dòng mô tả dưới tiêu đề</t>
  </si>
  <si>
    <t xml:space="preserve">- Mô tả:
"Scopes assigned to you. Only scopes assigned to you are listed."</t>
  </si>
  <si>
    <t xml:space="preserve">Text lấy từ prototype, Figma chỉ có bản Customer Admin → Q-S-01</t>
  </si>
  <si>
    <t xml:space="preserve">Chi tiết</t>
  </si>
  <si>
    <t xml:space="preserve">Không có thao tác ghi</t>
  </si>
  <si>
    <t>Scope_128</t>
  </si>
  <si>
    <t xml:space="preserve">Kiểm tra màn chi tiết với Customer User</t>
  </si>
  <si>
    <t xml:space="preserve">1. Mở màn Scopes
2. Bấm tên [System] để mở chi tiết</t>
  </si>
  <si>
    <t xml:space="preserve">- Không có:
+ Nút Edit ở khối Overview
+ Mục Edit scope
+ Nút gắn framework
+ Nút Change tier
+ Nút Assign users</t>
  </si>
  <si>
    <t xml:space="preserve">Scope không được gán, mở bằng URL</t>
  </si>
  <si>
    <t>Scope_129</t>
  </si>
  <si>
    <t xml:space="preserve">Kiểm tra Customer User mở scope không được gán bằng URL</t>
  </si>
  <si>
    <t xml:space="preserve">1. Mở url chi tiết của [Organization]</t>
  </si>
  <si>
    <t xml:space="preserve">- Không hiển thị nội dung của [Organization]</t>
  </si>
  <si>
    <t xml:space="preserve">Hiện trang gì → Q-S-26</t>
  </si>
  <si>
    <t xml:space="preserve">Danh sách và chi tiết</t>
  </si>
  <si>
    <t xml:space="preserve">Quyền xem</t>
  </si>
  <si>
    <t>Scope_130</t>
  </si>
  <si>
    <t xml:space="preserve">Kiểm tra màn Scopes với Customer Viewer</t>
  </si>
  <si>
    <t xml:space="preserve">Đăng nhập account Customer Viewer</t>
  </si>
  <si>
    <t xml:space="preserve">1. Assign 1 scope cho Customer Viewer
2. Login Customer Viewer đó
3. Mở chi tiết một scope</t>
  </si>
  <si>
    <t xml:space="preserve">- Customer Viewer có thể nhìn thấy Scope trong danh sách Scopes.</t>
  </si>
  <si>
    <t xml:space="preserve">SCP-001/002 không có Customer Viewer trong actor, nhưng prototype gán được Viewer vào scope → Q-S-24</t>
  </si>
  <si>
    <t xml:space="preserve">Được phân công</t>
  </si>
  <si>
    <t xml:space="preserve">Chỉ đọc</t>
  </si>
  <si>
    <t>Scope_131</t>
  </si>
  <si>
    <t xml:space="preserve">Kiểm tra SGS Consultant xem scope của khách được phân công</t>
  </si>
  <si>
    <t xml:space="preserve">Đăng nhập account SGS Consultant ở SGS Portal; đã được phân công khách hàng [Tên Organization]</t>
  </si>
  <si>
    <t xml:space="preserve">1. Mở danh sách scope của [Tên Organization]
2. Mở chi tiết một scope</t>
  </si>
  <si>
    <t xml:space="preserve">- Xem được danh sách và chi tiết scope
- Không có:
+ Nút tạo scope
+ Nút Edit
+ Nút gắn framework
+ Nút Change tier
+ Nút Assign users</t>
  </si>
  <si>
    <t xml:space="preserve">Lối vào từ SGS Portal ở đâu → Q-S-25</t>
  </si>
  <si>
    <t xml:space="preserve">Không được phân công</t>
  </si>
  <si>
    <t xml:space="preserve">Không thấy scope</t>
  </si>
  <si>
    <t>Scope_132</t>
  </si>
  <si>
    <t xml:space="preserve">Kiểm tra người dùng SGS không được phân công không thấy scope của khách hàng</t>
  </si>
  <si>
    <t xml:space="preserve">Đăng nhập account SGS ở SGS Portal; không được phân công khách hàng [Tên Organization]</t>
  </si>
  <si>
    <t xml:space="preserve">1. Tìm scope của [Tên Organization] trên SGS Portal</t>
  </si>
  <si>
    <t xml:space="preserve">- Không thấy scope của [Tên Organization]</t>
  </si>
  <si>
    <t xml:space="preserve">Scope của tenant khác</t>
  </si>
  <si>
    <t>Scope_133</t>
  </si>
  <si>
    <t xml:space="preserve">Kiểm tra cách ly danh sách scope giữa hai tenant</t>
  </si>
  <si>
    <t xml:space="preserve">Đăng nhập account Customer Admin của tenant B; tenant A là tenant khác, đã có scope</t>
  </si>
  <si>
    <t xml:space="preserve">- Chỉ thấy scope của tenant B
- Không có scope nào của tenant A</t>
  </si>
  <si>
    <t>URL</t>
  </si>
  <si>
    <t xml:space="preserve">Chi tiết scope tenant khác</t>
  </si>
  <si>
    <t>Scope_134</t>
  </si>
  <si>
    <t xml:space="preserve">Kiểm tra mở chi tiết scope của tenant khác bằng URL</t>
  </si>
  <si>
    <t xml:space="preserve">1. Mở url chi tiết của một scope thuộc tenant A</t>
  </si>
  <si>
    <t xml:space="preserve">- Không hiển thị dữ liệu của tenant A</t>
  </si>
  <si>
    <t xml:space="preserve">Mã độc</t>
  </si>
  <si>
    <t xml:space="preserve">Name chứa thẻ script</t>
  </si>
  <si>
    <t>Scope_135</t>
  </si>
  <si>
    <t xml:space="preserve">Kiểm tra tạo scope có Name chứa mã độc</t>
  </si>
  <si>
    <t xml:space="preserve">1. Mở màn Scopes
2. Bấm nút tạo scope để mở hộp thoại Create scope
3. Chọn Type: Organization
4. Nhập
- Name: &lt;script&gt;alert(1)&lt;/script&gt;
- What is in scope: abc
5. Bấm Create scope
6. Xem scope đó ở danh sách và màn chi tiết</t>
  </si>
  <si>
    <t xml:space="preserve">- Name hiển thị nguyên chuỗi &lt;script&gt;alert(1)&lt;/script&gt; dưới dạng chữ
- Không có hộp thoại hay đoạn mã nào được chạy</t>
  </si>
  <si>
    <t xml:space="preserve">Thao tác ghi</t>
  </si>
  <si>
    <t xml:space="preserve">Tạo, sửa, gắn, gán</t>
  </si>
  <si>
    <t>Scope_136</t>
  </si>
  <si>
    <t xml:space="preserve">Kiểm tra ghi audit cho các thao tác trên scope</t>
  </si>
  <si>
    <t xml:space="preserve">1. Mở màn Scopes
2. Tạo scope, sửa scope, gắn framework, gán người dùng
3. Mở Audit Logs</t>
  </si>
  <si>
    <t xml:space="preserve">Thao tác trên scope có thuộc diện phải ghi audit → Q-S-27</t>
  </si>
  <si>
    <t xml:space="preserve">FWK-L0001_Quản lý framework</t>
  </si>
  <si>
    <t xml:space="preserve">Frameworks · SGS Portal</t>
  </si>
  <si>
    <t xml:space="preserve">Figma SGS-DTP-DS · Screens 04 Frameworks · prototype · UC v4 FWK-01…07</t>
  </si>
  <si>
    <t xml:space="preserve">Bấm Frameworks ở menu trái</t>
  </si>
  <si>
    <t>Framework_001</t>
  </si>
  <si>
    <t xml:space="preserve">Kiểm tra vào màn Frameworks từ menu trái</t>
  </si>
  <si>
    <t xml:space="preserve">Đăng nhập account SGS Admin</t>
  </si>
  <si>
    <t xml:space="preserve">1. Bấm mục Frameworks ở menu trái</t>
  </si>
  <si>
    <t xml:space="preserve">- Chuyển sang màn Frameworks
- Breadcrumb: Frameworks
- Mục Frameworks ở menu trái được tô nền</t>
  </si>
  <si>
    <t>UC-FWK-01</t>
  </si>
  <si>
    <t xml:space="preserve">Bấm tên framework Active (mở tab Overview)</t>
  </si>
  <si>
    <t>Framework_002</t>
  </si>
  <si>
    <t xml:space="preserve">Kiểm tra mở chi tiết framework Active từ danh sách</t>
  </si>
  <si>
    <t xml:space="preserve">Đăng nhập account SGS Admin
Có sẵn một framework Active: [Framework Active]</t>
  </si>
  <si>
    <t xml:space="preserve">1. Mở màn Frameworks
2. Bấm tên một framework Active</t>
  </si>
  <si>
    <t xml:space="preserve">- Chuyển sang màn chi tiết framework, mở tab Overview
- Hiển thị chip Active cạnh tên framework</t>
  </si>
  <si>
    <t>UC-FWK-02</t>
  </si>
  <si>
    <t xml:space="preserve">Bấm tên framework Draft (mở màn Draft preview)</t>
  </si>
  <si>
    <t>Framework_003</t>
  </si>
  <si>
    <t xml:space="preserve">Kiểm tra mở màn Draft preview từ danh sách</t>
  </si>
  <si>
    <t xml:space="preserve">Đăng nhập account SGS Admin
Có sẵn một framework Draft: [Framework Draft]</t>
  </si>
  <si>
    <t xml:space="preserve">1. Mở màn Frameworks
2. Bấm tên một framework Draft</t>
  </si>
  <si>
    <t xml:space="preserve">- Chuyển sang màn Draft preview
- Hiển thị chip Draft · not active cạnh tên framework</t>
  </si>
  <si>
    <t xml:space="preserve">Từ chi tiết</t>
  </si>
  <si>
    <t xml:space="preserve">Bấm nút mũi tên quay lại ở chi tiết framework Active</t>
  </si>
  <si>
    <t>Framework_004</t>
  </si>
  <si>
    <t xml:space="preserve">Kiểm tra nút quay lại ở chi tiết framework Active</t>
  </si>
  <si>
    <t xml:space="preserve">1. Mở màn Frameworks
2. Bấm tên một framework Active
3. Bấm nút mũi tên quay lại</t>
  </si>
  <si>
    <t xml:space="preserve">- Quay về màn Frameworks</t>
  </si>
  <si>
    <t xml:space="preserve">Bấm nút mũi tên quay lại ở Draft preview</t>
  </si>
  <si>
    <t>Framework_005</t>
  </si>
  <si>
    <t xml:space="preserve">Kiểm tra nút quay lại ở Draft preview</t>
  </si>
  <si>
    <t xml:space="preserve">1. Mở màn Frameworks
2. Bấm tên một framework Draft
3. Bấm nút mũi tên quay lại</t>
  </si>
  <si>
    <t xml:space="preserve">Breadcrumb, tiêu đề và dòng mô tả</t>
  </si>
  <si>
    <t>Framework_006</t>
  </si>
  <si>
    <t xml:space="preserve">Kiểm tra breadcrumb, tiêu đề và dòng mô tả của màn Frameworks</t>
  </si>
  <si>
    <t xml:space="preserve">1. Mở màn Frameworks
2. Kiểm tra phần đầu trang</t>
  </si>
  <si>
    <t xml:space="preserve">- Breadcrumb: Frameworks
- Tiêu đề: Frameworks
- Dòng mô tả: Frameworks customers can activate on their scopes. Import one from the Excel template.</t>
  </si>
  <si>
    <t xml:space="preserve">Nút Download template</t>
  </si>
  <si>
    <t>Framework_007</t>
  </si>
  <si>
    <t xml:space="preserve">Kiểm tra nút Download template ở đầu danh sách</t>
  </si>
  <si>
    <t xml:space="preserve">1. Mở màn Frameworks
2. Kiểm tra phần đầu trang, bên phải</t>
  </si>
  <si>
    <t xml:space="preserve">- Có nút Download template (không nền)</t>
  </si>
  <si>
    <t xml:space="preserve">[NGOÀI UC] Tải file mẫu: UC FWK-03 chỉ nêu file XLSX, không nêu nút tải mẫu</t>
  </si>
  <si>
    <t xml:space="preserve">Nút Import framework</t>
  </si>
  <si>
    <t>Framework_008</t>
  </si>
  <si>
    <t xml:space="preserve">Kiểm tra nút Import framework</t>
  </si>
  <si>
    <t xml:space="preserve">- Có nút Import framework (nền màu chính)</t>
  </si>
  <si>
    <t>UC-FWK-03</t>
  </si>
  <si>
    <t xml:space="preserve">Dòng đếm "&lt;n&gt; frameworks"</t>
  </si>
  <si>
    <t>Framework_009</t>
  </si>
  <si>
    <t xml:space="preserve">Kiểm tra dòng đếm số framework</t>
  </si>
  <si>
    <t xml:space="preserve">1. Mở màn Frameworks
2. Kiểm tra dòng phía trên bảng, bên trái</t>
  </si>
  <si>
    <t xml:space="preserve">- Hiển thị &lt;n&gt; frameworks, n bằng tổng số framework trong bảng</t>
  </si>
  <si>
    <t xml:space="preserve">Ô tìm kiếm và chữ gợi ý</t>
  </si>
  <si>
    <t>Framework_010</t>
  </si>
  <si>
    <t xml:space="preserve">1. Mở màn Frameworks
2. Kiểm tra phía trên bảng, bên phải</t>
  </si>
  <si>
    <t xml:space="preserve">- Ô tìm kiếm có icon kính lúp, placeholder: Search code or name</t>
  </si>
  <si>
    <t xml:space="preserve">Tìm theo mã (code)</t>
  </si>
  <si>
    <t>Framework_011</t>
  </si>
  <si>
    <t xml:space="preserve">Kiểm tra tìm theo mã framework</t>
  </si>
  <si>
    <t xml:space="preserve">1. Mở màn Frameworks
2. Nhập [mã framework] vào ô tìm kiếm</t>
  </si>
  <si>
    <t xml:space="preserve">- Hệ thống không phân biệt chữ HOA, chữ thường hiển thị đúng theo mã framwork</t>
  </si>
  <si>
    <t xml:space="preserve">Tìm theo tên (name)</t>
  </si>
  <si>
    <t>Framework_012</t>
  </si>
  <si>
    <t xml:space="preserve">Kiểm tra tìm theo tên framework</t>
  </si>
  <si>
    <t xml:space="preserve">1. Mở màn Frameworks
2. Nhập [một phần tên framework] vào ô tìm kiếm</t>
  </si>
  <si>
    <t xml:space="preserve">- Hệ thống không phân biệt chữ HOA, chữ thường hiển thị đúng theo tên  framwork</t>
  </si>
  <si>
    <t xml:space="preserve">Tìm theo Issue by</t>
  </si>
  <si>
    <t xml:space="preserve">Kiểm tra tìm theo Issue by </t>
  </si>
  <si>
    <t xml:space="preserve">1. Mở màn Frameworks
2. Nhập [Issue by] vào ô tìm kiếm</t>
  </si>
  <si>
    <t xml:space="preserve">- Hệ thống không phân biệt chữ HOA, chữ thường hiển thị đúng theo Issue by</t>
  </si>
  <si>
    <t xml:space="preserve">Tìm theo Requirements</t>
  </si>
  <si>
    <t xml:space="preserve">Kiểm tra tìm theo Requirements</t>
  </si>
  <si>
    <t xml:space="preserve">1. Mở màn Frameworks
2. Nhập [Requirements] vào ô tìm kiếm</t>
  </si>
  <si>
    <t xml:space="preserve">- Hệ thống không phân biệt chữ HOA, chữ thường hiển thị đúng theo Requirements</t>
  </si>
  <si>
    <t xml:space="preserve">Tìm theo Status</t>
  </si>
  <si>
    <t xml:space="preserve">Kiểm tra tìm theo Status</t>
  </si>
  <si>
    <t xml:space="preserve">1. Mở màn Frameworks
2. Nhập [Status] vào ô tìm kiếm</t>
  </si>
  <si>
    <t xml:space="preserve">- Hệ thống không phân biệt chữ HOA, chữ thường hiển thị đúng theo Status</t>
  </si>
  <si>
    <t xml:space="preserve">Tìm theo thời gian Updated (hh:mm)</t>
  </si>
  <si>
    <t xml:space="preserve">Kiểm tra tìm theo thời gian Updated (hh:mm)</t>
  </si>
  <si>
    <t xml:space="preserve">1. Mở màn Frameworks
2. Nhập [hh:mm] vào ô tìm kiếm</t>
  </si>
  <si>
    <t xml:space="preserve">- Hệ thống không phân biệt chữ HOA, chữ thường hiển thị đúng theo thời gian Update</t>
  </si>
  <si>
    <t>Framework_013</t>
  </si>
  <si>
    <t xml:space="preserve">Kiểm tra tìm không có kết quả</t>
  </si>
  <si>
    <t xml:space="preserve">1. Mở màn Frameworks
2. Nhập zzz vào ô tìm kiếm</t>
  </si>
  <si>
    <t xml:space="preserve">- Bảng không có dòng nào
- Hiển thị "No results for “zzz”"
- Hiển thị "Try a different search term."
- Dòng đếm không đổi</t>
  </si>
  <si>
    <t xml:space="preserve">Xoá chữ tìm, danh sách trở lại đủ dòng</t>
  </si>
  <si>
    <t>Framework_014</t>
  </si>
  <si>
    <t xml:space="preserve">Kiểm tra xoá chữ tìm</t>
  </si>
  <si>
    <t xml:space="preserve">1. Mở màn Frameworks
2. Nhập zzz vào ô tìm kiếm
3. Xoá chữ trong ô tìm kiếm</t>
  </si>
  <si>
    <t xml:space="preserve">- Text biến mất 
- Ô tìm kiếm có icon kính lúp, placeholder: Search code or name</t>
  </si>
  <si>
    <t xml:space="preserve">Hiển thị cột</t>
  </si>
  <si>
    <t xml:space="preserve">Tiêu đề cột và thứ tự: Framework, Version, Issued by, Tiers, Requirements, Status, Updated</t>
  </si>
  <si>
    <t>Framework_015</t>
  </si>
  <si>
    <t xml:space="preserve">Kiểm tra tiêu đề cột của bảng</t>
  </si>
  <si>
    <t xml:space="preserve">1. Mở màn Frameworks
2. Kiểm tra hàng tiêu đề của bảng</t>
  </si>
  <si>
    <t xml:space="preserve">- Các cột theo thứ tự: Framework, Version, Issued by, Tiers, Requirements, Status, Updated
- Cột cuối là cột icon tải, không có tiêu đề</t>
  </si>
  <si>
    <t xml:space="preserve">Hiển thị dòng theo loại</t>
  </si>
  <si>
    <t xml:space="preserve">Framework Active có tier</t>
  </si>
  <si>
    <t>Framework_016</t>
  </si>
  <si>
    <t xml:space="preserve">Kiểm tra dòng framework Active có tier</t>
  </si>
  <si>
    <t xml:space="preserve">Đăng nhập account SGS Admin
Có sẵn một framework Active có tier: [Framework Active có tier]</t>
  </si>
  <si>
    <t xml:space="preserve">1. Mở màn Frameworks
2. Kiểm tra dòng của framework Active có tier</t>
  </si>
  <si>
    <t xml:space="preserve">- Framework: tên và mã (code)
- Version, Issued by, Requirements có giá trị
- Tiers: hiển thị các tier của framework
- Status: chip Active
- Updated: ngày cập nhật</t>
  </si>
  <si>
    <t xml:space="preserve">Framework Active không tier (cột Tiers hiện "—")</t>
  </si>
  <si>
    <t>Framework_017</t>
  </si>
  <si>
    <t xml:space="preserve">Kiểm tra dòng framework Active không tier</t>
  </si>
  <si>
    <t xml:space="preserve">Đăng nhập account SGS Admin
Có sẵn một framework Active không tier: [Framework Active không tier]</t>
  </si>
  <si>
    <t xml:space="preserve">1. Mở màn Frameworks
2. Kiểm tra dòng của framework Active không tier</t>
  </si>
  <si>
    <t xml:space="preserve">- Cột Tiers hiển thị —
- Status: chip Active</t>
  </si>
  <si>
    <t xml:space="preserve">Framework Draft (chip "Draft · not active", Updated dạng "Today, hh:mm")</t>
  </si>
  <si>
    <t>Framework_018</t>
  </si>
  <si>
    <t xml:space="preserve">Kiểm tra dòng framework Draft</t>
  </si>
  <si>
    <t xml:space="preserve">1. Mở màn Frameworks
2. Kiểm tra dòng của framework Draft</t>
  </si>
  <si>
    <t xml:space="preserve">- Status: chip Draft · not active
- Updated: dạng Today, hh:mm</t>
  </si>
  <si>
    <t xml:space="preserve">Hai phiên bản của cùng một mã hiện thành hai dòng</t>
  </si>
  <si>
    <t>Framework_019</t>
  </si>
  <si>
    <t xml:space="preserve">Kiểm tra hai phiên bản của cùng một mã</t>
  </si>
  <si>
    <t xml:space="preserve">Đăng nhập account SGS Admin
Có hai phiên bản của cùng một mã: [Framework hai phiên bản]</t>
  </si>
  <si>
    <t xml:space="preserve">1. Mở màn Frameworks
2. Kiểm tra các dòng có cùng mã framework, khác Version</t>
  </si>
  <si>
    <t xml:space="preserve">- Mỗi phiên bản một dòng riêng, cột Version khác nhau</t>
  </si>
  <si>
    <t>Framework_024</t>
  </si>
  <si>
    <t xml:space="preserve">1. Mở màn Scopes, kiểm tra thứ tự các dòng của Framework/Version/Issued by/Requirements</t>
  </si>
  <si>
    <t xml:space="preserve">1. Mở màn Scopes
2. Bấm tiêu đề cột Scope của Framework/Version/Issued by/Requirements</t>
  </si>
  <si>
    <t xml:space="preserve">1. Mở màn Scopes
2. Bấm tiêu đề cột Scope hai lần của Framework/Version/Issued by/Requirements</t>
  </si>
  <si>
    <t xml:space="preserve">Biểu tượng tải ở mỗi dòng</t>
  </si>
  <si>
    <t xml:space="preserve">Hover vào biểu tượng tải</t>
  </si>
  <si>
    <t xml:space="preserve">Kiểm tra hiển thị khi hover vào icon tải</t>
  </si>
  <si>
    <t xml:space="preserve">1. Mở màn Frameworks
2. Hover vào  icon tải ở cuối một dòng</t>
  </si>
  <si>
    <t xml:space="preserve">- Hiển thị thông báo: "Download source file of &lt;tên&gt; · &lt;version&gt;"</t>
  </si>
  <si>
    <t xml:space="preserve">Bấm biểu tượng tải ở một dòng</t>
  </si>
  <si>
    <t xml:space="preserve">Kiểm tra biểu tượng tải ở một dòng</t>
  </si>
  <si>
    <t xml:space="preserve">1. Mở màn Frameworks
2. Bấm icon tải ở cuối một dòng</t>
  </si>
  <si>
    <t xml:space="preserve">- Hiển thị thông báo: "&lt;version&gt; would download here. The prototype has no real files."</t>
  </si>
  <si>
    <t xml:space="preserve">Dòng "1–&lt;n&gt; of &lt;n&gt; items" và "1 of 1 page"</t>
  </si>
  <si>
    <t>Framework_025</t>
  </si>
  <si>
    <t xml:space="preserve">Kiểm tra dòng phân trang</t>
  </si>
  <si>
    <t xml:space="preserve">1. Mở màn Frameworks
2. Kiểm tra phần dưới bảng</t>
  </si>
  <si>
    <t xml:space="preserve">- Hiển thị 1–&lt;n&gt; of &lt;n&gt; items
- Hiển thị Page 1 of 1 khi chỉ có một trang</t>
  </si>
  <si>
    <t xml:space="preserve">Chọn Items per page: 10, 25, 50, 100</t>
  </si>
  <si>
    <t>Framework_026</t>
  </si>
  <si>
    <t xml:space="preserve">Kiểm tra chọn Items per page</t>
  </si>
  <si>
    <t xml:space="preserve">1. Mở màn Frameworks
2. Bấm ô Items per page
3. Kiểm tra các lựa chọn</t>
  </si>
  <si>
    <t xml:space="preserve">- Có 4 lựa chọn: 10, 25, 50, 100</t>
  </si>
  <si>
    <t xml:space="preserve">Framework Active: tên, chip Active, dòng "code · version · issuing body", nút quay lại, nút ba chấm</t>
  </si>
  <si>
    <t>Framework_027</t>
  </si>
  <si>
    <t xml:space="preserve">Kiểm tra phần đầu chi tiết framework Active</t>
  </si>
  <si>
    <t xml:space="preserve">1. Mở màn Frameworks
2. Bấm tên một framework Active
3. Kiểm tra phần đầu trang</t>
  </si>
  <si>
    <t xml:space="preserve">- Nút mũi tên quay lại
- Tên framework, chip Active
- Dòng "mã · version · issuing body"
- Nút ba chấm</t>
  </si>
  <si>
    <t xml:space="preserve">Framework Draft: chip "Draft · not active", nút Discard draft và Activate (không có nút ba chấm)</t>
  </si>
  <si>
    <t>Framework_028</t>
  </si>
  <si>
    <t xml:space="preserve">Kiểm tra phần đầu Draft preview</t>
  </si>
  <si>
    <t xml:space="preserve">1. Mở màn Frameworks
2. Bấm tên một framework Draft
3. Kiểm tra phần đầu trang</t>
  </si>
  <si>
    <t xml:space="preserve">- Tên framework, chip Draft · not active
- Dòng "mã · version · issuing body"
- Nút Discard draft và nút Activate
- Không có nút ba chấm</t>
  </si>
  <si>
    <t>UC-FWK-06</t>
  </si>
  <si>
    <t xml:space="preserve">Mở menu</t>
  </si>
  <si>
    <t xml:space="preserve">Mở menu ở framework Active, chỉ có mục "Import new version"</t>
  </si>
  <si>
    <t>Framework_029</t>
  </si>
  <si>
    <t xml:space="preserve">Kiểm tra menu ba chấm của framework Active</t>
  </si>
  <si>
    <t xml:space="preserve">1. Mở màn Frameworks
2. Bấm tên một framework Active
3. Bấm nút ba chấm</t>
  </si>
  <si>
    <t xml:space="preserve">- Menu có một mục: Import new version</t>
  </si>
  <si>
    <t xml:space="preserve">Click vào Import new version</t>
  </si>
  <si>
    <t xml:space="preserve">Mở Import new version</t>
  </si>
  <si>
    <t xml:space="preserve">Kiểm tra hiển thị khi click vào Import new version</t>
  </si>
  <si>
    <t xml:space="preserve">1. Mở màn Frameworks
2. Bấm tên một framework Active
3. Bấm nút ba chấm
4. Click vào Import new version</t>
  </si>
  <si>
    <t xml:space="preserve">- Hiển thị hộp thoại Import - Import dialog</t>
  </si>
  <si>
    <t xml:space="preserve">Chuyển tab</t>
  </si>
  <si>
    <t xml:space="preserve">Framework Active có 3 mục: Overview, Requirements, Other versions; mặc định Overview</t>
  </si>
  <si>
    <t>Framework_030</t>
  </si>
  <si>
    <t xml:space="preserve">Kiểm tra các mục của framework Active</t>
  </si>
  <si>
    <t xml:space="preserve">1. Mở màn Frameworks
2. Bấm tên một framework Active
3. Kiểm tra thanh mục</t>
  </si>
  <si>
    <t xml:space="preserve">- Có 3 mục: Overview, Requirements, Other versions
- Mặc định mở Overview</t>
  </si>
  <si>
    <t xml:space="preserve">Framework Draft có 3 mục: Framework, Tiers, Requirements</t>
  </si>
  <si>
    <t>Framework_031</t>
  </si>
  <si>
    <t xml:space="preserve">Kiểm tra các mục của Draft preview</t>
  </si>
  <si>
    <t xml:space="preserve">1. Mở màn Frameworks
2. Bấm tên một framework Draft
3. Kiểm tra cột mục bên trái</t>
  </si>
  <si>
    <t xml:space="preserve">- Có 3 mục: Framework, Tiers, Requirements</t>
  </si>
  <si>
    <t xml:space="preserve">Hiển thị khối Framework</t>
  </si>
  <si>
    <t xml:space="preserve">Framework Active: Code, Issued by, Version, Effective date, Description</t>
  </si>
  <si>
    <t>Framework_032</t>
  </si>
  <si>
    <t xml:space="preserve">Kiểm tra khối Framework của framework Active</t>
  </si>
  <si>
    <t xml:space="preserve">1. Mở màn Frameworks
2. Bấm tên một framework Active
3. Kiểm tra khối Framework ở tab Overview</t>
  </si>
  <si>
    <t xml:space="preserve">- Hiển thị Code, Issued by, Version, Effective date, Description</t>
  </si>
  <si>
    <t xml:space="preserve">Hiển thị khối Tiers</t>
  </si>
  <si>
    <t xml:space="preserve">Framework có tier: bảng Code, Tier, Rank, New at this tier, Total to meet</t>
  </si>
  <si>
    <t>Framework_033</t>
  </si>
  <si>
    <t xml:space="preserve">Kiểm tra khối Tiers của framework có tier</t>
  </si>
  <si>
    <t xml:space="preserve">1. Mở màn Frameworks
2. Bấm tên một framework Active có tier
3. Kiểm tra khối Tiers ở tab Overview</t>
  </si>
  <si>
    <t xml:space="preserve">- Bảng có các cột Code, Tier, Rank, New at this tier, Total to meet
- Mỗi tier một dòng</t>
  </si>
  <si>
    <t xml:space="preserve">Framework không tier: không có khối Tiers</t>
  </si>
  <si>
    <t>Framework_034</t>
  </si>
  <si>
    <t xml:space="preserve">Kiểm tra framework không tier không có khối Tiers</t>
  </si>
  <si>
    <t xml:space="preserve">1. Mở màn Frameworks
2. Bấm tên một framework Active không tier
3. Kiểm tra tab Overview</t>
  </si>
  <si>
    <t xml:space="preserve">- Không có khối Tiers</t>
  </si>
  <si>
    <t xml:space="preserve">Giá trị tính toán: Total to meet</t>
  </si>
  <si>
    <t xml:space="preserve">Tier Basic: New at this tier 44, Total to meet 44</t>
  </si>
  <si>
    <t>Framework_035</t>
  </si>
  <si>
    <t xml:space="preserve">Kiểm tra Total to meet của tier Basic</t>
  </si>
  <si>
    <t xml:space="preserve">Đăng nhập account SGS Admin
Có framework Appendix 10 · 2022 (Active)</t>
  </si>
  <si>
    <t xml:space="preserve">1. Mở màn Frameworks
2. Bấm tên framework Appendix 10 · 2022 (Active)
3. Kiểm tra khối Tiers dòng Basic</t>
  </si>
  <si>
    <t xml:space="preserve">- New at this tier: 44
- Total to meet: 44</t>
  </si>
  <si>
    <t xml:space="preserve">Chờ Hanna chọn cách ghi giá trị tính toán (FB-048, phương án A hoặc B)</t>
  </si>
  <si>
    <t xml:space="preserve">Tier Medium: New 17, Total 61</t>
  </si>
  <si>
    <t>Framework_036</t>
  </si>
  <si>
    <t xml:space="preserve">Kiểm tra Total to meet của tier Medium</t>
  </si>
  <si>
    <t xml:space="preserve">1. Mở màn Frameworks
2. Bấm tên framework Appendix 10 · 2022 (Active)
3. Kiểm tra khối Tiers dòng Medium</t>
  </si>
  <si>
    <t xml:space="preserve">- New at this tier: 17
- Total to meet: 61 (44 + 17)</t>
  </si>
  <si>
    <t xml:space="preserve">Tier High: New 15, Total 76</t>
  </si>
  <si>
    <t>Framework_037</t>
  </si>
  <si>
    <t xml:space="preserve">Kiểm tra Total to meet của tier High</t>
  </si>
  <si>
    <t xml:space="preserve">1. Mở màn Frameworks
2. Bấm tên framework Appendix 10 · 2022 (Active)
3. Kiểm tra khối Tiers dòng High</t>
  </si>
  <si>
    <t xml:space="preserve">Q-F-10: Figma Detail ghi 18 và 79, khối Content cùng màn ghi 76 requirement; hệ thống ghi 15 và 76. Chưa biết số nào đúng</t>
  </si>
  <si>
    <t xml:space="preserve">Hiển thị khối Content theo loại</t>
  </si>
  <si>
    <t xml:space="preserve">Framework có tier: Dimensions, Control measures, Requirements, Expected evidence items</t>
  </si>
  <si>
    <t>Framework_038</t>
  </si>
  <si>
    <t xml:space="preserve">Kiểm tra khối Content của framework có tier</t>
  </si>
  <si>
    <t xml:space="preserve">1. Mở màn Frameworks
2. Bấm tên một framework Active có tier
3. Kiểm tra khối Content ở tab Overview</t>
  </si>
  <si>
    <t xml:space="preserve">- Hiển thị Dimensions, Control measures, Requirements, Expected evidence items</t>
  </si>
  <si>
    <t xml:space="preserve">Framework không tier: Clauses, Requirements, Expected evidence items</t>
  </si>
  <si>
    <t>Framework_039</t>
  </si>
  <si>
    <t xml:space="preserve">Kiểm tra khối Content của framework không tier</t>
  </si>
  <si>
    <t xml:space="preserve">1. Mở màn Frameworks
2. Bấm tên một framework Active không tier
3. Kiểm tra khối Content ở tab Overview</t>
  </si>
  <si>
    <t xml:space="preserve">- Hiển thị Clauses, Requirements, Expected evidence items
- Không có Dimensions và Control measures</t>
  </si>
  <si>
    <t xml:space="preserve">Tiêu đề và dòng tóm tắt "… Read only — import a new version to change them."</t>
  </si>
  <si>
    <t>Framework_040</t>
  </si>
  <si>
    <t xml:space="preserve">Kiểm tra phần đầu tab Requirements</t>
  </si>
  <si>
    <t xml:space="preserve">1. Mở màn Frameworks
2. Bấm tên một framework Active
3. Bấm tab Requirements</t>
  </si>
  <si>
    <t xml:space="preserve">- Tiêu đề và dòng tóm tắt dạng "&lt;n&gt; dimensions · &lt;n&gt; control measures · &lt;n&gt; requirements. Read only — import a new version to change them."</t>
  </si>
  <si>
    <t xml:space="preserve">Cây: dimension kèm số, mở ra thấy requirement kèm chip Basic, From Medium, From High</t>
  </si>
  <si>
    <t>Framework_041</t>
  </si>
  <si>
    <t xml:space="preserve">Kiểm tra cây requirement</t>
  </si>
  <si>
    <t xml:space="preserve">1. Mở màn Frameworks
2. Bấm tên một framework Active có tier
3. Bấm tab Requirements
4. Mở một dimension</t>
  </si>
  <si>
    <t xml:space="preserve">- Mỗi dimension hiển thị tên kèm số
- Mở ra thấy control measure và requirement
- Mỗi requirement kèm chip Basic, From Medium hoặc From High</t>
  </si>
  <si>
    <t xml:space="preserve">Chọn một requirement: khung bên phải hiện code, tiêu đề, mô tả, Applies to, Not required for, Sort order, Source, Expected evidence</t>
  </si>
  <si>
    <t>Framework_042</t>
  </si>
  <si>
    <t xml:space="preserve">Kiểm tra khung chi tiết requirement</t>
  </si>
  <si>
    <t xml:space="preserve">1. Mở màn Frameworks
2. Bấm tên một framework Active có tier
3. Bấm tab Requirements
4. Bấm một requirement</t>
  </si>
  <si>
    <t xml:space="preserve">- Khung bên phải hiển thị code, tiêu đề, mô tả
- Có Applies to, Not required for, Sort order, Source
- Có Expected evidence kèm số lượng và chip Mandatory</t>
  </si>
  <si>
    <t xml:space="preserve">Không có nút thêm, sửa hoặc retire requirement</t>
  </si>
  <si>
    <t>Framework_043</t>
  </si>
  <si>
    <t xml:space="preserve">Kiểm tra requirement chỉ đọc</t>
  </si>
  <si>
    <t xml:space="preserve">1. Mở màn Frameworks
2. Bấm tên một framework Active
3. Bấm tab Requirements
4. Kiểm tra màn và khung chi tiết requirement</t>
  </si>
  <si>
    <t xml:space="preserve">- Không có nút thêm, sửa hoặc retire requirement</t>
  </si>
  <si>
    <t xml:space="preserve">Tìm theo mã requirement</t>
  </si>
  <si>
    <t>Framework_044</t>
  </si>
  <si>
    <t xml:space="preserve">Kiểm tra tìm requirement theo mã</t>
  </si>
  <si>
    <t xml:space="preserve">1. Mở màn Frameworks
2. Bấm tên một framework Active
3. Bấm tab Requirements
4. Nhập [mã requirement] vào ô Search</t>
  </si>
  <si>
    <t xml:space="preserve">- Hiển thị đúng data theo mã requirement</t>
  </si>
  <si>
    <t xml:space="preserve">Tìm theo tiêu đề</t>
  </si>
  <si>
    <t>Framework_045</t>
  </si>
  <si>
    <t xml:space="preserve">Kiểm tra tìm requirement theo tiêu đề</t>
  </si>
  <si>
    <t xml:space="preserve">1. Mở màn Frameworks
2. Bấm tên một framework Active
3. Bấm tab Requirements
4. Nhập [một phần tiêu đề] vào ô Search</t>
  </si>
  <si>
    <t xml:space="preserve">- Hiển thị đúng data theo mã tiêu đề</t>
  </si>
  <si>
    <t>Framework_046</t>
  </si>
  <si>
    <t xml:space="preserve">Kiểm tra tìm requirement không có kết quả</t>
  </si>
  <si>
    <t xml:space="preserve">1. Mở màn Frameworks
2. Bấm tên một framework Active
3. Bấm tab Requirements
4. Nhập zzz vào ô Search</t>
  </si>
  <si>
    <t xml:space="preserve">- Không có kết quả và hiển thị thông báo: 
- "No matching requirements"
- "Try another search or filter."</t>
  </si>
  <si>
    <t xml:space="preserve">Lọc theo tier</t>
  </si>
  <si>
    <t xml:space="preserve">Chọn Basic</t>
  </si>
  <si>
    <t>Framework_047</t>
  </si>
  <si>
    <t xml:space="preserve">Kiểm tra lọc requirement: Basic</t>
  </si>
  <si>
    <t xml:space="preserve">1. Mở màn Frameworks
2. Bấm tên một framework Active có tier
3. Bấm tab Requirements
4. Chọn Basic ở ô lọc tier</t>
  </si>
  <si>
    <t xml:space="preserve">- Hiển thị đúng data theo tier Basic</t>
  </si>
  <si>
    <t xml:space="preserve">Chọn Medium</t>
  </si>
  <si>
    <t>Framework_048</t>
  </si>
  <si>
    <t xml:space="preserve">Kiểm tra lọc requirement: Medium</t>
  </si>
  <si>
    <t xml:space="preserve">1. Mở màn Frameworks
2. Bấm tên một framework Active có tier
3. Bấm tab Requirements
4. Chọn Medium ở ô lọc tier</t>
  </si>
  <si>
    <t xml:space="preserve">- Hiển thị đúng data theo tier Medium</t>
  </si>
  <si>
    <t xml:space="preserve">Chọn High</t>
  </si>
  <si>
    <t>Framework_049</t>
  </si>
  <si>
    <t xml:space="preserve">Kiểm tra lọc requirement: High</t>
  </si>
  <si>
    <t xml:space="preserve">1. Mở màn Frameworks
2. Bấm tên một framework Active có tier
3. Bấm tab Requirements
4. Chọn High ở ô lọc tier</t>
  </si>
  <si>
    <t xml:space="preserve">- Hiển thị đúng data theo tier High</t>
  </si>
  <si>
    <t xml:space="preserve">Chọn All tiers</t>
  </si>
  <si>
    <t>Framework_050</t>
  </si>
  <si>
    <t xml:space="preserve">Kiểm tra lọc requirement: All tiers</t>
  </si>
  <si>
    <t xml:space="preserve">1. Mở màn Frameworks
2. Bấm tên một framework Active có tier
3. Bấm tab Requirements
4. Chọn All tiers ở ô lọc tier</t>
  </si>
  <si>
    <t xml:space="preserve">- Hiển thị đúng toàn bộ data theo All tier</t>
  </si>
  <si>
    <t xml:space="preserve">Giá trị tính toán: số đếm theo dimension</t>
  </si>
  <si>
    <t xml:space="preserve">Cộng số của 7 dimension bằng số Requirements (76)</t>
  </si>
  <si>
    <t>Framework_051</t>
  </si>
  <si>
    <t xml:space="preserve">Kiểm tra tổng số requirement của framework Appendix 10 · 2022</t>
  </si>
  <si>
    <t xml:space="preserve">1. Mở màn Frameworks
2. Bấm tên framework Appendix 10 · 2022 (Active)
3. Bấm tab Requirements
4. Cộng số của 7 dimension</t>
  </si>
  <si>
    <t xml:space="preserve">- Dimension lần lượt
- Tổng bằng 76
- Bằng số Requirements ở tab Overview</t>
  </si>
  <si>
    <t xml:space="preserve">Không nên viết số từng loại mà nên viết rule hiển thị, tính toán của trường này</t>
  </si>
  <si>
    <t xml:space="preserve">Cùng kiểm với framework có 79 requirement (bản Draft)</t>
  </si>
  <si>
    <t>Framework_052</t>
  </si>
  <si>
    <t xml:space="preserve">Kiểm tra tổng số requirement của bản Draft Appendix 10 amended</t>
  </si>
  <si>
    <t xml:space="preserve">Đăng nhập account SGS Admin
Có framework Appendix 10 amended (Draft)</t>
  </si>
  <si>
    <t xml:space="preserve">1. Mở màn Frameworks
2. Bấm tên framework Appendix 10 amended (Draft)
3. Bấm mục Requirements
4. Cộng số của 7 dimension</t>
  </si>
  <si>
    <t xml:space="preserve">- Số của 7 dimension lần lượt: 14, 14, 8, 11, 15, 7, 10
- Tổng bằng 79
- Bằng số requirement ở khối Requirements</t>
  </si>
  <si>
    <t xml:space="preserve">Mở từ nút Import framework ở danh sách</t>
  </si>
  <si>
    <t>Framework_053</t>
  </si>
  <si>
    <t xml:space="preserve">Kiểm tra mở hộp thoại Import từ danh sách</t>
  </si>
  <si>
    <t xml:space="preserve">1. Mở màn Frameworks
2. Bấm Import framework</t>
  </si>
  <si>
    <t xml:space="preserve">- Mở hộp thoại Import a framework</t>
  </si>
  <si>
    <t xml:space="preserve">Mở từ mục "Import new version" ở chi tiết framework Active</t>
  </si>
  <si>
    <t>Framework_054</t>
  </si>
  <si>
    <t xml:space="preserve">Kiểm tra mở hộp thoại Import từ Import new version</t>
  </si>
  <si>
    <t xml:space="preserve">1. Mở màn Frameworks
2. Bấm tên một framework Active
3. Bấm nút ba chấm
4. Bấm Import new version</t>
  </si>
  <si>
    <t xml:space="preserve">Hiển thị nội dung</t>
  </si>
  <si>
    <t xml:space="preserve">Tiêu đề, bước 1 "Download the template and fill it in", bước 2 "Upload the completed file"</t>
  </si>
  <si>
    <t>Framework_055</t>
  </si>
  <si>
    <t xml:space="preserve">Kiểm tra bước 1 và bước 2 của hộp thoại Import</t>
  </si>
  <si>
    <t xml:space="preserve">1. Mở màn Frameworks
2. Bấm Import framework
3. Kiểm tra nội dung hộp thoại</t>
  </si>
  <si>
    <t xml:space="preserve">- Tiêu đề: Import a framework
- Bước 1: Download the template and fill it in, kèm đoạn mô tả và nút Download template (.xlsx)
- Bước 2: Upload the completed file, kèm ô Framework file *</t>
  </si>
  <si>
    <t xml:space="preserve">Q-F-06: đoạn mô tả liệt kê sheet Tiers; file mẫu ver 1 không có sheet Tiers</t>
  </si>
  <si>
    <t xml:space="preserve">Vùng kéo thả và dòng "Excel (.xlsx) · up to 20 MB · checked before anything is saved"</t>
  </si>
  <si>
    <t>Framework_056</t>
  </si>
  <si>
    <t xml:space="preserve">Kiểm tra vùng kéo thả file</t>
  </si>
  <si>
    <t xml:space="preserve">1. Mở màn Frameworks
2. Bấm Import framework
3. Kiểm tra ô Framework file *</t>
  </si>
  <si>
    <t xml:space="preserve">- Dòng: Drag files here or browse.
- Dòng: Excel (.xlsx) · up to 20 MB · checked before anything is saved</t>
  </si>
  <si>
    <t xml:space="preserve">Nút Cancel và Check file khi chưa chọn file</t>
  </si>
  <si>
    <t>Framework_057</t>
  </si>
  <si>
    <t xml:space="preserve">Kiểm tra nút khi chưa chọn file</t>
  </si>
  <si>
    <t xml:space="preserve">1. Mở màn Frameworks
2. Bấm Import framework
3. Kiểm tra các nút ở cuối hộp thoại</t>
  </si>
  <si>
    <t xml:space="preserve">- Có nút Cancel và nút Check file</t>
  </si>
  <si>
    <t xml:space="preserve">Q-F-14: nút Check file có bị khoá khi chưa chọn file không</t>
  </si>
  <si>
    <t xml:space="preserve">Tải file mẫu</t>
  </si>
  <si>
    <t xml:space="preserve">Bấm Download template (.xlsx) trong hộp thoại</t>
  </si>
  <si>
    <t>Framework_058</t>
  </si>
  <si>
    <t xml:space="preserve">Kiểm tra nút Download template (.xlsx) trong hộp thoại</t>
  </si>
  <si>
    <t xml:space="preserve">1. Mở màn Frameworks
2. Bấm Import framework
3. Bấm Download template (.xlsx)</t>
  </si>
  <si>
    <t xml:space="preserve">Q-F-11: tên file tải về và nội dung chưa kiểm (không tải thật)</t>
  </si>
  <si>
    <t xml:space="preserve">[NGOÀI UC] Tải file mẫu: UC FWK-03 không nêu nút tải mẫu</t>
  </si>
  <si>
    <t xml:space="preserve">Bấm Download template ở đầu danh sách</t>
  </si>
  <si>
    <t>Framework_059</t>
  </si>
  <si>
    <t xml:space="preserve">1. Mở màn Frameworks
2. Bấm Download template</t>
  </si>
  <si>
    <t xml:space="preserve">Chọn file .xlsx hợp lệ: thẻ file có tên, dung lượng, dấu tích, nút ×</t>
  </si>
  <si>
    <t>Framework_060</t>
  </si>
  <si>
    <t xml:space="preserve">Kiểm tra chọn file .xlsx hợp lệ</t>
  </si>
  <si>
    <t xml:space="preserve">1. Mở màn Frameworks
2. Bấm Import framework
3. Chọn file [file framework hợp lệ].xlsx</t>
  </si>
  <si>
    <t xml:space="preserve">- Hiển thị thẻ file gồm tên file, dung lượng, dấu tích và nút ×</t>
  </si>
  <si>
    <t xml:space="preserve">Bấm × để bỏ file đã chọn</t>
  </si>
  <si>
    <t>Framework_061</t>
  </si>
  <si>
    <t xml:space="preserve">Kiểm tra bỏ file đã chọn</t>
  </si>
  <si>
    <t xml:space="preserve">1. Mở màn Frameworks
2. Bấm Import framework
3. Chọn file [file framework hợp lệ].xlsx
4. Bấm × trên thẻ file</t>
  </si>
  <si>
    <t xml:space="preserve">- Thẻ file biến mất, vùng kéo thả hiển thị lại</t>
  </si>
  <si>
    <t xml:space="preserve">Chọn file không phải .xlsx</t>
  </si>
  <si>
    <t>Framework_062</t>
  </si>
  <si>
    <t xml:space="preserve">Kiểm tra chọn file không phải .xlsx</t>
  </si>
  <si>
    <t xml:space="preserve">1. Mở màn Frameworks
2. Bấm Import framework
3. Chọn file [file .pdf]</t>
  </si>
  <si>
    <t xml:space="preserve">Q-F-14: chưa có chữ báo lỗi cho file sai định dạng</t>
  </si>
  <si>
    <t xml:space="preserve">Chọn file lớn hơn 20 MB</t>
  </si>
  <si>
    <t>Framework_063</t>
  </si>
  <si>
    <t xml:space="preserve">Kiểm tra chọn file lớn hơn 20 MB</t>
  </si>
  <si>
    <t xml:space="preserve">1. Mở màn Frameworks
2. Bấm Import framework
3. Chọn file .xlsx lớn hơn 20 MB</t>
  </si>
  <si>
    <t xml:space="preserve">Q-F-14: chưa có chữ báo lỗi cho file quá dung lượng</t>
  </si>
  <si>
    <t xml:space="preserve">Mã cha không tồn tại (parent_requirement_code)</t>
  </si>
  <si>
    <t>Framework_064</t>
  </si>
  <si>
    <t xml:space="preserve">Kiểm tra lỗi mã cha không tồn tại</t>
  </si>
  <si>
    <t xml:space="preserve">1. Mở màn Frameworks
2. Bấm Import framework
3. Chọn file [file có lỗi: parent_requirement_code là R.9.9, không có trong sheet Requirements]
4. Bấm Check file</t>
  </si>
  <si>
    <t xml:space="preserve">- Hiển thị bảng lỗi gồm các cột Sheet, Row, Column, Problem
- Dòng lỗi: Requirements · &lt;dòng&gt; · parent_requirement_code · "R.9.9" does not exist in this sheet.</t>
  </si>
  <si>
    <t xml:space="preserve">Mã requirement bị trùng (requirement_code)</t>
  </si>
  <si>
    <t>Framework_065</t>
  </si>
  <si>
    <t xml:space="preserve">Kiểm tra lỗi mã requirement bị trùng</t>
  </si>
  <si>
    <t xml:space="preserve">1. Mở màn Frameworks
2. Bấm Import framework
3. Chọn file [file có lỗi: requirement_code R.9.4.2 xuất hiện hai lần]
4. Bấm Check file</t>
  </si>
  <si>
    <t xml:space="preserve">- Hiển thị bảng lỗi gồm các cột Sheet, Row, Column, Problem
- Dòng lỗi: Requirements · &lt;dòng&gt; · requirement_code · "R.9.4.2" is used twice (rows &lt;dòng 1&gt; and &lt;dòng 2&gt;).</t>
  </si>
  <si>
    <t xml:space="preserve">Expected evidence trỏ vào dòng nhóm (is_assessable = FALSE)</t>
  </si>
  <si>
    <t>Framework_066</t>
  </si>
  <si>
    <t xml:space="preserve">Kiểm tra lỗi expected evidence trỏ vào dòng nhóm</t>
  </si>
  <si>
    <t xml:space="preserve">1. Mở màn Frameworks
2. Bấm Import framework
3. Chọn file [file có lỗi: Expected_Evidence trỏ vào R.4 là dòng nhóm (is_assessable = FALSE)]
4. Bấm Check file</t>
  </si>
  <si>
    <t xml:space="preserve">- Hiển thị bảng lỗi gồm các cột Sheet, Row, Column, Problem
- Dòng lỗi: Expected_Evidence · &lt;dòng&gt; · requirement_code · "R.4" is a grouping row. Evidence must point to an assessable requirement.</t>
  </si>
  <si>
    <t xml:space="preserve">Banner "&lt;n&gt; errors in &lt;tên file&gt;" và dòng "Nothing was imported"</t>
  </si>
  <si>
    <t>Framework_067</t>
  </si>
  <si>
    <t xml:space="preserve">Kiểm tra banner khi file có lỗi</t>
  </si>
  <si>
    <t xml:space="preserve">1. Mở màn Frameworks
2. Bấm Import framework
3. Chọn file [file có lỗi: 3 lỗi trên, tên file bcm-2019.xlsx]
4. Bấm Check file</t>
  </si>
  <si>
    <t xml:space="preserve">- Banner: 3 errors in bcm-2019.xlsx
- Dòng: Nothing was imported. Fix these rows in Excel and upload the file again.
- Không có framework mới nào trong danh sách ở màn Frameworks</t>
  </si>
  <si>
    <t xml:space="preserve">Tải file đã sửa ở ô "Corrected file" rồi Check file</t>
  </si>
  <si>
    <t>Framework_068</t>
  </si>
  <si>
    <t xml:space="preserve">Kiểm tra tải file đã sửa ở ô Corrected file</t>
  </si>
  <si>
    <t xml:space="preserve">1. Mở màn Frameworks
2. Bấm Import framework
3. Chọn file [file có lỗi: 3 lỗi trên]
4. Bấm Check file
5. Chọn file đã sửa hết lỗi ở ô Corrected file
6. Bấm Check file</t>
  </si>
  <si>
    <t xml:space="preserve">Q-F-08: chưa bấm Check file nên chưa biết kết quả sau khi tải file đã sửa</t>
  </si>
  <si>
    <t xml:space="preserve">Bấm Cancel khi đang có lỗi</t>
  </si>
  <si>
    <t>Framework_069</t>
  </si>
  <si>
    <t xml:space="preserve">Kiểm tra bấm Cancel khi đang có lỗi</t>
  </si>
  <si>
    <t xml:space="preserve">1. Mở màn Frameworks
2. Bấm Import framework
3. Chọn file [file có lỗi: 3 lỗi trên]
4. Bấm Check file
5. Bấm Cancel</t>
  </si>
  <si>
    <t xml:space="preserve">Q-F-08: kết quả sau Cancel khi đang có lỗi chưa kiểm</t>
  </si>
  <si>
    <t xml:space="preserve">Bấm × khi đang có lỗi</t>
  </si>
  <si>
    <t>Framework_070</t>
  </si>
  <si>
    <t xml:space="preserve">Kiểm tra bấm × khi đang có lỗi</t>
  </si>
  <si>
    <t xml:space="preserve">1. Mở màn Frameworks
2. Bấm Import framework
3. Chọn file [file có lỗi: 3 lỗi trên]
4. Bấm Check file
5. Bấm ×</t>
  </si>
  <si>
    <t xml:space="preserve">Q-F-08: kết quả sau × chưa kiểm</t>
  </si>
  <si>
    <t xml:space="preserve">Bấm Esc khi đang có lỗi</t>
  </si>
  <si>
    <t>Framework_071</t>
  </si>
  <si>
    <t xml:space="preserve">Kiểm tra bấm Esc khi đang có lỗi</t>
  </si>
  <si>
    <t xml:space="preserve">1. Mở màn Frameworks
2. Bấm Import framework
3. Chọn file [file có lỗi: 3 lỗi trên]
4. Bấm Check file
5. Bấm phím Esc</t>
  </si>
  <si>
    <t xml:space="preserve">Q-F-08: kết quả sau Esc chưa kiểm</t>
  </si>
  <si>
    <t xml:space="preserve">Hai dòng ở sheet Framework</t>
  </si>
  <si>
    <t>Framework_072</t>
  </si>
  <si>
    <t xml:space="preserve">Kiểm tra lỗi: hai dòng ở sheet Framework</t>
  </si>
  <si>
    <t xml:space="preserve">1. Mở màn Frameworks
2. Bấm Import framework
3. Chọn file [file có lỗi: sheet Framework có hai dòng]
4. Bấm Check file</t>
  </si>
  <si>
    <t xml:space="preserve">Q-F-14: chữ báo lỗi chưa có (sheet Validation_Rules của file mẫu chỉ nêu quy tắc, không nêu chữ hiển thị)</t>
  </si>
  <si>
    <t xml:space="preserve">Thiếu framework_code, framework_name hoặc version</t>
  </si>
  <si>
    <t>Framework_073</t>
  </si>
  <si>
    <t xml:space="preserve">Kiểm tra lỗi: thiếu framework_code, framework_name hoặc version</t>
  </si>
  <si>
    <t xml:space="preserve">1. Mở màn Frameworks
2. Bấm Import framework
3. Chọn file [file có lỗi: thiếu framework_code]
4. Bấm Check file</t>
  </si>
  <si>
    <t xml:space="preserve">Requirement tự là cha của chính nó</t>
  </si>
  <si>
    <t>Framework_074</t>
  </si>
  <si>
    <t xml:space="preserve">Kiểm tra lỗi: requirement tự là cha của chính nó</t>
  </si>
  <si>
    <t xml:space="preserve">1. Mở màn Frameworks
2. Bấm Import framework
3. Chọn file [file có lỗi: parent_requirement_code trùng requirement_code của chính dòng đó]
4. Bấm Check file</t>
  </si>
  <si>
    <t xml:space="preserve">Cha con tạo vòng lặp</t>
  </si>
  <si>
    <t>Framework_075</t>
  </si>
  <si>
    <t xml:space="preserve">Kiểm tra lỗi: cha con tạo vòng lặp</t>
  </si>
  <si>
    <t xml:space="preserve">1. Mở màn Frameworks
2. Bấm Import framework
3. Chọn file [file có lỗi: R.1 là cha của R.2 và R.2 là cha của R.1]
4. Bấm Check file</t>
  </si>
  <si>
    <t xml:space="preserve">is_assessable không phải TRUE hoặc FALSE</t>
  </si>
  <si>
    <t>Framework_076</t>
  </si>
  <si>
    <t xml:space="preserve">Kiểm tra lỗi: is_assessable không phải TRUE hoặc FALSE</t>
  </si>
  <si>
    <t xml:space="preserve">1. Mở màn Frameworks
2. Bấm Import framework
3. Chọn file [file có lỗi: is_assessable là Maybe]
4. Bấm Check file</t>
  </si>
  <si>
    <t xml:space="preserve">Mã expected evidence bị trùng</t>
  </si>
  <si>
    <t>Framework_077</t>
  </si>
  <si>
    <t xml:space="preserve">Kiểm tra lỗi: mã expected evidence bị trùng</t>
  </si>
  <si>
    <t xml:space="preserve">1. Mở màn Frameworks
2. Bấm Import framework
3. Chọn file [file có lỗi: hai dòng Expected_Evidence cùng mã]
4. Bấm Check file</t>
  </si>
  <si>
    <t xml:space="preserve">mandatory không phải TRUE hoặc FALSE</t>
  </si>
  <si>
    <t>Framework_078</t>
  </si>
  <si>
    <t xml:space="preserve">Kiểm tra lỗi: mandatory không phải TRUE hoặc FALSE</t>
  </si>
  <si>
    <t xml:space="preserve">1. Mở màn Frameworks
2. Bấm Import framework
3. Chọn file [file có lỗi: mandatory là Maybe]
4. Bấm Check file</t>
  </si>
  <si>
    <t xml:space="preserve">Import file hợp lệ của framework mới (mã chưa có)</t>
  </si>
  <si>
    <t>Framework_079</t>
  </si>
  <si>
    <t xml:space="preserve">Kiểm tra import framework có mã chưa có</t>
  </si>
  <si>
    <t xml:space="preserve">1. Mở màn Frameworks
2. Bấm Import framework
3. Chọn file [file hợp lệ, framework_code chưa có trong danh sách]
4. Bấm Check file</t>
  </si>
  <si>
    <t xml:space="preserve">Q-F-08: chưa bấm Check file; chưa biết màn đến sau Check file thành công. Q-F-04: có bảng tóm tắt thay đổi (added) hay không</t>
  </si>
  <si>
    <t xml:space="preserve">Import file hợp lệ là phiên bản mới của mã đã có (Version khác)</t>
  </si>
  <si>
    <t>Framework_080</t>
  </si>
  <si>
    <t xml:space="preserve">Kiểm tra import phiên bản mới của mã đã có</t>
  </si>
  <si>
    <t xml:space="preserve">1. Mở màn Frameworks
2. Bấm Import framework
3. Chọn file [file hợp lệ, framework_code đã có, Version khác]
4. Bấm Check file</t>
  </si>
  <si>
    <t xml:space="preserve">Q-F-04: UC nói cập nhật framework có sẵn và content_version phải tăng; Figma và hộp thoại nói thêm thành một bản riêng. Chưa rõ kết quả</t>
  </si>
  <si>
    <t xml:space="preserve">Tên, chip "Draft · not active", dòng "code · version · issuing body"</t>
  </si>
  <si>
    <t>Framework_081</t>
  </si>
  <si>
    <t xml:space="preserve">Kiểm tra tên và chip của Draft preview</t>
  </si>
  <si>
    <t xml:space="preserve">Đăng nhập account SGS Admin
Có framework Draft Appendix 10 amended</t>
  </si>
  <si>
    <t xml:space="preserve">- Tên: Security Baselines for ICT Systems (Appendix 10)
- Chip: Draft · not active
- Dòng: TW_ISRM_ANNEX10_EN · Appendix 10 per Article 11 – amended version · MODA</t>
  </si>
  <si>
    <t xml:space="preserve">Nút Discard draft và Activate</t>
  </si>
  <si>
    <t>Framework_082</t>
  </si>
  <si>
    <t xml:space="preserve">Kiểm tra nút Discard draft và Activate</t>
  </si>
  <si>
    <t xml:space="preserve">1. Mở màn Frameworks
2. Bấm tên một framework Draft
3. Kiểm tra góc phải phần đầu trang</t>
  </si>
  <si>
    <t xml:space="preserve">- Có nút Discard draft và nút Activate</t>
  </si>
  <si>
    <t xml:space="preserve">Khối Framework: Code, Issued by, Version, Effective date "Not set", Description</t>
  </si>
  <si>
    <t>Framework_083</t>
  </si>
  <si>
    <t xml:space="preserve">Kiểm tra khối Framework của bản Draft</t>
  </si>
  <si>
    <t xml:space="preserve">1. Mở màn Frameworks
2. Bấm tên framework Appendix 10 amended (Draft)
3. Kiểm tra khối 1 Framework</t>
  </si>
  <si>
    <t xml:space="preserve">- Ghi chú: From the Framework sheet
- Code, Issued by: MODA, Version
- Effective date: Not set
- Description</t>
  </si>
  <si>
    <t xml:space="preserve">Khối Tiers: Basic 44/44, Medium 17/61, High 18/79</t>
  </si>
  <si>
    <t>Framework_084</t>
  </si>
  <si>
    <t xml:space="preserve">Kiểm tra khối Tiers của bản Draft</t>
  </si>
  <si>
    <t xml:space="preserve">1. Mở màn Frameworks
2. Bấm tên framework Appendix 10 amended (Draft)
3. Kiểm tra khối 2 Tiers</t>
  </si>
  <si>
    <t xml:space="preserve">- Ghi chú: Higher tiers include every requirement of the tiers below
- P Basic, Rank 1: New 44, Total 44
- M Medium, Rank 2: New 17, Total 61
- H High, Rank 3: New 18, Total 79</t>
  </si>
  <si>
    <t xml:space="preserve">Khối Requirements: "7 dimensions · 27 control measures · 79 requirements · 79 expected evidence items"</t>
  </si>
  <si>
    <t>Framework_085</t>
  </si>
  <si>
    <t xml:space="preserve">Kiểm tra khối Requirements của bản Draft</t>
  </si>
  <si>
    <t xml:space="preserve">1. Mở màn Frameworks
2. Bấm tên framework Appendix 10 amended (Draft)
3. Kiểm tra khối 3 Requirements</t>
  </si>
  <si>
    <t xml:space="preserve">- 7 dimensions · 27 control measures · 79 requirements · 79 expected evidence items</t>
  </si>
  <si>
    <t xml:space="preserve">File check passed và dòng "No errors. The draft is ready to activate."</t>
  </si>
  <si>
    <t>Framework_086</t>
  </si>
  <si>
    <t xml:space="preserve">Kiểm tra khung Import: File check passed</t>
  </si>
  <si>
    <t xml:space="preserve">1. Mở màn Frameworks
2. Bấm tên một framework Draft
3. Kiểm tra khung bên phải mục Import</t>
  </si>
  <si>
    <t xml:space="preserve">- File check passed
- No errors. The draft is ready to activate.</t>
  </si>
  <si>
    <t xml:space="preserve">Q-F-07: khung After activation khác nhau giữa Figma và hệ thống (xem case kế)</t>
  </si>
  <si>
    <t xml:space="preserve">Khung "After activation"</t>
  </si>
  <si>
    <t>Framework_087</t>
  </si>
  <si>
    <t xml:space="preserve">Kiểm tra khung After activation</t>
  </si>
  <si>
    <t xml:space="preserve">1. Mở màn Frameworks
2. Bấm tên một framework Draft
3. Kiểm tra khung After activation</t>
  </si>
  <si>
    <t xml:space="preserve">Q-F-07: Figma ghi SGS gán tier cho từng scope; hệ thống ghi khách chọn tier của scope. Chưa rõ bên nào đúng</t>
  </si>
  <si>
    <t xml:space="preserve">Bấm Discard draft: hộp thoại "Discard draft?" kèm câu "Customers never saw it. You can import the file again later."</t>
  </si>
  <si>
    <t>Framework_088</t>
  </si>
  <si>
    <t xml:space="preserve">Kiểm tra mở hộp thoại Discard draft</t>
  </si>
  <si>
    <t xml:space="preserve">1. Mở màn Frameworks
2. Bấm tên một framework Draft
3. Bấm Discard draft</t>
  </si>
  <si>
    <t xml:space="preserve">- Hộp thoại Discard draft?
- Nội dung: The imported draft of &lt;tên framework&gt; is removed. Customers never saw it. You can import the file again later.
- Có nút Cancel và Discard draft</t>
  </si>
  <si>
    <t xml:space="preserve">Q-F-11: Discard draft không có trong UC, Figma chưa vẽ hộp thoại</t>
  </si>
  <si>
    <t xml:space="preserve">[NGOÀI UC] Discard draft: UC FWK-03 và FWK-06 không nêu</t>
  </si>
  <si>
    <t>Framework_089</t>
  </si>
  <si>
    <t xml:space="preserve">Kiểm tra huỷ hộp thoại Discard draft: Cancel</t>
  </si>
  <si>
    <t xml:space="preserve">1. Mở màn Frameworks
2. Bấm tên một framework Draft
3. Bấm Discard draft
4. Bấm Cancel</t>
  </si>
  <si>
    <t xml:space="preserve">Q-F-11: kết quả sau khi đóng hộp thoại chưa kiểm</t>
  </si>
  <si>
    <t>Framework_090</t>
  </si>
  <si>
    <t xml:space="preserve">Kiểm tra huỷ hộp thoại Discard draft: ×</t>
  </si>
  <si>
    <t xml:space="preserve">1. Mở màn Frameworks
2. Bấm tên một framework Draft
3. Bấm Discard draft
4. Bấm ×</t>
  </si>
  <si>
    <t xml:space="preserve">Bấm Esc</t>
  </si>
  <si>
    <t>Framework_091</t>
  </si>
  <si>
    <t xml:space="preserve">Kiểm tra huỷ hộp thoại Discard draft: Esc</t>
  </si>
  <si>
    <t xml:space="preserve">1. Mở màn Frameworks
2. Bấm tên một framework Draft
3. Bấm Discard draft
4. Bấm phím Esc</t>
  </si>
  <si>
    <t xml:space="preserve">Bấm Discard draft trong hộp thoại</t>
  </si>
  <si>
    <t>Framework_092</t>
  </si>
  <si>
    <t xml:space="preserve">Kiểm tra Discard draft</t>
  </si>
  <si>
    <t xml:space="preserve">1. Mở màn Frameworks
2. Bấm tên một framework Draft
3. Bấm Discard draft
4. Bấm Discard draft trong hộp thoại</t>
  </si>
  <si>
    <t xml:space="preserve">Q-F-08: chưa bấm nút xác nhận trên hệ thống; chưa biết màn đến và dòng Draft còn trong danh sách không</t>
  </si>
  <si>
    <t xml:space="preserve">Bấm Activate ở Draft preview: tiêu đề, câu hỏi "Activate &lt;tên&gt; · &lt;version&gt;?", ba gạch đầu dòng</t>
  </si>
  <si>
    <t>Framework_093</t>
  </si>
  <si>
    <t xml:space="preserve">Kiểm tra mở hộp thoại Activate</t>
  </si>
  <si>
    <t xml:space="preserve">1. Mở màn Frameworks
2. Bấm tên một framework Draft
3. Bấm Activate</t>
  </si>
  <si>
    <t xml:space="preserve">- Tiêu đề: Activate framework
- Câu hỏi: Activate &lt;tên framework&gt; · &lt;version&gt;?
- Có nút Cancel và Activate framework
- Gạch 1: Customers can activate it on their scopes.
- Gạch 3: The content is locked. Changes need a new version.</t>
  </si>
  <si>
    <t xml:space="preserve">Q-F-07: gạch 2 khác nhau (Figma: SGS assigns each scope a tier: Basic, Medium or High. Hệ thống: Each customer chooses the tier of their scope: Basic, Medium or High.)</t>
  </si>
  <si>
    <t>Framework_094</t>
  </si>
  <si>
    <t xml:space="preserve">Kiểm tra huỷ Activate: Cancel</t>
  </si>
  <si>
    <t xml:space="preserve">1. Mở màn Frameworks
2. Bấm tên một framework Draft
3. Bấm Activate
4. Bấm Cancel</t>
  </si>
  <si>
    <t xml:space="preserve">- Hộp thoại đóng, ở lại Draft preview
- Framework vẫn là Draft</t>
  </si>
  <si>
    <t xml:space="preserve">Q-F-08: hành vi sau Cancel suy từ hộp thoại, chưa xác nhận</t>
  </si>
  <si>
    <t>Framework_095</t>
  </si>
  <si>
    <t xml:space="preserve">Kiểm tra huỷ Activate: ×</t>
  </si>
  <si>
    <t xml:space="preserve">1. Mở màn Frameworks
2. Bấm tên một framework Draft
3. Bấm Activate
4. Bấm ×</t>
  </si>
  <si>
    <t xml:space="preserve">Q-F-08: chưa kiểm</t>
  </si>
  <si>
    <t>Framework_096</t>
  </si>
  <si>
    <t xml:space="preserve">Kiểm tra huỷ Activate: Esc</t>
  </si>
  <si>
    <t xml:space="preserve">1. Mở màn Frameworks
2. Bấm tên một framework Draft
3. Bấm Activate
4. Bấm phím Esc</t>
  </si>
  <si>
    <t xml:space="preserve">Kích hoạt khi chưa có Active retention policy (CFG-01)</t>
  </si>
  <si>
    <t>Framework_097</t>
  </si>
  <si>
    <t xml:space="preserve">Kiểm tra Activate khi chưa có Active retention policy</t>
  </si>
  <si>
    <t xml:space="preserve">Đăng nhập account SGS Admin
Có sẵn một framework Draft: [Framework Draft]
Chưa có Active retention policy</t>
  </si>
  <si>
    <t xml:space="preserve">1. Mở màn Frameworks
2. Bấm tên một framework Draft
3. Bấm Activate
4. Bấm Activate framework</t>
  </si>
  <si>
    <t xml:space="preserve">Q-F-07: UC FWK-06 chỉ cho kích hoạt khi có Active retention policy (CFG-01); Figma và hệ thống không có kiểm tra này, trang Settings ghi No design yet</t>
  </si>
  <si>
    <t xml:space="preserve">Kích hoạt framework có tier</t>
  </si>
  <si>
    <t>Framework_098</t>
  </si>
  <si>
    <t xml:space="preserve">Kiểm tra Activate framework có tier</t>
  </si>
  <si>
    <t xml:space="preserve">Đăng nhập account SGS Admin
Có framework Draft có tier: [Framework Draft có tier]</t>
  </si>
  <si>
    <t xml:space="preserve">Q-F-08: chưa bấm nút xác nhận; chưa biết màn đến, chip Status và hiển thị trong danh sách</t>
  </si>
  <si>
    <t xml:space="preserve">Kích hoạt framework không tier</t>
  </si>
  <si>
    <t>Framework_099</t>
  </si>
  <si>
    <t xml:space="preserve">Kiểm tra Activate framework không tier</t>
  </si>
  <si>
    <t xml:space="preserve">Đăng nhập account SGS Admin
Có framework Draft không tier: [Framework Draft không tier]</t>
  </si>
  <si>
    <t xml:space="preserve">Q-F-08: chưa có bản Draft không tier để kiểm; chưa biết kết quả</t>
  </si>
  <si>
    <t xml:space="preserve">Sau khi kích hoạt</t>
  </si>
  <si>
    <t xml:space="preserve">Customer Admin mở hộp thoại Link a framework: framework vừa kích hoạt có trong danh sách chọn</t>
  </si>
  <si>
    <t>Framework_100</t>
  </si>
  <si>
    <t xml:space="preserve">Kiểm tra framework vừa kích hoạt trong danh sách chọn của Customer Admin</t>
  </si>
  <si>
    <t xml:space="preserve">1. Đăng nhập account SGS Admin, bấm Activate framework cho [Framework Draft]
2. Đăng xuất, đăng nhập account Customer Admin
3. Mở Scopes, bấm một scope, bấm Link framework
4. Mở danh sách chọn framework</t>
  </si>
  <si>
    <t xml:space="preserve">Q-F-08: chưa bấm Activate nên chưa kiểm; danh sách chọn hiện gộp theo mã (6 mục), không thấy chọn phiên bản</t>
  </si>
  <si>
    <t xml:space="preserve">Framework Draft chưa kích hoạt không có trong danh sách chọn</t>
  </si>
  <si>
    <t>Framework_101</t>
  </si>
  <si>
    <t xml:space="preserve">Kiểm tra framework Draft không có trong danh sách chọn của Customer Admin</t>
  </si>
  <si>
    <t xml:space="preserve">Đăng nhập account Customer Admin
Có sẵn một framework Draft: [Framework Draft]</t>
  </si>
  <si>
    <t xml:space="preserve">1. Mở Scopes, bấm một scope, bấm Link framework
2. Mở danh sách chọn framework
3. Tìm [Framework Draft]</t>
  </si>
  <si>
    <t xml:space="preserve">Q-F-08: chưa kiểm; ghi chú: hệ thống có 6 mục khi có 8 framework, chưa rõ Draft có bị loại không</t>
  </si>
  <si>
    <t xml:space="preserve">Quyền theo vai trò</t>
  </si>
  <si>
    <t xml:space="preserve">Thấy menu Frameworks, nút Download template và Import framework ở danh sách</t>
  </si>
  <si>
    <t>Framework_102</t>
  </si>
  <si>
    <t xml:space="preserve">Kiểm tra SGS Admin thấy nút ở danh sách</t>
  </si>
  <si>
    <t xml:space="preserve">- Có nút Download template và Import framework</t>
  </si>
  <si>
    <t xml:space="preserve">Thấy Discard draft và Activate ở Draft preview</t>
  </si>
  <si>
    <t>Framework_103</t>
  </si>
  <si>
    <t xml:space="preserve">Kiểm tra SGS Admin thấy nút ở Draft preview</t>
  </si>
  <si>
    <t xml:space="preserve">- Có nút Discard draft và Activate</t>
  </si>
  <si>
    <t xml:space="preserve">Thấy nút ba chấm ở framework Active</t>
  </si>
  <si>
    <t>Framework_104</t>
  </si>
  <si>
    <t xml:space="preserve">Kiểm tra SGS Admin thấy nút ba chấm ở framework Active</t>
  </si>
  <si>
    <t xml:space="preserve">- Có nút ba chấm</t>
  </si>
  <si>
    <t xml:space="preserve">Thấy menu Frameworks và danh sách, không có nút Download template và Import framework</t>
  </si>
  <si>
    <t>Framework_105</t>
  </si>
  <si>
    <t xml:space="preserve">Kiểm tra SGS User ở danh sách</t>
  </si>
  <si>
    <t xml:space="preserve">Đăng nhập account SGS User</t>
  </si>
  <si>
    <t xml:space="preserve">1. Mở màn Frameworks
2. Kiểm tra menu trái và phần đầu trang</t>
  </si>
  <si>
    <t xml:space="preserve">- Menu có Frameworks
- Danh sách hiển thị
- Không có nút Download template và Import framework</t>
  </si>
  <si>
    <t xml:space="preserve">Q-F-16: UC chỉ nêu SGS Admin, chưa rõ SGS User có được xem không</t>
  </si>
  <si>
    <t xml:space="preserve">Mở Draft preview, không có nút Discard draft và Activate</t>
  </si>
  <si>
    <t>Framework_106</t>
  </si>
  <si>
    <t xml:space="preserve">Kiểm tra SGS User ở Draft preview</t>
  </si>
  <si>
    <t xml:space="preserve">Đăng nhập account SGS User
Có sẵn một framework Draft: [Framework Draft]</t>
  </si>
  <si>
    <t xml:space="preserve">- Mở được Draft preview
- Không có nút Discard draft và Activate</t>
  </si>
  <si>
    <t xml:space="preserve">Q-F-16: UC chỉ nêu SGS Admin</t>
  </si>
  <si>
    <t>Framework_107</t>
  </si>
  <si>
    <t xml:space="preserve">Kiểm tra SGS Consultant ở danh sách</t>
  </si>
  <si>
    <t xml:space="preserve">Đăng nhập account SGS Consultant</t>
  </si>
  <si>
    <t xml:space="preserve">Q-F-16: UC chỉ nêu SGS Admin; chưa mở chi tiết</t>
  </si>
  <si>
    <t xml:space="preserve">Menu không có Frameworks</t>
  </si>
  <si>
    <t>Framework_108</t>
  </si>
  <si>
    <t xml:space="preserve">Kiểm tra SGS Auditor/Certification không thấy menu Frameworks</t>
  </si>
  <si>
    <t xml:space="preserve">Đăng nhập account SGS Auditor/Certification</t>
  </si>
  <si>
    <t xml:space="preserve">1. Kiểm tra menu trái</t>
  </si>
  <si>
    <t xml:space="preserve">- Menu không có Frameworks</t>
  </si>
  <si>
    <t>Q-F-16</t>
  </si>
  <si>
    <t xml:space="preserve">Mở thẳng địa chỉ của danh sách</t>
  </si>
  <si>
    <t>Framework_109</t>
  </si>
  <si>
    <t xml:space="preserve">Kiểm tra SGS Auditor/Certification mở thẳng địa chỉ danh sách</t>
  </si>
  <si>
    <t xml:space="preserve">1. Mở thẳng địa chỉ của màn Frameworks</t>
  </si>
  <si>
    <t xml:space="preserve">Q-F-16: vào bằng địa chỉ chưa kiểm</t>
  </si>
  <si>
    <t xml:space="preserve">Customer Admin: menu không có Frameworks</t>
  </si>
  <si>
    <t>Framework_110</t>
  </si>
  <si>
    <t xml:space="preserve">Kiểm tra Customer Admin không thấy menu Frameworks</t>
  </si>
  <si>
    <t xml:space="preserve">Customer User: menu không có Frameworks</t>
  </si>
  <si>
    <t>Framework_111</t>
  </si>
  <si>
    <t xml:space="preserve">Kiểm tra Customer User không thấy menu Frameworks</t>
  </si>
  <si>
    <t xml:space="preserve">Đăng nhập account Customer User</t>
  </si>
  <si>
    <t xml:space="preserve">Q-F-16: chưa kiểm vai trò này</t>
  </si>
  <si>
    <t xml:space="preserve">Customer Viewer: menu không có Frameworks</t>
  </si>
  <si>
    <t>Framework_112</t>
  </si>
  <si>
    <t xml:space="preserve">Kiểm tra Customer Viewer không thấy menu Frameworks</t>
  </si>
  <si>
    <t xml:space="preserve">Customer Admin mở thẳng địa chỉ của danh sách</t>
  </si>
  <si>
    <t>Framework_113</t>
  </si>
  <si>
    <t xml:space="preserve">Kiểm tra Customer Admin mở thẳng địa chỉ danh sách</t>
  </si>
  <si>
    <t xml:space="preserve">Hiển thị nguyên văn</t>
  </si>
  <si>
    <t xml:space="preserve">Ô bắt đầu bằng dấu = trong file hiện nguyên văn trên bản nháp</t>
  </si>
  <si>
    <t>Framework_114</t>
  </si>
  <si>
    <t xml:space="preserve">Kiểm tra ô bắt đầu bằng dấu = trong file import</t>
  </si>
  <si>
    <t xml:space="preserve">1. Mở màn Frameworks
2. Bấm Import framework
3. Chọn file [file hợp lệ, Description bắt đầu bằng =1+1]
4. Bấm Check file</t>
  </si>
  <si>
    <t xml:space="preserve">Q-F-14: chưa kiểm; kết quả mong đợi: hiện nguyên văn =1+1 ở bản nháp</t>
  </si>
  <si>
    <t xml:space="preserve">Thẻ &lt;script&gt; trong Description hiện nguyên văn trên bản nháp</t>
  </si>
  <si>
    <t>Framework_115</t>
  </si>
  <si>
    <t xml:space="preserve">Kiểm tra thẻ script trong Description của file import</t>
  </si>
  <si>
    <t xml:space="preserve">1. Mở màn Frameworks
2. Bấm Import framework
3. Chọn file [file hợp lệ, Description là &lt;script&gt;alert(1)&lt;/script&gt;]
4. Bấm Check file</t>
  </si>
  <si>
    <t xml:space="preserve">Q-F-14: chưa kiểm; kết quả mong đợi: hiện nguyên văn, không chạy script</t>
  </si>
  <si>
    <t xml:space="preserve">Hành động được ghi</t>
  </si>
  <si>
    <t xml:space="preserve">Import ghi một dòng ở Audit Logs</t>
  </si>
  <si>
    <t>Framework_116</t>
  </si>
  <si>
    <t xml:space="preserve">Kiểm tra ghi vết: Import</t>
  </si>
  <si>
    <t xml:space="preserve">1. Thực hiện import một framework
2. Đăng nhập account SGS Admin, bấm Audit Logs ở menu trái
3. Tìm dòng mới nhất</t>
  </si>
  <si>
    <t xml:space="preserve">Q-F-17: nội dung dòng ghi vết chưa kiểm; chưa bấm nút xác nhận để tạo dòng ghi vết (Q-F-08)</t>
  </si>
  <si>
    <t xml:space="preserve">Kích hoạt ghi một dòng ở Audit Logs</t>
  </si>
  <si>
    <t>Framework_117</t>
  </si>
  <si>
    <t xml:space="preserve">Kiểm tra ghi vết: Kích hoạt</t>
  </si>
  <si>
    <t xml:space="preserve">1. Thực hiện kích hoạt một framework
2. Đăng nhập account SGS Admin, bấm Audit Logs ở menu trái
3. Tìm dòng mới nhất</t>
  </si>
  <si>
    <t xml:space="preserve">Huỷ bản nháp ghi một dòng ở Audit Logs</t>
  </si>
  <si>
    <t>Framework_118</t>
  </si>
  <si>
    <t xml:space="preserve">Kiểm tra ghi vết: Huỷ bản nháp</t>
  </si>
  <si>
    <t xml:space="preserve">1. Thực hiện huỷ bản nháp một framework
2. Đăng nhập account SGS Admin, bấm Audit Logs ở menu trái
3. Tìm dòng mới nhất</t>
  </si>
  <si>
    <t xml:space="preserve">USR-L0001_Quản lý người dùng</t>
  </si>
  <si>
    <t xml:space="preserve">Users · Customer Portal, SGS Portal</t>
  </si>
  <si>
    <t xml:space="preserve">AI (Claude)</t>
  </si>
  <si>
    <t xml:space="preserve">UC List v4 (02/10/2026) · USR-01→05, ROL-01, ROL-02 · chưa có Figma trang 02 User &amp; Profile Management: nhãn, bố cục chờ đối chiếu</t>
  </si>
  <si>
    <t xml:space="preserve">Customer Portal</t>
  </si>
  <si>
    <t xml:space="preserve">Kiểm tra vào danh sách người dùng từ menu ở Customer Portal</t>
  </si>
  <si>
    <t xml:space="preserve">Đăng nhập {{user.cust_admin}}, đang ở màn Home</t>
  </si>
  <si>
    <t xml:space="preserve">1. Bấm Users ở mục Administration của menu trái</t>
  </si>
  <si>
    <t xml:space="preserve">- Mở danh sách người dùng của tenant A</t>
  </si>
  <si>
    <t xml:space="preserve">Tên mục menu lấy theo prototype của Scopes (Scopes Scope_123), chờ Figma trang 02 → Q-U-01</t>
  </si>
  <si>
    <t>USR-01</t>
  </si>
  <si>
    <t xml:space="preserve">SGS Portal</t>
  </si>
  <si>
    <t xml:space="preserve">Kiểm tra vào danh sách người dùng ở SGS Portal</t>
  </si>
  <si>
    <t xml:space="preserve">Đăng nhập {{user.sgs_admin}} ở SGS Portal</t>
  </si>
  <si>
    <t xml:space="preserve">1. Mở mục quản lý người dùng ở menu</t>
  </si>
  <si>
    <t xml:space="preserve">- Mở danh sách người dùng trong phạm vi của {{user.sgs_admin}}</t>
  </si>
  <si>
    <t xml:space="preserve">Lối vào ở SGS Portal chờ Figma trang 02 → Q-U-01</t>
  </si>
  <si>
    <t xml:space="preserve">Mở một người dùng</t>
  </si>
  <si>
    <t xml:space="preserve">Kiểm tra mở chi tiết người dùng từ danh sách</t>
  </si>
  <si>
    <t xml:space="preserve">Đăng nhập {{user.cust_admin}}</t>
  </si>
  <si>
    <t xml:space="preserve">1. Mở danh sách người dùng
2. Mở {{user.cust_user}} trong danh sách</t>
  </si>
  <si>
    <t xml:space="preserve">- Mở chi tiết của {{user.cust_user}}</t>
  </si>
  <si>
    <t>USR-02</t>
  </si>
  <si>
    <t xml:space="preserve">Chỉ người dùng của tenant mình</t>
  </si>
  <si>
    <t xml:space="preserve">Kiểm tra danh sách người dùng của Customer Admin chỉ có tenant mình</t>
  </si>
  <si>
    <t xml:space="preserve">Đăng nhập {{user.cust_admin}} (tenant A); tenant B có {{user.tenantB_admin}}</t>
  </si>
  <si>
    <t xml:space="preserve">1. Mở danh sách người dùng
2. Tìm {{user.cust_user}}, {{user.cust_viewer}}, {{user.tenantB_admin}}, {{user.sgs_admin}}</t>
  </si>
  <si>
    <t xml:space="preserve">- Có {{user.cust_admin}}, {{user.cust_user}}, {{user.cust_viewer}}
- Không có {{user.tenantB_admin}}, không có người dùng SGS nào</t>
  </si>
  <si>
    <t xml:space="preserve">Người dùng SGS và khách hàng cùng affiliate</t>
  </si>
  <si>
    <t xml:space="preserve">Kiểm tra danh sách người dùng của SGS Admin</t>
  </si>
  <si>
    <t xml:space="preserve">Đăng nhập {{user.sgs_admin}} ở SGS Portal; {{user.consultant}} và tenant A cùng affiliate với {{user.sgs_admin}}, tenant C khác affiliate</t>
  </si>
  <si>
    <t xml:space="preserve">1. Mở danh sách người dùng
2. Tìm {{user.consultant}}, {{user.cust_user}}, {{user.cust_c}}</t>
  </si>
  <si>
    <t xml:space="preserve">- Có {{user.consultant}} và {{user.cust_user}}
- Không có {{user.cust_c}}</t>
  </si>
  <si>
    <t xml:space="preserve">Người dùng SGS của affiliate khác có hiện không → Q-U-02</t>
  </si>
  <si>
    <t xml:space="preserve">Chưa kích hoạt</t>
  </si>
  <si>
    <t xml:space="preserve">Kiểm tra người được mời nhưng chưa kích hoạt trong danh sách</t>
  </si>
  <si>
    <t xml:space="preserve">Đăng nhập {{user.cust_admin}}; đã mời {{email.new}} với vai trò Customer User, chưa kích hoạt</t>
  </si>
  <si>
    <t xml:space="preserve">1. Mở danh sách người dùng</t>
  </si>
  <si>
    <t xml:space="preserve">- Có dòng của {{email.new}}, vai trò Customer User</t>
  </si>
  <si>
    <t xml:space="preserve">Trạng thái chưa kích hoạt hiển thị thế nào → Q-U-03</t>
  </si>
  <si>
    <t xml:space="preserve">Hồ sơ, trạng thái, vai trò, scope</t>
  </si>
  <si>
    <t xml:space="preserve">Kiểm tra chi tiết của một Customer User</t>
  </si>
  <si>
    <t xml:space="preserve">Đăng nhập {{user.cust_admin}}; {{user.cust_user}} đã kích hoạt, được cấp {{scope.sys}}, không được cấp {{scope.org}}</t>
  </si>
  <si>
    <t xml:space="preserve">1. Mở chi tiết {{user.cust_user}}</t>
  </si>
  <si>
    <t xml:space="preserve">- Có thông tin hồ sơ và trạng thái của {{user.cust_user}}
- Vai trò: Customer User
- Phần quyền theo scope có {{scope.sys}}, không có {{scope.org}}</t>
  </si>
  <si>
    <t xml:space="preserve">Các trường hồ sơ và giá trị trạng thái → Q-U-03</t>
  </si>
  <si>
    <t xml:space="preserve">Người được mời</t>
  </si>
  <si>
    <t xml:space="preserve">Kiểm tra chi tiết của người được mời nhưng chưa kích hoạt</t>
  </si>
  <si>
    <t xml:space="preserve">Đăng nhập {{user.cust_admin}}; đã mời {{email.new}}, chưa kích hoạt</t>
  </si>
  <si>
    <t xml:space="preserve">1. Mở chi tiết {{email.new}}</t>
  </si>
  <si>
    <t xml:space="preserve">Trạng thái và thao tác với lời mời đang chờ hiển thị thế nào → Q-U-03</t>
  </si>
  <si>
    <t xml:space="preserve">Chỉ vai trò khách hàng</t>
  </si>
  <si>
    <t xml:space="preserve">Kiểm tra các vai trò được chọn khi Customer Admin mời</t>
  </si>
  <si>
    <t xml:space="preserve">1. Mở danh sách người dùng
2. Mở form mời người dùng
3. Mở danh sách vai trò</t>
  </si>
  <si>
    <t xml:space="preserve">- Chỉ có Customer Admin, Customer User, Customer Viewer
- Không có SGS Admin, SGS Consultant</t>
  </si>
  <si>
    <t>USR-03</t>
  </si>
  <si>
    <t xml:space="preserve">Chỉ vai trò SGS</t>
  </si>
  <si>
    <t xml:space="preserve">Kiểm tra các vai trò được chọn khi SGS Admin mời</t>
  </si>
  <si>
    <t xml:space="preserve">- Chỉ có SGS Admin, SGS Consultant
- Không có vai trò của khách hàng</t>
  </si>
  <si>
    <t xml:space="preserve">Customer User — danh sách</t>
  </si>
  <si>
    <t xml:space="preserve">Kiểm tra mời Customer User</t>
  </si>
  <si>
    <t xml:space="preserve">1. Mở danh sách người dùng
2. Mở form mời người dùng
3. Nhập email {{email.new}}, chọn vai trò Customer User
4. Gửi lời mời</t>
  </si>
  <si>
    <t xml:space="preserve">- Danh sách có {{email.new}}, vai trò Customer User</t>
  </si>
  <si>
    <t xml:space="preserve">Customer User — email mời</t>
  </si>
  <si>
    <t xml:space="preserve">Kiểm tra email mời gửi tới người được mời</t>
  </si>
  <si>
    <t xml:space="preserve">Chưa đăng nhập; {{user.cust_admin}} đã mời {{email.new}} với vai trò Customer User</t>
  </si>
  <si>
    <t xml:space="preserve">1. Mở hộp thư của {{email.new}}</t>
  </si>
  <si>
    <t xml:space="preserve">- Có email mời, trong email có link kích hoạt tài khoản</t>
  </si>
  <si>
    <t xml:space="preserve">Tiêu đề, nội dung email chờ mẫu email → Q-U-04</t>
  </si>
  <si>
    <t>NTF-03</t>
  </si>
  <si>
    <t xml:space="preserve">Customer User — kích hoạt rồi đăng nhập</t>
  </si>
  <si>
    <t xml:space="preserve">Kiểm tra người được mời kích hoạt rồi đăng nhập</t>
  </si>
  <si>
    <t xml:space="preserve">1. Mở link kích hoạt trong email mời
2. Đặt mật khẩu, hoàn tất kích hoạt
3. Đăng nhập bằng {{email.new}}</t>
  </si>
  <si>
    <t xml:space="preserve">- Đăng nhập được vào Customer Portal của tenant A
- Menu không có mục Users</t>
  </si>
  <si>
    <t>AUTH-03</t>
  </si>
  <si>
    <t xml:space="preserve">Customer User — trạng thái sau kích hoạt</t>
  </si>
  <si>
    <t xml:space="preserve">Kiểm tra trạng thái người dùng sau khi kích hoạt</t>
  </si>
  <si>
    <t xml:space="preserve">Đăng nhập {{user.cust_admin}}; {{email.new}} vừa kích hoạt tài khoản</t>
  </si>
  <si>
    <t xml:space="preserve">1. Mở danh sách người dùng
2. Mở chi tiết {{email.new}}</t>
  </si>
  <si>
    <t xml:space="preserve">Trạng thái đổi từ giá trị nào sang giá trị nào → Q-U-03</t>
  </si>
  <si>
    <t xml:space="preserve">Kiểm tra mời Customer Viewer</t>
  </si>
  <si>
    <t xml:space="preserve">1. Mở danh sách người dùng
2. Mời {{email.new_viewer}} với vai trò Customer Viewer</t>
  </si>
  <si>
    <t xml:space="preserve">- Danh sách có {{email.new_viewer}}, vai trò Customer Viewer</t>
  </si>
  <si>
    <t xml:space="preserve">Kiểm tra mời Customer Admin</t>
  </si>
  <si>
    <t xml:space="preserve">1. Mở danh sách người dùng
2. Mời {{email.new_admin}} với vai trò Customer Admin</t>
  </si>
  <si>
    <t xml:space="preserve">- Danh sách có {{email.new_admin}}, vai trò Customer Admin</t>
  </si>
  <si>
    <t xml:space="preserve">Kiểm tra SGS Admin mời SGS Consultant</t>
  </si>
  <si>
    <t xml:space="preserve">1. Mở danh sách người dùng
2. Mở form mời người dùng
3. Nhập email {{email.new_sgs}}, chọn vai trò SGS Consultant
4. Gửi lời mời</t>
  </si>
  <si>
    <t xml:space="preserve">- Danh sách có {{email.new_sgs}}, vai trò SGS Consultant</t>
  </si>
  <si>
    <t xml:space="preserve">Bỏ trống email</t>
  </si>
  <si>
    <t xml:space="preserve">Kiểm tra gửi lời mời khi bỏ trống email</t>
  </si>
  <si>
    <t xml:space="preserve">1. Mở form mời người dùng
2. Để trống email, chọn vai trò Customer User
3. Gửi lời mời</t>
  </si>
  <si>
    <t xml:space="preserve">- Không gửi lời mời, danh sách không đổi</t>
  </si>
  <si>
    <t xml:space="preserve">Text thông báo → Q-U-04</t>
  </si>
  <si>
    <t xml:space="preserve">Email sai định dạng</t>
  </si>
  <si>
    <t xml:space="preserve">Kiểm tra gửi lời mời khi email sai định dạng</t>
  </si>
  <si>
    <t xml:space="preserve">1. Mở form mời người dùng
2. Nhập email {{email.invalid}}, chọn vai trò Customer User
3. Gửi lời mời</t>
  </si>
  <si>
    <t xml:space="preserve">Chưa chọn vai trò</t>
  </si>
  <si>
    <t xml:space="preserve">Kiểm tra gửi lời mời khi chưa chọn vai trò</t>
  </si>
  <si>
    <t xml:space="preserve">1. Mở form mời người dùng
2. Nhập email {{email.new}}, không chọn vai trò
3. Gửi lời mời</t>
  </si>
  <si>
    <t xml:space="preserve">Email đã là người dùng của tenant</t>
  </si>
  <si>
    <t xml:space="preserve">Kiểm tra mời một email đã là người dùng của tenant</t>
  </si>
  <si>
    <t xml:space="preserve">1. Mở form mời người dùng
2. Nhập email của {{user.cust_user}}, chọn vai trò Customer Viewer
3. Gửi lời mời</t>
  </si>
  <si>
    <t xml:space="preserve">Xử lý email trùng → Q-U-05</t>
  </si>
  <si>
    <t xml:space="preserve">Email đang chờ kích hoạt</t>
  </si>
  <si>
    <t xml:space="preserve">Kiểm tra mời lại một email đang chờ kích hoạt</t>
  </si>
  <si>
    <t xml:space="preserve">1. Mời {{email.new}} thêm một lần</t>
  </si>
  <si>
    <t xml:space="preserve">Email thuộc tenant khác</t>
  </si>
  <si>
    <t xml:space="preserve">Kiểm tra mời email đang là người dùng của tenant khác</t>
  </si>
  <si>
    <t xml:space="preserve">1. Mở form mời người dùng
2. Nhập email của {{user.tenantB_admin}}, chọn vai trò Customer User
3. Gửi lời mời</t>
  </si>
  <si>
    <t xml:space="preserve">Đóng form không gửi</t>
  </si>
  <si>
    <t xml:space="preserve">Kiểm tra đóng form mời mà không gửi</t>
  </si>
  <si>
    <t xml:space="preserve">1. Mở form mời người dùng
2. Nhập email {{email.new}}, chọn vai trò Customer User
3. Đóng form, không gửi</t>
  </si>
  <si>
    <t xml:space="preserve">Gửi lại</t>
  </si>
  <si>
    <t xml:space="preserve">Email mời mới</t>
  </si>
  <si>
    <t xml:space="preserve">Kiểm tra gửi lại lời mời</t>
  </si>
  <si>
    <t xml:space="preserve">1. Gửi lại lời mời cho {{email.new}}</t>
  </si>
  <si>
    <t xml:space="preserve">- {{email.new}} nhận thêm một email mời có link kích hoạt</t>
  </si>
  <si>
    <t xml:space="preserve">Link trong email cũ</t>
  </si>
  <si>
    <t xml:space="preserve">Kiểm tra link của email mời cũ sau khi gửi lại</t>
  </si>
  <si>
    <t xml:space="preserve">Chưa đăng nhập; {{user.cust_admin}} đã gửi lại lời mời cho {{email.new}}</t>
  </si>
  <si>
    <t xml:space="preserve">1. Mở link kích hoạt trong email mời cũ</t>
  </si>
  <si>
    <t xml:space="preserve">Link cũ còn dùng được không, hạn của link → Q-U-06</t>
  </si>
  <si>
    <t xml:space="preserve">Thu hồi</t>
  </si>
  <si>
    <t xml:space="preserve">Danh sách sau khi thu hồi</t>
  </si>
  <si>
    <t xml:space="preserve">Kiểm tra thu hồi lời mời</t>
  </si>
  <si>
    <t xml:space="preserve">1. Thu hồi lời mời của {{email.new}}
2. Xem danh sách người dùng</t>
  </si>
  <si>
    <t xml:space="preserve">Người bị thu hồi còn trong danh sách không → Q-U-07</t>
  </si>
  <si>
    <t xml:space="preserve">Mở link của lời mời đã thu hồi</t>
  </si>
  <si>
    <t xml:space="preserve">Kiểm tra kích hoạt bằng link của lời mời đã thu hồi</t>
  </si>
  <si>
    <t xml:space="preserve">Chưa đăng nhập; {{user.cust_admin}} đã thu hồi lời mời của {{email.new}}</t>
  </si>
  <si>
    <t xml:space="preserve">1. Mở link kích hoạt trong email mời
2. Thử hoàn tất kích hoạt
3. Thử đăng nhập bằng {{email.new}}</t>
  </si>
  <si>
    <t xml:space="preserve">- Không kích hoạt được tài khoản
- Không đăng nhập được bằng {{email.new}}</t>
  </si>
  <si>
    <t xml:space="preserve">Màn hình hiện gì → Q-U-07</t>
  </si>
  <si>
    <t xml:space="preserve">Customer User → Customer Admin</t>
  </si>
  <si>
    <t xml:space="preserve">Kiểm tra đổi Customer User thành Customer Admin</t>
  </si>
  <si>
    <t xml:space="preserve">1. Mở chi tiết {{user.cust_user}}
2. Đổi vai trò thành Customer Admin
3. Lưu</t>
  </si>
  <si>
    <t xml:space="preserve">- Chi tiết và danh sách hiện vai trò Customer Admin cho {{user.cust_user}}</t>
  </si>
  <si>
    <t>USR-04</t>
  </si>
  <si>
    <t xml:space="preserve">Quyền mới sau khi đăng nhập lại</t>
  </si>
  <si>
    <t xml:space="preserve">Kiểm tra quyền của người vừa được đổi thành Customer Admin</t>
  </si>
  <si>
    <t xml:space="preserve">Chưa đăng nhập; {{user.cust_admin}} vừa đổi {{user.cust_user}} thành Customer Admin</t>
  </si>
  <si>
    <t xml:space="preserve">1. Đăng nhập {{user.cust_user}}
2. Mở Users ở mục Administration
3. Mở màn Scopes</t>
  </si>
  <si>
    <t xml:space="preserve">- Bước 2 mở được danh sách người dùng của tenant A
- Bước 3 thấy mọi scope của tenant A, kể cả {{scope.org}}</t>
  </si>
  <si>
    <t xml:space="preserve">Phiên đang mở của người bị đổi</t>
  </si>
  <si>
    <t xml:space="preserve">Kiểm tra quyền mới với phiên đang mở của người bị đổi vai trò</t>
  </si>
  <si>
    <t xml:space="preserve">Đăng nhập {{user.cust_user}} ở trình duyệt thứ nhất; {{user.cust_admin}} đổi {{user.cust_user}} thành Customer Viewer ở trình duyệt thứ hai</t>
  </si>
  <si>
    <t xml:space="preserve">1. Ở trình duyệt thứ nhất, tải lại trang
2. Thao tác trên scope {{scope.sys}}</t>
  </si>
  <si>
    <t xml:space="preserve">Đổi vai trò có hiệu lực ngay hay từ lần đăng nhập sau → Q-U-08</t>
  </si>
  <si>
    <t xml:space="preserve">Hạ một Customer Admin khi còn admin khác</t>
  </si>
  <si>
    <t xml:space="preserve">Kiểm tra hạ vai trò một Customer Admin khi tenant còn Customer Admin khác</t>
  </si>
  <si>
    <t xml:space="preserve">Đăng nhập {{user.cust_admin}}; tenant A có thêm {{user.cust_admin_2}}</t>
  </si>
  <si>
    <t xml:space="preserve">1. Mở chi tiết {{user.cust_admin_2}}
2. Đổi vai trò thành Customer User, lưu</t>
  </si>
  <si>
    <t xml:space="preserve">- {{user.cust_admin_2}} hiện vai trò Customer User
- Tenant A vẫn có {{user.cust_admin}} là Customer Admin</t>
  </si>
  <si>
    <t xml:space="preserve">SGS Consultant → SGS Admin</t>
  </si>
  <si>
    <t xml:space="preserve">Kiểm tra SGS Admin đổi vai trò của SGS Consultant</t>
  </si>
  <si>
    <t xml:space="preserve">1. Mở chi tiết {{user.consultant}}
2. Đổi vai trò thành SGS Admin, lưu</t>
  </si>
  <si>
    <t xml:space="preserve">- {{user.consultant}} hiện vai trò SGS Admin</t>
  </si>
  <si>
    <t xml:space="preserve">Customer Admin cuối cùng</t>
  </si>
  <si>
    <t xml:space="preserve">Kiểm tra không đổi được vai trò của Customer Admin cuối cùng</t>
  </si>
  <si>
    <t xml:space="preserve">Đăng nhập {{user.cust_admin}}; tenant A chỉ có {{user.cust_admin}} là Customer Admin</t>
  </si>
  <si>
    <t xml:space="preserve">1. Mở chi tiết {{user.cust_admin}}
2. Đổi vai trò thành Customer User, lưu</t>
  </si>
  <si>
    <t xml:space="preserve">- Vai trò không đổi, tenant A vẫn có {{user.cust_admin}} là Customer Admin</t>
  </si>
  <si>
    <t xml:space="preserve">Chặn ở bước nào, text thông báo → Q-U-04; tự đổi vai trò của mình → Q-U-09</t>
  </si>
  <si>
    <t xml:space="preserve">Đóng mà không lưu</t>
  </si>
  <si>
    <t xml:space="preserve">Kiểm tra đổi vai trò rồi đóng mà không lưu</t>
  </si>
  <si>
    <t xml:space="preserve">1. Mở chi tiết {{user.cust_user}}
2. Chọn vai trò Customer Viewer
3. Đóng, không lưu</t>
  </si>
  <si>
    <t xml:space="preserve">- Vai trò của {{user.cust_user}} vẫn là Customer User</t>
  </si>
  <si>
    <t xml:space="preserve">Tự đổi vai trò</t>
  </si>
  <si>
    <t xml:space="preserve">Còn Customer Admin khác</t>
  </si>
  <si>
    <t xml:space="preserve">Kiểm tra Customer Admin tự đổi vai trò của mình khi còn admin khác</t>
  </si>
  <si>
    <t xml:space="preserve">Có cho tự đổi vai trò không → Q-U-09</t>
  </si>
  <si>
    <t xml:space="preserve">SGS Admin với người dùng khách</t>
  </si>
  <si>
    <t xml:space="preserve">Người dùng của tenant A</t>
  </si>
  <si>
    <t xml:space="preserve">Kiểm tra SGS Admin đổi vai trò người dùng của khách hàng</t>
  </si>
  <si>
    <t xml:space="preserve">Đăng nhập {{user.sgs_admin}} ở SGS Portal; tenant A cùng affiliate</t>
  </si>
  <si>
    <t xml:space="preserve">1. Mở chi tiết {{user.cust_user}}
2. Tìm thao tác đổi vai trò</t>
  </si>
  <si>
    <t xml:space="preserve">SGS Admin có mời, đổi vai trò người dùng khách không → Q-U-10</t>
  </si>
  <si>
    <t xml:space="preserve">Từ chi tiết người dùng</t>
  </si>
  <si>
    <t xml:space="preserve">Kiểm tra cấp scope cho Customer User từ chi tiết người dùng</t>
  </si>
  <si>
    <t xml:space="preserve">Đăng nhập {{user.cust_admin}}; {{user.cust_user}} đang có {{scope.sys}}</t>
  </si>
  <si>
    <t xml:space="preserve">1. Mở chi tiết {{user.cust_user}}
2. Cấp thêm {{scope.org}}, lưu</t>
  </si>
  <si>
    <t xml:space="preserve">- Phần quyền theo scope có {{scope.org}} và {{scope.sys}}</t>
  </si>
  <si>
    <t>USR-05</t>
  </si>
  <si>
    <t xml:space="preserve">Người được cấp thấy scope</t>
  </si>
  <si>
    <t xml:space="preserve">Kiểm tra người vừa được cấp thấy scope</t>
  </si>
  <si>
    <t xml:space="preserve">Chưa đăng nhập; {{user.cust_admin}} vừa cấp {{scope.org}} cho {{user.cust_user}}</t>
  </si>
  <si>
    <t xml:space="preserve">1. Đăng nhập {{user.cust_user}}
2. Mở màn Scopes</t>
  </si>
  <si>
    <t xml:space="preserve">- Danh sách có {{scope.org}} và {{scope.sys}}</t>
  </si>
  <si>
    <t xml:space="preserve">Người được cấp thấy workspace</t>
  </si>
  <si>
    <t xml:space="preserve">Kiểm tra người vừa được cấp thấy workspace của scope</t>
  </si>
  <si>
    <t xml:space="preserve">Chưa đăng nhập; {{user.cust_admin}} vừa cấp {{scope.org}} cho {{user.cust_user}}; {{scope.org}} có {{wsp.org}}</t>
  </si>
  <si>
    <t xml:space="preserve">1. Đăng nhập {{user.cust_user}}
2. Mở danh sách workspace</t>
  </si>
  <si>
    <t xml:space="preserve">- Danh sách có {{wsp.org}}</t>
  </si>
  <si>
    <t xml:space="preserve">Khối Users ở chi tiết scope</t>
  </si>
  <si>
    <t xml:space="preserve">Kiểm tra người vừa được cấp hiện ở khối Users của scope</t>
  </si>
  <si>
    <t xml:space="preserve">Đăng nhập {{user.cust_admin}}; vừa cấp {{scope.org}} cho {{user.cust_user}}</t>
  </si>
  <si>
    <t xml:space="preserve">1. Mở chi tiết {{scope.org}}
2. Xem khối Users</t>
  </si>
  <si>
    <t xml:space="preserve">- Có dòng {{user.cust_user}}, Role Customer User, Given là ngày hôm nay</t>
  </si>
  <si>
    <t xml:space="preserve">Cấp cho người chưa kích hoạt</t>
  </si>
  <si>
    <t xml:space="preserve">Kiểm tra người được cấp scope khi chưa kích hoạt</t>
  </si>
  <si>
    <t xml:space="preserve">1. Cấp {{scope.org}} cho {{email.new}}
2. {{email.new}} kích hoạt tài khoản rồi đăng nhập
3. Mở màn Scopes</t>
  </si>
  <si>
    <t xml:space="preserve">- Sau khi kích hoạt, danh sách có {{scope.org}}</t>
  </si>
  <si>
    <t xml:space="preserve">Kiểm tra chọn scope rồi đóng mà không lưu</t>
  </si>
  <si>
    <t xml:space="preserve">1. Mở chi tiết {{user.cust_user}}
2. Chọn thêm {{scope.org}}
3. Đóng, không lưu</t>
  </si>
  <si>
    <t xml:space="preserve">- Phần quyền theo scope vẫn chỉ có {{scope.sys}}</t>
  </si>
  <si>
    <t xml:space="preserve">Kiểm tra gỡ scope của Customer User</t>
  </si>
  <si>
    <t xml:space="preserve">1. Mở chi tiết {{user.cust_user}}
2. Gỡ {{scope.sys}}, lưu</t>
  </si>
  <si>
    <t xml:space="preserve">- Phần quyền theo scope không còn {{scope.sys}}</t>
  </si>
  <si>
    <t xml:space="preserve">Có hỏi xác nhận khi gỡ không → Q-S-23</t>
  </si>
  <si>
    <t xml:space="preserve">Người bị gỡ không còn thấy scope</t>
  </si>
  <si>
    <t xml:space="preserve">Kiểm tra người bị gỡ không còn thấy scope</t>
  </si>
  <si>
    <t xml:space="preserve">Chưa đăng nhập; {{user.cust_admin}} vừa gỡ {{scope.sys}} của {{user.cust_user}}</t>
  </si>
  <si>
    <t xml:space="preserve">1. Đăng nhập {{user.cust_user}}
2. Mở màn Scopes
3. Mở {{url.app}}/scopes/&lt;mã của {{scope.sys}}&gt;</t>
  </si>
  <si>
    <t xml:space="preserve">- Danh sách không có {{scope.sys}}
- Bước 3 không hiển thị nội dung của {{scope.sys}}</t>
  </si>
  <si>
    <t xml:space="preserve">Bước 3 hiện trang gì → Q-S-26</t>
  </si>
  <si>
    <t xml:space="preserve">Người bị gỡ không còn thấy workspace</t>
  </si>
  <si>
    <t xml:space="preserve">Kiểm tra người bị gỡ không còn thấy workspace của scope</t>
  </si>
  <si>
    <t xml:space="preserve">Chưa đăng nhập; {{user.cust_admin}} vừa gỡ {{scope.sys}} của {{user.cust_user}}; {{scope.sys}} có {{wsp.sys}}</t>
  </si>
  <si>
    <t xml:space="preserve">- Danh sách không có {{wsp.sys}}</t>
  </si>
  <si>
    <t xml:space="preserve">Kiểm tra bỏ chọn scope rồi đóng mà không lưu</t>
  </si>
  <si>
    <t xml:space="preserve">1. Mở chi tiết {{user.cust_user}}
2. Bỏ chọn {{scope.sys}}
3. Đóng, không lưu</t>
  </si>
  <si>
    <t xml:space="preserve">- Phần quyền theo scope vẫn có {{scope.sys}}</t>
  </si>
  <si>
    <t xml:space="preserve">Không cần cấp scope</t>
  </si>
  <si>
    <t xml:space="preserve">Kiểm tra quyền theo scope của Customer Admin</t>
  </si>
  <si>
    <t xml:space="preserve">1. Mở chi tiết {{user.cust_admin_2}}</t>
  </si>
  <si>
    <t xml:space="preserve">- Không có thao tác cấp quyền theo scope cho {{user.cust_admin_2}}</t>
  </si>
  <si>
    <t xml:space="preserve">Cấp scope cho Customer Viewer</t>
  </si>
  <si>
    <t xml:space="preserve">Kiểm tra cấp quyền theo scope cho Customer Viewer</t>
  </si>
  <si>
    <t xml:space="preserve">1. Mở chi tiết {{user.cust_viewer}}
2. Tìm thao tác cấp quyền theo scope</t>
  </si>
  <si>
    <t xml:space="preserve">USR-05 chỉ nói Customer User → Q-S-24</t>
  </si>
  <si>
    <t xml:space="preserve">Mở ma trận quyền</t>
  </si>
  <si>
    <t xml:space="preserve">Kiểm tra Customer Admin xem ma trận quyền</t>
  </si>
  <si>
    <t xml:space="preserve">1. Mở ma trận quyền của các vai trò</t>
  </si>
  <si>
    <t xml:space="preserve">- Hiển thị quyền của từng vai trò định sẵn
- Chỉ xem: không có thao tác thêm, sửa, xoá vai trò hay quyền</t>
  </si>
  <si>
    <t xml:space="preserve">Lối vào và các vai trò được hiển thị → Q-U-11</t>
  </si>
  <si>
    <t>ROL-02</t>
  </si>
  <si>
    <t xml:space="preserve">Kiểm tra SGS Admin xem ma trận quyền</t>
  </si>
  <si>
    <t>Menu</t>
  </si>
  <si>
    <t xml:space="preserve">Không có Users</t>
  </si>
  <si>
    <t xml:space="preserve">Kiểm tra menu của Customer User không có Users</t>
  </si>
  <si>
    <t xml:space="preserve">Đăng nhập {{user.cust_user}}</t>
  </si>
  <si>
    <t xml:space="preserve">1. Xem menu trái</t>
  </si>
  <si>
    <t xml:space="preserve">- Không có mục Users</t>
  </si>
  <si>
    <t xml:space="preserve">Mở trang người dùng bằng URL</t>
  </si>
  <si>
    <t>TC_053</t>
  </si>
  <si>
    <t xml:space="preserve">Kiểm tra Customer User mở danh sách người dùng bằng URL</t>
  </si>
  <si>
    <t xml:space="preserve">1. Mở {{url.users}}</t>
  </si>
  <si>
    <t xml:space="preserve">- Không hiển thị danh sách người dùng</t>
  </si>
  <si>
    <t xml:space="preserve">Hiện trang gì → Q-S-26; địa chỉ trang → Q-U-01</t>
  </si>
  <si>
    <t>ROL-01</t>
  </si>
  <si>
    <t>API</t>
  </si>
  <si>
    <t xml:space="preserve">Mời, đổi vai trò, cấp scope</t>
  </si>
  <si>
    <t>TC_054</t>
  </si>
  <si>
    <t xml:space="preserve">Kiểm tra Customer User gọi API quản lý người dùng</t>
  </si>
  <si>
    <t xml:space="preserve">1. Gọi API mời người dùng
2. Gọi API đổi vai trò của {{user.cust_viewer}}
3. Gọi API cấp {{scope.org}} cho chính mình</t>
  </si>
  <si>
    <t xml:space="preserve">- Cả ba bị từ chối (403), dữ liệu không đổi</t>
  </si>
  <si>
    <t xml:space="preserve">Menu và API</t>
  </si>
  <si>
    <t xml:space="preserve">Không có Users, API bị từ chối</t>
  </si>
  <si>
    <t>TC_055</t>
  </si>
  <si>
    <t xml:space="preserve">Kiểm tra Customer Viewer với quản lý người dùng</t>
  </si>
  <si>
    <t xml:space="preserve">Đăng nhập {{user.cust_viewer}}</t>
  </si>
  <si>
    <t xml:space="preserve">1. Xem menu trái
2. Gọi API danh sách người dùng và API mời người dùng</t>
  </si>
  <si>
    <t xml:space="preserve">- Không có mục Users
- Cả hai API bị từ chối (403)</t>
  </si>
  <si>
    <t xml:space="preserve">Không có quản lý người dùng</t>
  </si>
  <si>
    <t>TC_056</t>
  </si>
  <si>
    <t xml:space="preserve">Kiểm tra SGS Consultant với quản lý người dùng</t>
  </si>
  <si>
    <t xml:space="preserve">Đăng nhập {{user.consultant}} ở SGS Portal</t>
  </si>
  <si>
    <t xml:space="preserve">1. Xem menu
2. Gọi API danh sách người dùng và API mời người dùng</t>
  </si>
  <si>
    <t xml:space="preserve">- Không có mục quản lý người dùng
- Cả hai API bị từ chối (403)</t>
  </si>
  <si>
    <t xml:space="preserve">Chi tiết người dùng của tenant khác</t>
  </si>
  <si>
    <t>TC_057</t>
  </si>
  <si>
    <t xml:space="preserve">Kiểm tra mở chi tiết người dùng của tenant khác bằng URL</t>
  </si>
  <si>
    <t xml:space="preserve">Đăng nhập {{user.tenantB_admin}}</t>
  </si>
  <si>
    <t xml:space="preserve">1. Mở {{url.users}}/&lt;mã của {{user.cust_user}}&gt;</t>
  </si>
  <si>
    <t xml:space="preserve">- Không hiển thị dữ liệu của {{user.cust_user}}, giống như người dùng không tồn tại</t>
  </si>
  <si>
    <t xml:space="preserve">Đổi vai trò người dùng của tenant khác</t>
  </si>
  <si>
    <t>TC_058</t>
  </si>
  <si>
    <t xml:space="preserve">Kiểm tra gọi API đổi vai trò người dùng của tenant khác</t>
  </si>
  <si>
    <t xml:space="preserve">1. Gọi API đổi vai trò của {{user.cust_user}} thành Customer Admin</t>
  </si>
  <si>
    <t xml:space="preserve">- Trả 404 như người dùng không tồn tại
- Vai trò của {{user.cust_user}} không đổi</t>
  </si>
  <si>
    <t xml:space="preserve">Cấp scope của tenant khác</t>
  </si>
  <si>
    <t>TC_059</t>
  </si>
  <si>
    <t xml:space="preserve">Kiểm tra cấp scope của tenant khác cho người dùng của mình</t>
  </si>
  <si>
    <t xml:space="preserve">1. Gọi API cấp {{scope.b}} của tenant B cho {{user.cust_user}}</t>
  </si>
  <si>
    <t xml:space="preserve">- Trả 404 như scope không tồn tại
- Quyền theo scope của {{user.cust_user}} không đổi</t>
  </si>
  <si>
    <t xml:space="preserve">Người dùng của khách khác affiliate</t>
  </si>
  <si>
    <t>TC_060</t>
  </si>
  <si>
    <t xml:space="preserve">Kiểm tra SGS Admin xem người dùng của khách hàng khác affiliate</t>
  </si>
  <si>
    <t xml:space="preserve">Đăng nhập {{user.sgs_admin}} ở SGS Portal; tenant C khác affiliate</t>
  </si>
  <si>
    <t xml:space="preserve">1. Gọi API chi tiết {{user.cust_c}}</t>
  </si>
  <si>
    <t xml:space="preserve">- Không trả dữ liệu của {{user.cust_c}}</t>
  </si>
  <si>
    <t xml:space="preserve">Email chứa thẻ script</t>
  </si>
  <si>
    <t>TC_061</t>
  </si>
  <si>
    <t xml:space="preserve">Kiểm tra mời với email chứa mã độc</t>
  </si>
  <si>
    <t xml:space="preserve">1. Mở form mời người dùng
2. Nhập {{text.xss}} vào ô email, chọn vai trò Customer User
3. Gửi lời mời</t>
  </si>
  <si>
    <t xml:space="preserve">- Không gửi lời mời
- Không có hộp thoại hay đoạn mã nào được chạy</t>
  </si>
  <si>
    <t xml:space="preserve">Mời, đổi vai trò, cấp và gỡ scope</t>
  </si>
  <si>
    <t>TC_062</t>
  </si>
  <si>
    <t xml:space="preserve">Kiểm tra ghi audit cho thao tác quản lý người dùng</t>
  </si>
  <si>
    <t xml:space="preserve">1. Mời người dùng, đổi vai trò, cấp rồi gỡ scope
2. Mở nhật ký hoạt động của tổ chức</t>
  </si>
  <si>
    <t xml:space="preserve">Các thao tác này có phải ghi audit không → Q-U-12</t>
  </si>
  <si>
    <t>AUD-01</t>
  </si>
  <si>
    <t xml:space="preserve">PRF-L0001_Ngôn ngữ hiển thị</t>
  </si>
  <si>
    <t xml:space="preserve">Profile (tên tạm) · Customer Portal, SGS Portal</t>
  </si>
  <si>
    <t xml:space="preserve">UC List v4 (02/10/2026) · PRF-01 · chưa có Figma trang 02: vị trí chỗ đổi ngôn ngữ chờ đối chiếu</t>
  </si>
  <si>
    <t xml:space="preserve">Sau khi đăng nhập</t>
  </si>
  <si>
    <t xml:space="preserve">Kiểm tra chỗ đổi ngôn ngữ sau khi đăng nhập</t>
  </si>
  <si>
    <t xml:space="preserve">1. Mở chỗ đổi ngôn ngữ</t>
  </si>
  <si>
    <t xml:space="preserve">- Có hai lựa chọn: English và 繁體中文</t>
  </si>
  <si>
    <t xml:space="preserve">Chỗ đổi ngôn ngữ nằm ở đâu → Q-P-01</t>
  </si>
  <si>
    <t>PRF-01</t>
  </si>
  <si>
    <t xml:space="preserve">Chọn 繁體中文</t>
  </si>
  <si>
    <t xml:space="preserve">Nhãn giao diện</t>
  </si>
  <si>
    <t xml:space="preserve">Kiểm tra giao diện sau khi chọn 繁體中文</t>
  </si>
  <si>
    <t xml:space="preserve">Đăng nhập {{user.cust_user}}, ngôn ngữ đang là English</t>
  </si>
  <si>
    <t xml:space="preserve">1. Đổi ngôn ngữ sang 繁體中文
2. Mở màn Scopes</t>
  </si>
  <si>
    <t xml:space="preserve">- Menu, tiêu đề, nút hiển thị bằng tiếng Trung phồn thể</t>
  </si>
  <si>
    <t xml:space="preserve">Chọn English</t>
  </si>
  <si>
    <t xml:space="preserve">Đổi lại English</t>
  </si>
  <si>
    <t xml:space="preserve">Kiểm tra đổi lại English</t>
  </si>
  <si>
    <t xml:space="preserve">Đăng nhập {{user.cust_user}}, ngôn ngữ đang là 繁體中文</t>
  </si>
  <si>
    <t xml:space="preserve">1. Đổi ngôn ngữ sang English</t>
  </si>
  <si>
    <t xml:space="preserve">- Menu, tiêu đề, nút hiển thị bằng tiếng Anh</t>
  </si>
  <si>
    <t xml:space="preserve">Có bản dịch</t>
  </si>
  <si>
    <t xml:space="preserve">Tiêu đề và mô tả requirement</t>
  </si>
  <si>
    <t xml:space="preserve">Kiểm tra nội dung framework hiển thị bằng 繁體中文</t>
  </si>
  <si>
    <t xml:space="preserve">Đăng nhập {{user.cust_user}}, ngôn ngữ 繁體中文; {{wsp.sys}} dùng {{fwk.zh}} có nội dung tiếng Trung</t>
  </si>
  <si>
    <t xml:space="preserve">1. Mở cây requirement của {{wsp.sys}}
2. Mở chi tiết một requirement</t>
  </si>
  <si>
    <t xml:space="preserve">- Tiêu đề và mô tả requirement hiển thị bản 繁體中文</t>
  </si>
  <si>
    <t xml:space="preserve">Chưa có bản dịch</t>
  </si>
  <si>
    <t xml:space="preserve">Quay về tiếng Anh</t>
  </si>
  <si>
    <t xml:space="preserve">Kiểm tra nội dung chưa có bản dịch</t>
  </si>
  <si>
    <t xml:space="preserve">Đăng nhập {{user.cust_user}}, ngôn ngữ 繁體中文; requirement {{req.no_zh}} chưa có bản tiếng Trung</t>
  </si>
  <si>
    <t xml:space="preserve">1. Mở chi tiết {{req.no_zh}}</t>
  </si>
  <si>
    <t xml:space="preserve">- Tiêu đề và mô tả của {{req.no_zh}} hiển thị bằng tiếng Anh</t>
  </si>
  <si>
    <t>Mã</t>
  </si>
  <si>
    <t xml:space="preserve">Mã không dịch</t>
  </si>
  <si>
    <t xml:space="preserve">Kiểm tra mã framework và mã requirement không bị dịch</t>
  </si>
  <si>
    <t xml:space="preserve">Đăng nhập {{user.cust_user}}; {{wsp.sys}} dùng {{fwk.zh}}</t>
  </si>
  <si>
    <t xml:space="preserve">1. Xem mã framework và mã requirement khi để English
2. Đổi sang 繁體中文, xem lại</t>
  </si>
  <si>
    <t xml:space="preserve">- Mã framework và mã requirement giữ nguyên ở cả hai ngôn ngữ</t>
  </si>
  <si>
    <t xml:space="preserve">Đăng nhập lại</t>
  </si>
  <si>
    <t xml:space="preserve">Giữ 繁體中文</t>
  </si>
  <si>
    <t xml:space="preserve">Kiểm tra giữ ngôn ngữ sau khi đăng nhập lại</t>
  </si>
  <si>
    <t xml:space="preserve">Đăng nhập {{user.cust_user}}, đã chọn 繁體中文</t>
  </si>
  <si>
    <t xml:space="preserve">1. Đăng xuất
2. Đăng nhập lại {{user.cust_user}}</t>
  </si>
  <si>
    <t xml:space="preserve">- Giao diện hiển thị bằng 繁體中文 ngay sau khi đăng nhập</t>
  </si>
  <si>
    <t xml:space="preserve">Trình duyệt khác</t>
  </si>
  <si>
    <t xml:space="preserve">Kiểm tra giữ ngôn ngữ khi đăng nhập ở trình duyệt khác</t>
  </si>
  <si>
    <t xml:space="preserve">Đăng nhập {{user.cust_user}} ở trình duyệt thứ nhất, đã chọn 繁體中文</t>
  </si>
  <si>
    <t xml:space="preserve">1. Đăng nhập {{user.cust_user}} ở trình duyệt thứ hai</t>
  </si>
  <si>
    <t xml:space="preserve">- Giao diện hiển thị bằng 繁體中文</t>
  </si>
  <si>
    <t xml:space="preserve">Người dùng khác</t>
  </si>
  <si>
    <t xml:space="preserve">Không bị ảnh hưởng</t>
  </si>
  <si>
    <t xml:space="preserve">Kiểm tra lựa chọn ngôn ngữ không ảnh hưởng người dùng khác</t>
  </si>
  <si>
    <t xml:space="preserve">Đăng nhập {{user.cust_viewer}}, ngôn ngữ English; {{user.cust_user}} đã chọn 繁體中文</t>
  </si>
  <si>
    <t xml:space="preserve">1. Xem giao diện của {{user.cust_viewer}}</t>
  </si>
  <si>
    <t xml:space="preserve">- Giao diện vẫn bằng English</t>
  </si>
  <si>
    <t xml:space="preserve">Người dùng mới</t>
  </si>
  <si>
    <t xml:space="preserve">Ngôn ngữ mặc định</t>
  </si>
  <si>
    <t xml:space="preserve">Kiểm tra ngôn ngữ mặc định của người dùng mới</t>
  </si>
  <si>
    <t xml:space="preserve">Chưa đăng nhập; {{email.new}} vừa kích hoạt, chưa từng chọn ngôn ngữ</t>
  </si>
  <si>
    <t xml:space="preserve">1. Đăng nhập bằng {{email.new}}</t>
  </si>
  <si>
    <t xml:space="preserve">Mặc định là ngôn ngữ nào → Q-P-03</t>
  </si>
  <si>
    <t xml:space="preserve">Ngôn ngữ ở màn đăng nhập</t>
  </si>
  <si>
    <t xml:space="preserve">Khác ngôn ngữ đã lưu</t>
  </si>
  <si>
    <t xml:space="preserve">Kiểm tra khi chọn ở màn đăng nhập một ngôn ngữ khác ngôn ngữ đã lưu</t>
  </si>
  <si>
    <t xml:space="preserve">Chưa đăng nhập; {{user.cust_user}} đã lưu 繁體中文</t>
  </si>
  <si>
    <t xml:space="preserve">1. Ở màn đăng nhập chọn English
2. Đăng nhập {{user.cust_user}}</t>
  </si>
  <si>
    <t xml:space="preserve">Sau khi đăng nhập dùng ngôn ngữ nào → Q-P-02</t>
  </si>
  <si>
    <t xml:space="preserve">Đổi ngôn ngữ ở SGS Portal</t>
  </si>
  <si>
    <t xml:space="preserve">Kiểm tra SGS Admin đổi ngôn ngữ</t>
  </si>
  <si>
    <t xml:space="preserve">1. Đổi ngôn ngữ sang 繁體中文
2. Mở danh sách khách hàng</t>
  </si>
  <si>
    <t xml:space="preserve">- Giao diện SGS Portal hiển thị bằng 繁體中文</t>
  </si>
  <si>
    <t xml:space="preserve">Đổi ngôn ngữ</t>
  </si>
  <si>
    <t xml:space="preserve">Kiểm tra Customer Viewer đổi ngôn ngữ</t>
  </si>
  <si>
    <t xml:space="preserve">1. Đổi ngôn ngữ sang 繁體中文</t>
  </si>
  <si>
    <t>Sheet</t>
  </si>
  <si>
    <t xml:space="preserve">Câu hỏi</t>
  </si>
  <si>
    <t xml:space="preserve">Căn cứ, vì sao cần hỏi</t>
  </si>
  <si>
    <t xml:space="preserve">TC liên quan</t>
  </si>
  <si>
    <t xml:space="preserve">Đề xuất mặc định</t>
  </si>
  <si>
    <t>Mức</t>
  </si>
  <si>
    <t xml:space="preserve">Trạng thái</t>
  </si>
  <si>
    <t>Q-U-01</t>
  </si>
  <si>
    <t xml:space="preserve">Lối vào và tên mục menu quản lý người dùng ở Customer Portal và SGS Portal; địa chỉ trang ({{url.users}}).</t>
  </si>
  <si>
    <t xml:space="preserve">Chưa có Figma trang 02. Customer Portal tạm theo prototype của Scopes (Scopes Scope_123: Users ở mục Administration).</t>
  </si>
  <si>
    <t xml:space="preserve">Users TC_001, TC_002, TC_053</t>
  </si>
  <si>
    <t xml:space="preserve">Theo Figma khi có.</t>
  </si>
  <si>
    <t>NHỎ</t>
  </si>
  <si>
    <t>Mở</t>
  </si>
  <si>
    <t>Q-U-02</t>
  </si>
  <si>
    <t xml:space="preserve">SGS Admin thấy người dùng SGS của mọi affiliate hay chỉ affiliate của mình?</t>
  </si>
  <si>
    <t xml:space="preserve">USR-01 (P1 Use Cases!R14): "SGS users and affiliate customers for SGS Admin" — chỉ nói rõ phạm vi với người dùng khách.</t>
  </si>
  <si>
    <t xml:space="preserve">Users TC_005</t>
  </si>
  <si>
    <t xml:space="preserve">Chỉ affiliate của mình, giống phạm vi khách hàng.</t>
  </si>
  <si>
    <t xml:space="preserve">QUAN TRỌNG</t>
  </si>
  <si>
    <t>Q-U-03</t>
  </si>
  <si>
    <t xml:space="preserve">Người dùng có những trạng thái nào (chờ kích hoạt, đã kích hoạt…), hiển thị ở danh sách và chi tiết ra sao? Chi tiết người dùng có những trường hồ sơ nào?</t>
  </si>
  <si>
    <t xml:space="preserve">USR-02 (R15) có "profile, status" nhưng không liệt kê; sửa, khoá người dùng đã dời sang P2 (P2-USR-01).</t>
  </si>
  <si>
    <t xml:space="preserve">Users TC_006, TC_007, TC_008, TC_014</t>
  </si>
  <si>
    <t xml:space="preserve">Hai trạng thái: chờ kích hoạt và đã kích hoạt.</t>
  </si>
  <si>
    <t>Q-U-04</t>
  </si>
  <si>
    <t xml:space="preserve">Text thông báo của form mời (bỏ trống email, sai định dạng, chưa chọn vai trò) và khi đổi vai trò Customer Admin cuối cùng; tiêu đề, nội dung email mời.</t>
  </si>
  <si>
    <t xml:space="preserve">Chưa có Figma trang 02 và mẫu email.</t>
  </si>
  <si>
    <t xml:space="preserve">Users TC_012, TC_018, TC_019, TC_020, TC_034</t>
  </si>
  <si>
    <t xml:space="preserve">Theo Figma và mẫu email khi có.</t>
  </si>
  <si>
    <t>Q-U-05</t>
  </si>
  <si>
    <t xml:space="preserve">Mời một email đã có: (a) đã là người dùng của tenant, (b) đang chờ kích hoạt, (c) là người dùng của tenant khác — xử lý thế nào?</t>
  </si>
  <si>
    <t xml:space="preserve">USR-03 (R16) không nói về email trùng.</t>
  </si>
  <si>
    <t xml:space="preserve">Users TC_021, TC_022, TC_023</t>
  </si>
  <si>
    <t xml:space="preserve">(a), (b): chặn và báo email đã có; (c): chặn, vì phiên đăng nhập chỉ gắn với một tenant (AUTH-01, R3).</t>
  </si>
  <si>
    <t>Q-U-06</t>
  </si>
  <si>
    <t xml:space="preserve">Gửi lại lời mời thì link trong email cũ còn dùng được không? Link mời có hạn bao lâu?</t>
  </si>
  <si>
    <t xml:space="preserve">USR-03 (R16) có gửi lại; AUTH-03 (R5) nói link dùng một lần và có hạn, không nói thời hạn.</t>
  </si>
  <si>
    <t xml:space="preserve">Users TC_026</t>
  </si>
  <si>
    <t xml:space="preserve">Link cũ hết hiệu lực khi gửi lại; hạn 7 ngày.</t>
  </si>
  <si>
    <t>Q-U-07</t>
  </si>
  <si>
    <t xml:space="preserve">Thu hồi lời mời thì người đó còn trong danh sách không? Mở link của lời mời đã thu hồi thì hiện gì?</t>
  </si>
  <si>
    <t xml:space="preserve">USR-03 (R16) có thu hồi, không nói kết quả.</t>
  </si>
  <si>
    <t xml:space="preserve">Users TC_027, TC_028</t>
  </si>
  <si>
    <t xml:space="preserve">Bỏ khỏi danh sách; link hiện thông báo giống link hết hạn.</t>
  </si>
  <si>
    <t>Q-U-08</t>
  </si>
  <si>
    <t xml:space="preserve">Đổi vai trò có hiệu lực ngay với phiên đang mở của người bị đổi, hay từ lần đăng nhập sau?</t>
  </si>
  <si>
    <t xml:space="preserve">AUTH-01 (R3): vai trò được xác định khi tạo phiên; ROL-01 (R19): kiểm quyền ở mọi API và màn hình.</t>
  </si>
  <si>
    <t xml:space="preserve">Users TC_031</t>
  </si>
  <si>
    <t xml:space="preserve">Có hiệu lực ngay từ lần gọi API kế tiếp.</t>
  </si>
  <si>
    <t>Q-U-09</t>
  </si>
  <si>
    <t xml:space="preserve">Customer Admin có tự đổi vai trò của chính mình được không khi tenant còn Customer Admin khác?</t>
  </si>
  <si>
    <t xml:space="preserve">USR-04 (R17) chỉ có quy tắc tenant luôn còn ít nhất một Customer Admin.</t>
  </si>
  <si>
    <t xml:space="preserve">Users TC_034, TC_036</t>
  </si>
  <si>
    <t xml:space="preserve">Không cho tự đổi.</t>
  </si>
  <si>
    <t>Q-U-10</t>
  </si>
  <si>
    <t xml:space="preserve">SGS Admin có mời, đổi vai trò người dùng của khách hàng cùng affiliate không?</t>
  </si>
  <si>
    <t xml:space="preserve">USR-01 (R14) cho SGS Admin thấy người dùng khách; USR-03 (R16) chỉ cho SGS Admin mời vai trò SGS; USR-04 (R17) không nói.</t>
  </si>
  <si>
    <t xml:space="preserve">Users TC_037</t>
  </si>
  <si>
    <t xml:space="preserve">Chỉ xem, không mời và không đổi vai trò người dùng khách.</t>
  </si>
  <si>
    <t>Q-U-11</t>
  </si>
  <si>
    <t xml:space="preserve">Ma trận quyền nằm ở đâu? Customer Admin và SGS Admin thấy những vai trò nào?</t>
  </si>
  <si>
    <t xml:space="preserve">ROL-02 (R20) chỉ nói xem quyền của từng vai trò định sẵn. Nếu ma trận nằm ở menu riêng thì tách thành sheet riêng.</t>
  </si>
  <si>
    <t xml:space="preserve">Users TC_050, TC_051</t>
  </si>
  <si>
    <t xml:space="preserve">Customer Admin thấy 3 vai trò khách hàng; SGS Admin thấy cả 5 vai trò.</t>
  </si>
  <si>
    <t>Q-U-12</t>
  </si>
  <si>
    <t xml:space="preserve">Mời người dùng, đổi vai trò, cấp hoặc gỡ scope có phải ghi audit không?</t>
  </si>
  <si>
    <t xml:space="preserve">AUD-01 (R117) ghi "sensitive actions" nhưng không liệt kê.</t>
  </si>
  <si>
    <t xml:space="preserve">Users TC_062</t>
  </si>
  <si>
    <t xml:space="preserve">Có ghi; Customer Admin thấy trong nhật ký hoạt động (AUD-03).</t>
  </si>
  <si>
    <t>Q-P-01</t>
  </si>
  <si>
    <t xml:space="preserve">Sau khi đăng nhập, đổi ngôn ngữ ở đâu (trang hồ sơ hay thanh trên cùng)? Tên sheet đặt theo chỗ đó.</t>
  </si>
  <si>
    <t xml:space="preserve">Chưa có Figma trang 02; PRF-01 (R127) không nói vị trí. Tên sheet Profile đang là tên tạm.</t>
  </si>
  <si>
    <t xml:space="preserve">Profile TC_001</t>
  </si>
  <si>
    <t xml:space="preserve">Theo Figma.</t>
  </si>
  <si>
    <t>Q-P-02</t>
  </si>
  <si>
    <t xml:space="preserve">Chọn ở màn đăng nhập một ngôn ngữ khác ngôn ngữ người dùng đã lưu: sau khi đăng nhập dùng ngôn ngữ nào?</t>
  </si>
  <si>
    <t xml:space="preserve">PRF-01 (R127): lưu theo người dùng, áp dụng sau khi đăng nhập; màn đăng nhập cũng có bộ chọn ngôn ngữ (Login, Q-L-08).</t>
  </si>
  <si>
    <t xml:space="preserve">Profile TC_011</t>
  </si>
  <si>
    <t xml:space="preserve">Dùng ngôn ngữ đã lưu của người dùng.</t>
  </si>
  <si>
    <t>Q-P-03</t>
  </si>
  <si>
    <t xml:space="preserve">Người dùng chưa từng chọn ngôn ngữ thì mặc định là ngôn ngữ nào?</t>
  </si>
  <si>
    <t xml:space="preserve">PRF-01 (R127) không nói.</t>
  </si>
  <si>
    <t xml:space="preserve">Profile TC_010</t>
  </si>
  <si>
    <t>English.</t>
  </si>
  <si>
    <t>Q-S-23</t>
  </si>
  <si>
    <t xml:space="preserve">Scopes, Users</t>
  </si>
  <si>
    <t xml:space="preserve">Gỡ quyền theo scope có hỏi xác nhận không?</t>
  </si>
  <si>
    <t xml:space="preserve">Câu đã có ở Scopes. Phần "thu hồi có thuộc USR-006 không" đã được UC List v4 trả lời: USR-05 (R18) có "Grant or remove".</t>
  </si>
  <si>
    <t xml:space="preserve">Users TC_044</t>
  </si>
  <si>
    <t>—</t>
  </si>
  <si>
    <t>Q-S-24</t>
  </si>
  <si>
    <t xml:space="preserve">Customer Viewer có được cấp quyền theo scope, có xem được scope không?</t>
  </si>
  <si>
    <t xml:space="preserve">Câu đã có ở Scopes; dùng lại cho Users.</t>
  </si>
  <si>
    <t xml:space="preserve">Users TC_049</t>
  </si>
  <si>
    <t>Q-S-26</t>
  </si>
  <si>
    <t xml:space="preserve">Mở bằng URL một trang không có quyền, hoặc dữ liệu của tenant khác, thì hiện trang gì?</t>
  </si>
  <si>
    <t xml:space="preserve">Câu đã có ở Scopes; dùng lại cho Users. ROL-01 (R19): tài nguyên của tenant khác trả 404 như không tồn tại.</t>
  </si>
  <si>
    <t xml:space="preserve">Users TC_045, TC_053, TC_057</t>
  </si>
  <si>
    <t>Q-S-28</t>
  </si>
  <si>
    <t xml:space="preserve">Danh sách scope có hiển thị What is in scope và What is out of scope của từng scope không?</t>
  </si>
  <si>
    <t xml:space="preserve">Hanna yêu cầu kiểm tra cả 4 thông tin (Type, Name, In scope, Out of scope) trên Danh sách sau khi tạo; Figma Screens 05 chỉ có cột Scope (kèm nhãn loại), Belongs to, Frameworks, Users, Evidence coverage.</t>
  </si>
  <si>
    <t xml:space="preserve">Scopes Scope_025, Scope_026, Scope_027</t>
  </si>
  <si>
    <t xml:space="preserve">Danh sách chỉ hiển thị Type và Name; In scope / Out of scope xem ở màn chi tiết.</t>
  </si>
  <si>
    <t>FWK-01</t>
  </si>
  <si>
    <t>Kiểm tra mở màn Frameworks bằng URL</t>
  </si>
  <si>
    <t>1. Mở thẳng url của màn Frameworks</t>
  </si>
  <si>
    <t xml:space="preserve">- Hiển thị màn Frameworks
- Mục Frameworks ở menu trái được tô nền</t>
  </si>
  <si>
    <t>Bấm tên framework Active</t>
  </si>
  <si>
    <t>Đăng nhập account SGS Admin; có [Framework Active]</t>
  </si>
  <si>
    <t xml:space="preserve">1. Mở màn Frameworks
2. Bấm tên [Framework Active] ở cột Framework</t>
  </si>
  <si>
    <t xml:space="preserve">- Chuyển sang màn chi tiết của [Framework Active]
- Mục Overview ở cột bên trái được tô nền</t>
  </si>
  <si>
    <t>FWK-02</t>
  </si>
  <si>
    <t>Bấm tên framework Draft</t>
  </si>
  <si>
    <t>Kiểm tra mở bản nháp từ danh sách</t>
  </si>
  <si>
    <t>Đăng nhập account SGS Admin; có [Framework Draft]</t>
  </si>
  <si>
    <t xml:space="preserve">1. Mở màn Frameworks
2. Bấm tên [Framework Draft] ở cột Framework</t>
  </si>
  <si>
    <t xml:space="preserve">- Chuyển sang màn bản nháp của [Framework Draft]
- Cạnh tên framework có nhãn Draft · not active</t>
  </si>
  <si>
    <t>Mã framework hợp lệ</t>
  </si>
  <si>
    <t>Kiểm tra mở chi tiết framework bằng URL</t>
  </si>
  <si>
    <t>1. Mở thẳng url chi tiết của [Framework Active]</t>
  </si>
  <si>
    <t>- Hiển thị màn chi tiết của [Framework Active]</t>
  </si>
  <si>
    <t>Mã framework không tồn tại</t>
  </si>
  <si>
    <t>Kiểm tra mở chi tiết bằng mã framework không tồn tại</t>
  </si>
  <si>
    <t>1. Mở url chi tiết framework với mã không tồn tại</t>
  </si>
  <si>
    <t xml:space="preserve">- Hiển thị thông báo:
"This framework doesn’t exist
It may have been removed, or it belongs to an organisation you can’t see."</t>
  </si>
  <si>
    <t>Text lấy từ hệ thống, Figma chưa có trạng thái này → Q-F-18</t>
  </si>
  <si>
    <t>Kiểm tra phần đầu màn Frameworks</t>
  </si>
  <si>
    <t xml:space="preserve">- Breadcrumb: Frameworks
- Tiêu đề: Frameworks
- Mô tả:
"Frameworks customers can activate on their scopes. Import one from the Excel template."</t>
  </si>
  <si>
    <t>Kiểm tra hiển thị nút Import framework</t>
  </si>
  <si>
    <t xml:space="preserve">1. Mở màn Frameworks
2. Kiểm tra góc trên bên phải</t>
  </si>
  <si>
    <t>- Có nút Import framework</t>
  </si>
  <si>
    <t>FWK-03</t>
  </si>
  <si>
    <t>Kiểm tra hiển thị nút Download template</t>
  </si>
  <si>
    <t>- Có nút Download template</t>
  </si>
  <si>
    <t>Bấm Import framework</t>
  </si>
  <si>
    <t>Kiểm tra mở hộp thoại Import a framework</t>
  </si>
  <si>
    <t xml:space="preserve">- Mở hộp thoại tiêu đề Import a framework, có nút đóng ×
- Có nút Cancel và nút Check file</t>
  </si>
  <si>
    <t>Bước 1 - tải file mẫu</t>
  </si>
  <si>
    <t>Kiểm tra nội dung bước 1 của hộp thoại Import a framework</t>
  </si>
  <si>
    <t xml:space="preserve">1. Mở màn Frameworks
2. Bấm Import framework
3. Kiểm tra bước 1</t>
  </si>
  <si>
    <t xml:space="preserve">- Tiêu đề bước: Download the template and fill it in
- Mô tả:
"One file = one framework version. A new version of an existing framework (same code, different version) is added as its own entry. Sheets: Framework (one row), Tiers (leave empty if the framework has no tiers), Requirements, Expected_Evidence."
- Có nút Download template (.xlsx)</t>
  </si>
  <si>
    <t>UC FWK-03 ghi file có EN và ZH; file mẫu ver 1 (18/09) không có sheet Tiers → Q-F-06</t>
  </si>
  <si>
    <t>Bước 2 - tải file lên</t>
  </si>
  <si>
    <t>Kiểm tra nội dung bước 2 của hộp thoại Import a framework</t>
  </si>
  <si>
    <t xml:space="preserve">1. Mở màn Frameworks
2. Bấm Import framework
3. Kiểm tra bước 2</t>
  </si>
  <si>
    <t xml:space="preserve">- Tiêu đề bước: Upload the completed file
- Trường Framework file * có vùng kéo thả:
"Drag files here or browse."
- Dòng gợi ý:
"Excel (.xlsx) · up to 20 MB · checked before anything is saved"</t>
  </si>
  <si>
    <t>Từ hộp thoại</t>
  </si>
  <si>
    <t>Kiểm tra tải file mẫu trong hộp thoại Import a framework</t>
  </si>
  <si>
    <t>- Tải về file mẫu dạng .xlsx</t>
  </si>
  <si>
    <t>Hệ thống ghi tên file SGS_DTP_Framework_Import_Template.xlsx nhưng chỉ hiện thông báo, prototype không có file thật → Q-F-06</t>
  </si>
  <si>
    <t>Từ đầu danh sách</t>
  </si>
  <si>
    <t>Kiểm tra tải file mẫu bằng nút Download template</t>
  </si>
  <si>
    <t>Nội dung file mẫu</t>
  </si>
  <si>
    <t>Kiểm tra các sheet của file mẫu</t>
  </si>
  <si>
    <t xml:space="preserve">1. Mở màn Frameworks
2. Bấm Download template
3. Mở file vừa tải</t>
  </si>
  <si>
    <t xml:space="preserve">- File có các sheet:
+ Framework
+ Tiers
+ Requirements
+ Expected_Evidence</t>
  </si>
  <si>
    <t>Hộp thoại ghi 4 sheet; file mẫu ver 1 trên SharePoint (18/09) không có Tiers, không có cột tiếng Trung như UC ghi → Q-F-06</t>
  </si>
  <si>
    <t>Chọn file</t>
  </si>
  <si>
    <t>Bấm browse</t>
  </si>
  <si>
    <t>Kiểm tra chọn file .xlsx bằng browse</t>
  </si>
  <si>
    <t>Đăng nhập account SGS Admin; có [file hợp lệ]: file .xlsx điền theo file mẫu, không có lỗi</t>
  </si>
  <si>
    <t xml:space="preserve">1. Mở màn Frameworks
2. Bấm Import framework
3. Bấm browse, chọn [file hợp lệ]</t>
  </si>
  <si>
    <t xml:space="preserve">- Dưới vùng kéo thả có dòng file gồm:
+ Tên file
+ Dung lượng, ví dụ 180 KB
+ Dấu tích xanh
+ Nút ×</t>
  </si>
  <si>
    <t>Kéo thả</t>
  </si>
  <si>
    <t>Kiểm tra chọn file .xlsx bằng kéo thả</t>
  </si>
  <si>
    <t xml:space="preserve">1. Mở màn Frameworks
2. Bấm Import framework
3. Kéo [file hợp lệ] thả vào vùng Drag files here</t>
  </si>
  <si>
    <t xml:space="preserve">- Dưới vùng kéo thả có dòng file gồm:
+ Tên file
+ Dung lượng
+ Dấu tích xanh
+ Nút ×</t>
  </si>
  <si>
    <t>Bấm × ở dòng file</t>
  </si>
  <si>
    <t xml:space="preserve">1. Mở màn Frameworks
2. Bấm Import framework
3. Chọn [file hợp lệ]
4. Bấm × ở dòng file</t>
  </si>
  <si>
    <t xml:space="preserve">- Dòng file biến mất
- Vùng kéo thả vẫn hiển thị</t>
  </si>
  <si>
    <t>Chọn file khác khi đã có file</t>
  </si>
  <si>
    <t>Kiểm tra chọn file thứ hai khi đã chọn một file</t>
  </si>
  <si>
    <t xml:space="preserve">1. Mở màn Frameworks
2. Bấm Import framework
3. Chọn file abc.xlsx
4. Chọn tiếp file abc1.xlsx</t>
  </si>
  <si>
    <t>- Chỉ còn một dòng file: abc1.xlsx</t>
  </si>
  <si>
    <t>Figma ghi One file = one framework version; hệ thống thay file cũ bằng file mới, không báo gì → Q-F-14</t>
  </si>
  <si>
    <t>File đúng 20 MB</t>
  </si>
  <si>
    <t>Framework_020</t>
  </si>
  <si>
    <t>Kiểm tra chọn file có dung lượng đúng 20 MB</t>
  </si>
  <si>
    <t xml:space="preserve">1. Mở màn Frameworks
2. Bấm Import framework
3. Chọn file .xlsx có dung lượng đúng 20 MB</t>
  </si>
  <si>
    <t xml:space="preserve">- Dòng file hiện dung lượng 20.0 MB và dấu tích xanh
- Không có thông báo lỗi</t>
  </si>
  <si>
    <t>Hệ thống tính 1 MB = 1.048.576 byte; giới hạn tính theo cách này hay 1.000.000 byte → Q-F-14</t>
  </si>
  <si>
    <t>Chưa chọn file</t>
  </si>
  <si>
    <t>Framework_021</t>
  </si>
  <si>
    <t>Kiểm tra bấm Check file khi chưa chọn file</t>
  </si>
  <si>
    <t xml:space="preserve">1. Mở màn Frameworks
2. Bấm Import framework
3. Bấm Check file khi chưa chọn file</t>
  </si>
  <si>
    <t xml:space="preserve">- Không kiểm file, hộp thoại vẫn mở
- Hiện lỗi dưới trường Framework file:
"Choose the completed Excel file."</t>
  </si>
  <si>
    <t>Text lỗi lấy từ hệ thống, Figma không có trạng thái này → Q-F-14</t>
  </si>
  <si>
    <t>File không phải .xlsx</t>
  </si>
  <si>
    <t>Framework_022</t>
  </si>
  <si>
    <t>Kiểm tra import file không phải .xlsx</t>
  </si>
  <si>
    <t xml:space="preserve">1. Mở màn Frameworks
2. Bấm Import framework
3. Kéo file abc.pdf thả vào vùng Drag files here
4. Bấm Check file</t>
  </si>
  <si>
    <t xml:space="preserve">- Không import, hộp thoại hiện thông báo lỗi:
"1 error in abc.pdf"
"Nothing was imported. Fix these rows in Excel and upload the file again."
- Bảng lỗi có dòng với Problem:
"Only Excel (.xlsx) files made from the template can be imported."</t>
  </si>
  <si>
    <t>Hệ thống nhận file .pdf vào ô chọn, chỉ báo lỗi khi bấm Check file, dòng lỗi ghi Sheet —, Row 0, Column —; Figma không có trạng thái này → Q-F-14</t>
  </si>
  <si>
    <t>File lớn hơn 20 MB</t>
  </si>
  <si>
    <t>Framework_023</t>
  </si>
  <si>
    <t xml:space="preserve">1. Mở màn Frameworks
2. Bấm Import framework
3. Chọn file .xlsx có dung lượng lớn hơn 20 MB</t>
  </si>
  <si>
    <t xml:space="preserve">- Dòng file báo lỗi:
"File is larger than 20 MB."</t>
  </si>
  <si>
    <t>Text lỗi lấy từ hệ thống; hệ thống vẫn cho bấm Check file với file này → Q-F-14</t>
  </si>
  <si>
    <t>Kiểm tra import file có hai dòng ở sheet Framework</t>
  </si>
  <si>
    <t xml:space="preserve">1. Mở màn Frameworks
2. Bấm Import framework
3. Chọn [file hợp lệ] đã sửa:
- Sheet Framework có 2 dòng dữ liệu
4. Bấm Check file</t>
  </si>
  <si>
    <t xml:space="preserve">- Không import, hộp thoại hiện bảng lỗi
- Bảng lỗi có dòng của sheet Framework</t>
  </si>
  <si>
    <t>Chữ ở cột Row, Column, Problem → Q-F-14</t>
  </si>
  <si>
    <t>Bỏ trống framework_code</t>
  </si>
  <si>
    <t>Kiểm tra import file bỏ trống framework_code</t>
  </si>
  <si>
    <t xml:space="preserve">1. Mở màn Frameworks
2. Bấm Import framework
3. Chọn [file hợp lệ] đã sửa:
- Sheet Framework: framework_code để trống
4. Bấm Check file</t>
  </si>
  <si>
    <t>Bỏ trống framework_name</t>
  </si>
  <si>
    <t>Kiểm tra import file bỏ trống framework_name</t>
  </si>
  <si>
    <t xml:space="preserve">1. Mở màn Frameworks
2. Bấm Import framework
3. Chọn [file hợp lệ] đã sửa:
- Sheet Framework: framework_name để trống
4. Bấm Check file</t>
  </si>
  <si>
    <t>Bỏ trống version</t>
  </si>
  <si>
    <t>Kiểm tra import file bỏ trống version</t>
  </si>
  <si>
    <t xml:space="preserve">1. Mở màn Frameworks
2. Bấm Import framework
3. Chọn [file hợp lệ] đã sửa:
- Sheet Framework: version để trống
4. Bấm Check file</t>
  </si>
  <si>
    <t>effective_date sai định dạng</t>
  </si>
  <si>
    <t>Kiểm tra import file có effective_date không phải ngày</t>
  </si>
  <si>
    <t xml:space="preserve">1. Mở màn Frameworks
2. Bấm Import framework
3. Chọn [file hợp lệ] đã sửa:
- Sheet Framework: effective_date: 2026-13-45
4. Bấm Check file</t>
  </si>
  <si>
    <t>File mẫu ghi Must be a valid date or left blank; chữ ở cột Row, Column, Problem → Q-F-14</t>
  </si>
  <si>
    <t>requirement_code bị trùng</t>
  </si>
  <si>
    <t>Kiểm tra import file có requirement_code bị trùng</t>
  </si>
  <si>
    <t xml:space="preserve">1. Mở màn Frameworks
2. Bấm Import framework
3. Chọn [file hợp lệ] đã sửa:
- Sheet Requirements: dòng 40 và dòng 41 cùng requirement_code R.9.4.2
4. Bấm Check file</t>
  </si>
  <si>
    <t xml:space="preserve">- Không import, hộp thoại hiện bảng lỗi
- Bảng lỗi có dòng:
+ Sheet: Requirements
+ Row: 41
+ Column: requirement_code
+ Problem: “R.9.4.2” is used twice (rows 40 and 41).</t>
  </si>
  <si>
    <t>parent_requirement_code không tồn tại</t>
  </si>
  <si>
    <t>Kiểm tra import file có mã cha không tồn tại</t>
  </si>
  <si>
    <t xml:space="preserve">1. Mở màn Frameworks
2. Bấm Import framework
3. Chọn [file hợp lệ] đã sửa:
- Sheet Requirements: dòng 24 có parent_requirement_code R.9.9, sheet không có dòng nào mã R.9.9
4. Bấm Check file</t>
  </si>
  <si>
    <t xml:space="preserve">- Không import, hộp thoại hiện bảng lỗi
- Bảng lỗi có dòng:
+ Sheet: Requirements
+ Row: 24
+ Column: parent_requirement_code
+ Problem: “R.9.9” does not exist in this sheet.</t>
  </si>
  <si>
    <t>Requirement là cha của chính nó</t>
  </si>
  <si>
    <t>Kiểm tra import file có requirement là cha của chính nó</t>
  </si>
  <si>
    <t xml:space="preserve">1. Mở màn Frameworks
2. Bấm Import framework
3. Chọn [file hợp lệ] đã sửa:
- Sheet Requirements: dòng V.1 có parent_requirement_code V.1
4. Bấm Check file</t>
  </si>
  <si>
    <t xml:space="preserve">- Không import, hộp thoại hiện bảng lỗi
- Bảng lỗi có dòng của sheet Requirements</t>
  </si>
  <si>
    <t>Cha con vòng lặp</t>
  </si>
  <si>
    <t>Kiểm tra import file có quan hệ cha con vòng lặp</t>
  </si>
  <si>
    <t xml:space="preserve">1. Mở màn Frameworks
2. Bấm Import framework
3. Chọn [file hợp lệ] đã sửa:
- Sheet Requirements: dòng A có cha là B, dòng B có cha là A
4. Bấm Check file</t>
  </si>
  <si>
    <t>Kiểm tra import file có is_assessable sai giá trị</t>
  </si>
  <si>
    <t xml:space="preserve">1. Mở màn Frameworks
2. Bấm Import framework
3. Chọn [file hợp lệ] đã sửa:
- Sheet Requirements: một dòng có is_assessable: YES
4. Bấm Check file</t>
  </si>
  <si>
    <t>Bỏ trống title</t>
  </si>
  <si>
    <t>Kiểm tra import file có requirement bỏ trống title</t>
  </si>
  <si>
    <t xml:space="preserve">1. Mở màn Frameworks
2. Bấm Import framework
3. Chọn [file hợp lệ] đã sửa:
- Sheet Requirements: một dòng để trống title
4. Bấm Check file</t>
  </si>
  <si>
    <t>Expected evidence trỏ vào dòng nhóm</t>
  </si>
  <si>
    <t>Kiểm tra import file có expected evidence trỏ vào dòng nhóm</t>
  </si>
  <si>
    <t xml:space="preserve">1. Mở màn Frameworks
2. Bấm Import framework
3. Chọn [file hợp lệ] đã sửa:
- Sheet Expected_Evidence: dòng 12 có requirement_code R.4; ở sheet Requirements, R.4 có is_assessable FALSE
4. Bấm Check file</t>
  </si>
  <si>
    <t xml:space="preserve">- Không import, hộp thoại hiện bảng lỗi
- Bảng lỗi có dòng:
+ Sheet: Expected_Evidence
+ Row: 12
+ Column: requirement_code
+ Problem: “R.4” is a grouping row. Evidence must point to an assessable requirement.</t>
  </si>
  <si>
    <t>Expected evidence trỏ vào mã không tồn tại</t>
  </si>
  <si>
    <t>Kiểm tra import file có expected evidence trỏ vào requirement không tồn tại</t>
  </si>
  <si>
    <t xml:space="preserve">1. Mở màn Frameworks
2. Bấm Import framework
3. Chọn [file hợp lệ] đã sửa:
- Sheet Expected_Evidence: một dòng có requirement_code R.99, sheet Requirements không có R.99
4. Bấm Check file</t>
  </si>
  <si>
    <t xml:space="preserve">- Không import, hộp thoại hiện bảng lỗi
- Bảng lỗi có dòng của sheet Expected_Evidence</t>
  </si>
  <si>
    <t>expected_evidence_code bị trùng</t>
  </si>
  <si>
    <t>Kiểm tra import file có expected_evidence_code bị trùng</t>
  </si>
  <si>
    <t xml:space="preserve">1. Mở màn Frameworks
2. Bấm Import framework
3. Chọn [file hợp lệ] đã sửa:
- Sheet Expected_Evidence: hai dòng cùng expected_evidence_code EE-001
4. Bấm Check file</t>
  </si>
  <si>
    <t>Kiểm tra import file có mandatory sai giá trị</t>
  </si>
  <si>
    <t xml:space="preserve">1. Mở màn Frameworks
2. Bấm Import framework
3. Chọn [file hợp lệ] đã sửa:
- Sheet Expected_Evidence: một dòng có mandatory: YES
4. Bấm Check file</t>
  </si>
  <si>
    <t>Bỏ trống evidence_name</t>
  </si>
  <si>
    <t>Kiểm tra import file có expected evidence bỏ trống evidence_name</t>
  </si>
  <si>
    <t xml:space="preserve">1. Mở màn Frameworks
2. Bấm Import framework
3. Chọn [file hợp lệ] đã sửa:
- Sheet Expected_Evidence: một dòng để trống evidence_name
4. Bấm Check file</t>
  </si>
  <si>
    <t>Nhiều lỗi trong một file</t>
  </si>
  <si>
    <t>Kiểm tra import file có nhiều lỗi</t>
  </si>
  <si>
    <t xml:space="preserve">1. Mở màn Frameworks
2. Bấm Import framework
3. Chọn file bcm-2019.xlsx có đủ 3 lỗi: requirement_code R.9.4.2 trùng ở dòng 40 và 41; dòng 24 có mã cha R.9.9 không tồn tại; dòng 12 sheet Expected_Evidence trỏ vào dòng nhóm R.4
4. Bấm Check file
5. Bấm Cancel</t>
  </si>
  <si>
    <t xml:space="preserve">- Sau bước 4, hộp thoại hiện thông báo:
"3 errors in bcm-2019.xlsx"
"Nothing was imported. Fix these rows in Excel and upload the file again."
- Bảng lỗi 4 cột Sheet, Row, Column, Problem, có 3 dòng
- Có trường Corrected file *
- Sau bước 5: danh sách không có framework mới</t>
  </si>
  <si>
    <t>Kiểm tra huỷ nhập framework bằng Cancel</t>
  </si>
  <si>
    <t xml:space="preserve">1. Mở màn Frameworks
2. Bấm Import framework
3. Chọn [file hợp lệ]
4. Bấm Cancel</t>
  </si>
  <si>
    <t>Đã chọn file mà bấm Cancel có hỏi lại không → Q-F-19</t>
  </si>
  <si>
    <t>Kiểm tra đóng hộp thoại Import a framework bằng nút ×</t>
  </si>
  <si>
    <t xml:space="preserve">1. Mở màn Frameworks
2. Bấm Import framework
3. Chọn [file hợp lệ]
4. Bấm ×</t>
  </si>
  <si>
    <t>- Hộp thoại đóng, không import</t>
  </si>
  <si>
    <t>Kiểm tra nhấn Esc khi đang mở hộp thoại Import a framework</t>
  </si>
  <si>
    <t xml:space="preserve">1. Mở màn Frameworks
2. Bấm Import framework
3. Chọn [file hợp lệ]
4. Nhấn Esc</t>
  </si>
  <si>
    <t>Thiết kế không ghi; hệ thống đóng hộp thoại ngay → Q-F-19</t>
  </si>
  <si>
    <t>Bấm Cancel khi đang hiện bảng lỗi</t>
  </si>
  <si>
    <t>Kiểm tra mở lại hộp thoại sau khi huỷ ở bảng lỗi</t>
  </si>
  <si>
    <t xml:space="preserve">1. Mở màn Frameworks
2. Bấm Import framework
3. Chọn file bcm-2019.xlsx có lỗi, bấm Check file
4. Bấm Cancel
5. Bấm Import framework</t>
  </si>
  <si>
    <t xml:space="preserve">- Sau bước 4: hộp thoại đóng
- Sau bước 5: hộp thoại ở trạng thái ban đầu, không còn bảng lỗi và file đã chọn</t>
  </si>
  <si>
    <t>Thiết kế không ghi trạng thái khi mở lại → Q-F-19</t>
  </si>
  <si>
    <t>Kiểm tra thông tin framework vừa nhập</t>
  </si>
  <si>
    <t xml:space="preserve">1. Mở màn Frameworks
2. Bấm Import framework
3. Chọn file abc.xlsx điền theo file mẫu:
- Sheet Framework: framework_code: FW_ABC; framework_name: abc; version: 2026.1; issuing_body: abc; description: abc; effective_date: 2026-01-01
- Sheet Tiers: 3 tier
- Sheet Requirements, Expected_Evidence: không có lỗi
4. Bấm Check file
5. Kiểm tra màn hiện ra</t>
  </si>
  <si>
    <t xml:space="preserve">- Hộp thoại đóng, hiện màn bản nháp của framework vừa nhập
- Tiêu đề: abc
- Dòng phụ: FW_ABC · 2026.1 · abc
- Nhãn Draft · not active
- Khối Framework:
+ Code: FW_ABC
+ Issued by: abc
+ Version: 2026.1
+ Effective date: 01 Jan 2026
+ Description: abc
- Khối Tiers có 3 dòng</t>
  </si>
  <si>
    <t>Chưa bấm Check file với file hợp lệ trên hệ thống; mã nguồn prototype: chuyển sang màn bản nháp, hiện thông báo File check passed. Review the draft, then activate it. → Q-F-08; tên cột của sheet Tiers chưa có trong file mẫu ver 1 → Q-F-06</t>
  </si>
  <si>
    <t>Kiểm tra nhập framework không có tier</t>
  </si>
  <si>
    <t xml:space="preserve">1. Mở màn Frameworks
2. Bấm Import framework
3. Chọn file abc.xlsx điền theo file mẫu:
- Sheet Framework: framework_code: FW_ABC; framework_name: abc; version: 2026.1; issuing_body: abc; description: abc; effective_date: 2026-01-01
- Sheet Tiers: để trống
4. Bấm Check file</t>
  </si>
  <si>
    <t xml:space="preserve">- Hiện màn bản nháp của framework vừa nhập
- Không có khối Tiers</t>
  </si>
  <si>
    <t>Hộp thoại ghi Tiers (leave empty if the framework has no tiers); chưa xem được bản nháp không tier → Q-F-08</t>
  </si>
  <si>
    <t>Phiên bản mới của mã đã có</t>
  </si>
  <si>
    <t>Kiểm tra nhập phiên bản mới của framework đã có</t>
  </si>
  <si>
    <t>Đăng nhập account SGS Admin; có framework Active mã FW_ABC, version 2026.1</t>
  </si>
  <si>
    <t xml:space="preserve">1. Mở màn Frameworks
2. Bấm Import framework
3. Chọn file điền theo file mẫu, sheet Framework: framework_code: FW_ABC; version: 2026.2
4. Bấm Check file
5. Bấm ← để về màn Frameworks</t>
  </si>
  <si>
    <t xml:space="preserve">- Sau bước 4: hiện màn bản nháp FW_ABC · 2026.2
- Sau bước 5: danh sách có hai dòng mã FW_ABC:
+ Version 2026.1, nhãn Active
+ Version 2026.2, nhãn Draft · not active</t>
  </si>
  <si>
    <t>UC FWK-03: import để cập nhật framework có sẵn, content_version phải tăng, có bảng tóm tắt thay đổi; Figma: thêm thành bản riêng → Q-F-04</t>
  </si>
  <si>
    <t>Một requirement có nhiều expected evidence</t>
  </si>
  <si>
    <t>Kiểm tra nhập requirement có nhiều expected evidence</t>
  </si>
  <si>
    <t xml:space="preserve">1. Mở màn Frameworks
2. Bấm Import framework
3. Chọn file điền theo file mẫu, requirement R.1 có 3 dòng ở sheet Expected_Evidence: EE-001, EE-002, EE-003
4. Bấm Check file
5. Bấm R.1 ở khối Requirements</t>
  </si>
  <si>
    <t xml:space="preserve">- Import được, hiện màn bản nháp
- Phần Expected evidence của R.1 có 3 dòng: EE-001, EE-002, EE-003</t>
  </si>
  <si>
    <t>File mẫu xếp trường hợp này ở mức INFO (Import can continue); INFO hiện ở đâu trên màn → Q-F-06</t>
  </si>
  <si>
    <t>effective_date để trống</t>
  </si>
  <si>
    <t>Kiểm tra nhập framework không có effective_date</t>
  </si>
  <si>
    <t xml:space="preserve">1. Mở màn Frameworks
2. Bấm Import framework
3. Chọn file điền theo file mẫu, sheet Framework để trống effective_date
4. Bấm Check file</t>
  </si>
  <si>
    <t xml:space="preserve">- Hiện màn bản nháp
- Khối Framework: Effective date: Not set</t>
  </si>
  <si>
    <t>Tải file đã sửa sau khi báo lỗi</t>
  </si>
  <si>
    <t>Kiểm tra tải lại file đã sửa ở trường Corrected file</t>
  </si>
  <si>
    <t xml:space="preserve">1. Mở màn Frameworks
2. Bấm Import framework
3. Chọn file bcm-2019.xlsx có lỗi, bấm Check file
4. Ở trường Corrected file, chọn file đã sửa hết lỗi
5. Bấm Check file</t>
  </si>
  <si>
    <t>- Hiện màn bản nháp của framework trong file đã sửa</t>
  </si>
  <si>
    <t>Chưa bấm Check file với file hợp lệ trên hệ thống → Q-F-08</t>
  </si>
  <si>
    <t>Trùng mã và phiên bản</t>
  </si>
  <si>
    <t>Cùng mã, cùng version với bản Active</t>
  </si>
  <si>
    <t>Kiểm tra nhập file trùng mã và version với framework đang Active</t>
  </si>
  <si>
    <t xml:space="preserve">1. Mở màn Frameworks
2. Bấm Import framework
3. Chọn file điền theo file mẫu, sheet Framework: framework_code: FW_ABC; version: 2026.1
4. Bấm Check file</t>
  </si>
  <si>
    <t>Figma không nói; mã nguồn prototype báo lỗi “&lt;version&gt;” is already active. Use a new version name to import changes.; UC: khi cập nhật, content_version phải tăng → Q-F-04</t>
  </si>
  <si>
    <t>Cùng mã, cùng version với bản Draft</t>
  </si>
  <si>
    <t>Kiểm tra nhập file trùng mã và version với bản nháp đang có</t>
  </si>
  <si>
    <t>Đăng nhập account SGS Admin; có bản nháp mã FW_ABC, version 2026.2</t>
  </si>
  <si>
    <t xml:space="preserve">1. Mở màn Frameworks
2. Bấm Import framework
3. Chọn file điền theo file mẫu, sheet Framework: framework_code: FW_ABC; version: 2026.2
4. Bấm Check file</t>
  </si>
  <si>
    <t>Ghi đè bản nháp, tạo bản nháp thứ hai hay báo lỗi → Q-F-04</t>
  </si>
  <si>
    <t>Tổng số framework</t>
  </si>
  <si>
    <t>- Hiển thị &lt;n&gt; frameworks, n bằng tổng số framework trong bảng (cộng mọi trang)</t>
  </si>
  <si>
    <t>Theo mã</t>
  </si>
  <si>
    <t xml:space="preserve">- Bảng chỉ còn các framework có mã chứa [mã framework]
- Không phân biệt chữ hoa, chữ thường
- Dòng phân trang cập nhật theo số kết quả, ví dụ 1–1 of 1 items</t>
  </si>
  <si>
    <t>Dòng đếm &lt;n&gt; frameworks có đổi theo kết quả không (hệ thống giữ nguyên tổng) → Q-F-12</t>
  </si>
  <si>
    <t>Kiểm tra tìm theo một phần tên framework</t>
  </si>
  <si>
    <t xml:space="preserve">1. Mở màn Frameworks
2. Nhập [từ khóa] là một phần tên framework vào ô tìm kiếm</t>
  </si>
  <si>
    <t xml:space="preserve">- Bảng chỉ còn các framework có tên chứa [từ khóa]
- Không phân biệt chữ hoa, chữ thường
- Dòng phân trang cập nhật theo số kết quả</t>
  </si>
  <si>
    <t>Theo Issued by</t>
  </si>
  <si>
    <t>Kiểm tra tìm theo Issued by</t>
  </si>
  <si>
    <t xml:space="preserve">1. Mở màn Frameworks
2. Nhập [Issued by] vào ô tìm kiếm</t>
  </si>
  <si>
    <t xml:space="preserve">- Bảng chỉ còn các framework có Issued by chứa [Issued by]
- Không phân biệt chữ hoa, chữ thường</t>
  </si>
  <si>
    <t>Hanna thêm case. Ô ghi Search code or name; hệ thống tìm được cả theo Issued by (nhập MODA ra 2 dòng Appendix 10) → Q-F-12</t>
  </si>
  <si>
    <t>Theo Requirements</t>
  </si>
  <si>
    <t>Kiểm tra tìm theo số ở cột Requirements</t>
  </si>
  <si>
    <t xml:space="preserve">1. Mở màn Frameworks
2. Nhập [số Requirements] vào ô tìm kiếm</t>
  </si>
  <si>
    <t>Hanna thêm case. Chưa kiểm được trên hệ thống ô tìm có tìm theo số Requirements không; ô ghi Search code or name → Q-F-12</t>
  </si>
  <si>
    <t>Theo Status</t>
  </si>
  <si>
    <t xml:space="preserve">- Bảng chỉ còn các framework có Status chứa [Status]
- Không phân biệt chữ hoa, chữ thường</t>
  </si>
  <si>
    <t>Hanna thêm case. Hệ thống tìm được theo Status (nhập Active ra 7 dòng) nhưng nhập Basic không ra Tiers → Q-F-12</t>
  </si>
  <si>
    <t>Theo thời gian Updated</t>
  </si>
  <si>
    <t>Kiểm tra tìm theo thời gian ở cột Updated</t>
  </si>
  <si>
    <t>Hanna thêm case. Chưa kiểm được trên hệ thống ô tìm có tìm theo cột Updated không → Q-F-12</t>
  </si>
  <si>
    <t xml:space="preserve">1. Mở màn Frameworks
2. Nhập [từ khóa] viết hoa vào ô tìm kiếm</t>
  </si>
  <si>
    <t>- Kết quả giống khi nhập chữ thường, không phân biệt chữ hoa, chữ thường</t>
  </si>
  <si>
    <t>Có phân biệt hoa thường không (hệ thống không phân biệt) → Q-F-12</t>
  </si>
  <si>
    <t>Theo Version</t>
  </si>
  <si>
    <t>Kiểm tra tìm theo Version</t>
  </si>
  <si>
    <t xml:space="preserve">1. Mở màn Frameworks
2. Nhập [Version] vào ô tìm kiếm</t>
  </si>
  <si>
    <t>- Bảng chỉ còn các framework có Version chứa [Version]</t>
  </si>
  <si>
    <t>Ô ghi Search code or name; hệ thống tìm cả theo Version → Q-F-12</t>
  </si>
  <si>
    <t xml:space="preserve">1. Mở màn Frameworks
2. Nhập [từ khóa] không khớp framework nào vào ô tìm kiếm</t>
  </si>
  <si>
    <t xml:space="preserve">1. Mở màn Frameworks
2. Nhập ' OR 1=1 -- vào ô tìm kiếm</t>
  </si>
  <si>
    <t>Khoảng trắng ở đầu và cuối</t>
  </si>
  <si>
    <t>Kiểm tra tìm kiếm khi từ khoá có khoảng trắng ở đầu và cuối</t>
  </si>
  <si>
    <t xml:space="preserve">1. Mở màn Frameworks
2. Nhập [mã framework] có dấu cách ở đầu và cuối vào ô tìm kiếm</t>
  </si>
  <si>
    <t xml:space="preserve">Hệ thống không bỏ khoảng trắng: nhập '  iso 22301  ' ra No results → Q-F-12</t>
  </si>
  <si>
    <t xml:space="preserve">1. Mở màn Frameworks
2. Nhập [từ khóa]
3. Xoá hết nội dung ô tìm kiếm</t>
  </si>
  <si>
    <t xml:space="preserve">- Bảng hiển thị lại toàn bộ framework
- Dòng phân trang trở về như lúc mở màn</t>
  </si>
  <si>
    <t xml:space="preserve">- Các cột theo thứ tự:
+ Framework
+ Version
+ Issued by
+ Tiers
+ Requirements
+ Status
+ Updated
- Cột cuối là icon tải, không có tiêu đề</t>
  </si>
  <si>
    <t>UC FWK-01 có thêm standard edition, content version, content level, affiliates → Q-F-01</t>
  </si>
  <si>
    <t>Framework ban đầu</t>
  </si>
  <si>
    <t>Kiểm tra các framework có sẵn ban đầu</t>
  </si>
  <si>
    <t xml:space="preserve">1. Mở màn Frameworks
2. Kiểm tra cột Framework</t>
  </si>
  <si>
    <t xml:space="preserve">- Danh sách có:
+ ISO/IEC 27001
+ ISO/IEC 42001
+ CSMA (Appendix 10)</t>
  </si>
  <si>
    <t>UC gọi CSMA (Appendix 10), hệ thống ghi Security Baselines for ICT Systems (Appendix 10); hệ thống có thêm ISO 22301, ISO/IEC 27701, TISAX → Q-F-01</t>
  </si>
  <si>
    <t>Cột Framework</t>
  </si>
  <si>
    <t>Kiểm tra cột Framework</t>
  </si>
  <si>
    <t xml:space="preserve">1. Mở màn Frameworks
2. Kiểm tra từng dòng ở cột Framework</t>
  </si>
  <si>
    <t xml:space="preserve">- Tên framework dạng liên kết
- Dưới tên là mã framework, ví dụ ISO_IEC_27001</t>
  </si>
  <si>
    <t>Cột Tiers — có tier</t>
  </si>
  <si>
    <t>Kiểm tra cột Tiers của framework có tier</t>
  </si>
  <si>
    <t>Đăng nhập account SGS Admin; có [Framework Active] có tier</t>
  </si>
  <si>
    <t xml:space="preserve">1. Mở màn Frameworks
2. Kiểm tra cột Tiers của [Framework Active] có tier</t>
  </si>
  <si>
    <t>- Tên các tier nối bằng dấu ·, theo thứ tự từ thấp lên cao, ví dụ Basic · Medium · High</t>
  </si>
  <si>
    <t>Cột Tiers — không tier</t>
  </si>
  <si>
    <t>Kiểm tra cột Tiers của framework không tier</t>
  </si>
  <si>
    <t>Đăng nhập account SGS Admin; có [Framework Active không tier]</t>
  </si>
  <si>
    <t xml:space="preserve">1. Mở màn Frameworks
2. Kiểm tra cột Tiers của [Framework Active không tier]</t>
  </si>
  <si>
    <t>- Hiển thị: —</t>
  </si>
  <si>
    <t>Cột Requirements</t>
  </si>
  <si>
    <t>Kiểm tra cột Requirements khớp với màn chi tiết</t>
  </si>
  <si>
    <t xml:space="preserve">1. Mở màn Frameworks
2. Ghi số ở cột Requirements của [Framework Active]
3. Bấm tên [Framework Active], xem khối Content</t>
  </si>
  <si>
    <t>Cột Status — Active</t>
  </si>
  <si>
    <t>Kiểm tra cột Status của framework Active</t>
  </si>
  <si>
    <t xml:space="preserve">1. Mở màn Frameworks
2. Kiểm tra cột Status của [Framework Active]</t>
  </si>
  <si>
    <t>- Nhãn Active có dấu tích xanh</t>
  </si>
  <si>
    <t>Cột Status — Draft</t>
  </si>
  <si>
    <t>Kiểm tra cột Status của bản nháp</t>
  </si>
  <si>
    <t xml:space="preserve">1. Mở màn Frameworks
2. Kiểm tra cột Status của [Framework Draft]</t>
  </si>
  <si>
    <t>- Nhãn Draft · not active</t>
  </si>
  <si>
    <t>Cột Updated</t>
  </si>
  <si>
    <t>Kiểm tra định dạng cột Updated</t>
  </si>
  <si>
    <t xml:space="preserve">1. Mở màn Frameworks
2. Kiểm tra cột Updated</t>
  </si>
  <si>
    <t xml:space="preserve">- Ngày dạng DD Mon YYYY, ví dụ 14 Aug 2025
- Dòng cập nhật trong ngày hiển thị Today, hh:mm</t>
  </si>
  <si>
    <t>Định dạng lấy từ hệ thống; Updated là ngày nhập, ngày kích hoạt hay ngày sửa → Q-F-01</t>
  </si>
  <si>
    <t>Hai phiên bản của cùng mã</t>
  </si>
  <si>
    <t>Kiểm tra hiển thị hai phiên bản của cùng một framework</t>
  </si>
  <si>
    <t>Đăng nhập account SGS Admin; có hai phiên bản của cùng một mã framework</t>
  </si>
  <si>
    <t xml:space="preserve">1. Mở màn Frameworks
2. Kiểm tra các dòng có cùng mã framework</t>
  </si>
  <si>
    <t>- Mỗi phiên bản một dòng, cùng tên và mã, khác cột Version</t>
  </si>
  <si>
    <t xml:space="preserve">1. Mở màn Frameworks
2. Kiểm tra thứ tự các dòng</t>
  </si>
  <si>
    <t xml:space="preserve">- Bản Draft đứng đầu
- Các dòng còn lại xếp theo mã framework từ A đến Z; cùng mã thì phiên bản cập nhật mới hơn đứng trước</t>
  </si>
  <si>
    <t>Hanna ghi mặc định là cũ nhất xuống mới nhất; hệ thống: Draft trước, rồi theo mã A-Z, cùng mã thì bản mới hơn trước. Figma, UC không nêu → Q-F-13</t>
  </si>
  <si>
    <t>Cột Framework — bấm lần 1</t>
  </si>
  <si>
    <t>Kiểm tra sắp xếp tăng dần theo tên framework</t>
  </si>
  <si>
    <t xml:space="preserve">1. Mở màn Frameworks
2. Bấm tiêu đề cột Framework</t>
  </si>
  <si>
    <t>- Các dòng xếp theo tên framework từ A đến Z</t>
  </si>
  <si>
    <t>Figma không có icon sắp xếp → Q-F-13</t>
  </si>
  <si>
    <t>Cột Framework — bấm lần 2</t>
  </si>
  <si>
    <t>Kiểm tra sắp xếp giảm dần theo tên framework</t>
  </si>
  <si>
    <t xml:space="preserve">1. Mở màn Frameworks
2. Bấm tiêu đề cột Framework hai lần</t>
  </si>
  <si>
    <t>- Các dòng xếp theo tên framework từ Z đến A</t>
  </si>
  <si>
    <t>Cột Framework — bấm lần 3</t>
  </si>
  <si>
    <t>Kiểm tra bỏ sắp xếp sau lần bấm thứ ba</t>
  </si>
  <si>
    <t xml:space="preserve">1. Mở màn Frameworks
2. Bấm tiêu đề cột Framework ba lần</t>
  </si>
  <si>
    <t>- Các dòng trở về thứ tự mặc định</t>
  </si>
  <si>
    <t>Hệ thống có ba trạng thái: tăng, giảm, bỏ sắp xếp → Q-F-13</t>
  </si>
  <si>
    <t>Cột Version</t>
  </si>
  <si>
    <t>Kiểm tra sắp xếp theo cột Version</t>
  </si>
  <si>
    <t xml:space="preserve">1. Mở màn Frameworks
2. Bấm tiêu đề cột Version
3. Bấm tiêu đề cột Version lần nữa</t>
  </si>
  <si>
    <t xml:space="preserve">- Sau bước 2: xếp theo Version tăng dần theo chữ, ví dụ 2013 trước 2019, ISA 6.0 ở cuối
- Sau bước 3: xếp giảm dần</t>
  </si>
  <si>
    <t>Version được so như chữ, không theo năm → Q-F-13</t>
  </si>
  <si>
    <t>Cột Issued by</t>
  </si>
  <si>
    <t>Kiểm tra sắp xếp theo cột Issued by</t>
  </si>
  <si>
    <t xml:space="preserve">1. Mở màn Frameworks
2. Bấm tiêu đề cột Issued by
3. Bấm tiêu đề cột Issued by lần nữa</t>
  </si>
  <si>
    <t xml:space="preserve">- Sau bước 2: xếp theo Issued by từ A đến Z
- Sau bước 3: từ Z đến A</t>
  </si>
  <si>
    <t>Kiểm tra sắp xếp theo cột Requirements</t>
  </si>
  <si>
    <t xml:space="preserve">1. Mở màn Frameworks
2. Bấm tiêu đề cột Requirements
3. Bấm tiêu đề cột Requirements lần nữa</t>
  </si>
  <si>
    <t xml:space="preserve">- Sau bước 2: xếp theo số tăng dần, ví dụ 31 trước 114
- Sau bước 3: xếp theo số giảm dần</t>
  </si>
  <si>
    <t>Hover vào biểu tượng tải</t>
  </si>
  <si>
    <t>Kiểm tra hiển thị khi hover vào icon tải</t>
  </si>
  <si>
    <t xml:space="preserve">1. Mở màn Frameworks
2. Hover vào icon tải ở cuối dòng của [Framework Active]</t>
  </si>
  <si>
    <t xml:space="preserve">- Hiển thị nhãn:
"Download source file of &lt;tên ngắn&gt; · &lt;version&gt;"</t>
  </si>
  <si>
    <t>UC không nêu icon tải file nguồn → Q-F-11</t>
  </si>
  <si>
    <t>Kiểm tra bấm icon tải ở một dòng</t>
  </si>
  <si>
    <t xml:space="preserve">1. Mở màn Frameworks
2. Bấm icon tải ở cuối dòng của [Framework Active]</t>
  </si>
  <si>
    <t>- Tải về file .xlsx đã dùng để nhập phiên bản đó</t>
  </si>
  <si>
    <t>Prototype chỉ hiện thông báo "&lt;file&gt; would download here. The prototype has no real files." (Hanna ghi &lt;version&gt; trong thông báo); bản thật có tải file .xlsx đã nhập không → Q-F-11</t>
  </si>
  <si>
    <t xml:space="preserve">- Items per page mặc định là 10
- Dòng 1–&lt;n&gt; of &lt;n&gt; items</t>
  </si>
  <si>
    <t>Figma: 1–6 of 6 items · Page 1 of 1. Hệ thống: Items per page 10 · 1–8 of 8 items · [1] of 1 page · ‹ › → Q-F-20</t>
  </si>
  <si>
    <t>Các giá trị Items per page</t>
  </si>
  <si>
    <t xml:space="preserve">1. Mở màn Frameworks
2. Bấm vào Items per page
3. Kiểm tra các lựa chọn</t>
  </si>
  <si>
    <t xml:space="preserve">- Hiển thị các giá trị:
+ 10
+ 25
+ 50
+ 100</t>
  </si>
  <si>
    <t>Figma không có Items per page → Q-F-20</t>
  </si>
  <si>
    <t>Chọn 25</t>
  </si>
  <si>
    <t>Đăng nhập account SGS Admin; có 11 framework</t>
  </si>
  <si>
    <t xml:space="preserve">1. Mở màn Frameworks
2. Mở Items per page
3. Chọn 25</t>
  </si>
  <si>
    <t>- Bảng hiển thị đủ 11 framework trên một trang</t>
  </si>
  <si>
    <t>Có cho chọn số dòng không; giá trị 10/25/50/100 theo hệ thống → Q-F-20</t>
  </si>
  <si>
    <t>Đăng nhập account SGS Admin; có từ 10 framework trở xuống</t>
  </si>
  <si>
    <t xml:space="preserve">1. Mở màn Frameworks
2. Kiểm tra hai nút ‹ ›</t>
  </si>
  <si>
    <t>Figma không có nút chuyển trang → Q-F-20</t>
  </si>
  <si>
    <t xml:space="preserve">1. Mở màn Frameworks
2. Bấm nút ›</t>
  </si>
  <si>
    <t xml:space="preserve">- Bảng hiển thị framework thứ 11
- Dòng phân trang: 11–11 of 11 items</t>
  </si>
  <si>
    <t>Số dòng mỗi trang mặc định theo hệ thống → Q-F-20</t>
  </si>
  <si>
    <t>Kiểm tra phần đầu màn bản nháp</t>
  </si>
  <si>
    <t xml:space="preserve">1. Mở màn Frameworks
2. Bấm tên [Framework Draft]
3. Kiểm tra phần đầu trang, từ trái sang phải</t>
  </si>
  <si>
    <t xml:space="preserve">- Nút quay lại ←
- Tiêu đề: tên framework
- Dòng phụ: &lt;mã&gt; · &lt;version&gt; · &lt;issuing body&gt;
- Nhãn Draft · not active
- Nút Discard draft và nút Activate
- Không có nút ⋮</t>
  </si>
  <si>
    <t>Kiểm tra nút quay lại ở màn bản nháp</t>
  </si>
  <si>
    <t xml:space="preserve">1. Mở màn Frameworks
2. Bấm tên [Framework Draft]
3. Bấm nút ←</t>
  </si>
  <si>
    <t>Kiểm tra cột điều hướng bên trái của bản nháp có tier</t>
  </si>
  <si>
    <t xml:space="preserve">1. Mở màn Frameworks
2. Bấm tên [Framework Draft]
3. Kiểm tra cột bên trái</t>
  </si>
  <si>
    <t xml:space="preserve">- Ba mục theo thứ tự:
+ Framework
+ Tiers
+ Requirements
- Mục Framework được tô nền khi mới mở</t>
  </si>
  <si>
    <t>Kiểm tra cột điều hướng bên trái của bản nháp không tier</t>
  </si>
  <si>
    <t>Đăng nhập account SGS Admin; có bản nháp không tier</t>
  </si>
  <si>
    <t xml:space="preserve">1. Mở màn Frameworks
2. Bấm tên bản nháp không tier
3. Kiểm tra cột bên trái</t>
  </si>
  <si>
    <t>- Không có mục Tiers</t>
  </si>
  <si>
    <t>Chưa có bản nháp không tier để xem trên hệ thống → Q-F-08</t>
  </si>
  <si>
    <t>Requirements</t>
  </si>
  <si>
    <t xml:space="preserve">1. Mở màn Frameworks
2. Bấm tên [Framework Draft]
3. Bấm Requirements ở cột bên trái</t>
  </si>
  <si>
    <t xml:space="preserve">- Mục Requirements được tô nền
- Trang cuộn tới khối Requirements</t>
  </si>
  <si>
    <t>Khối Framework</t>
  </si>
  <si>
    <t>Kiểm tra khối Framework của bản nháp</t>
  </si>
  <si>
    <t xml:space="preserve">1. Mở màn Frameworks
2. Bấm tên [Framework Draft]
3. Kiểm tra khối số 1 Framework</t>
  </si>
  <si>
    <t xml:space="preserve">- Tiêu đề khối: Framework, dòng phụ: From the Framework sheet
- Các trường:
+ Code
+ Issued by
+ Version
+ Effective date
+ Description</t>
  </si>
  <si>
    <t>Khối Tiers</t>
  </si>
  <si>
    <t>Kiểm tra khối Tiers của bản nháp</t>
  </si>
  <si>
    <t>Đăng nhập account SGS Admin; có [Framework Draft] có tier</t>
  </si>
  <si>
    <t xml:space="preserve">1. Mở màn Frameworks
2. Bấm tên [Framework Draft]
3. Kiểm tra khối số 2 Tiers</t>
  </si>
  <si>
    <t xml:space="preserve">- Tiêu đề khối: Tiers, dòng phụ:
"Higher tiers include every requirement of the tiers below"
- Bảng 5 cột theo thứ tự:
+ Code
+ Tier
+ Rank
+ New at this tier
+ Total to meet
- Mỗi tier một dòng, xếp theo Rank</t>
  </si>
  <si>
    <t>Giá trị tính toán</t>
  </si>
  <si>
    <t>Total to meet của bản nháp</t>
  </si>
  <si>
    <t>Kiểm tra Total to meet ở khối Tiers của bản nháp</t>
  </si>
  <si>
    <t xml:space="preserve">1. Mở màn Frameworks
2. Bấm tên [Framework Draft]
3. Kiểm tra từng dòng ở khối số 2 Tiers</t>
  </si>
  <si>
    <t xml:space="preserve">- Tier thấp nhất: Total to meet = New at this tier
- Các tier còn lại: Total to meet = Total to meet của tier ngay dưới + New at this tier
- Total to meet của tier cao nhất bằng số requirements ở khối số 3 Requirements</t>
  </si>
  <si>
    <t>Công thức như ở Chi tiết framework; Figma bản amended ghi 18 và 79 → Q-F-10</t>
  </si>
  <si>
    <t>Khối Requirements</t>
  </si>
  <si>
    <t>Kiểm tra khối Requirements của bản nháp</t>
  </si>
  <si>
    <t xml:space="preserve">1. Mở màn Frameworks
2. Bấm tên [Framework Draft]
3. Kiểm tra khối số 3 Requirements</t>
  </si>
  <si>
    <t xml:space="preserve">- Tiêu đề khối: Requirements
- Dòng tóm tắt dạng: &lt;n&gt; dimensions · &lt;n&gt; control measures · &lt;n&gt; requirements · &lt;n&gt; expected evidence items
- Có ô tìm kiếm, ô lọc tier và cây requirement</t>
  </si>
  <si>
    <t>Chi tiết requirement</t>
  </si>
  <si>
    <t>Kiểm tra phần chi tiết requirement ở bản nháp</t>
  </si>
  <si>
    <t xml:space="preserve">1. Mở màn Frameworks
2. Bấm tên [Framework Draft]
3. Bấm một requirement ở khối Requirements</t>
  </si>
  <si>
    <t xml:space="preserve">- Bên phải cây hiển thị:
+ Dòng: &lt;mã&gt; · &lt;tên control measure&gt;
+ Tiêu đề và nhãn tier
+ Mô tả
+ Applies to
+ Source
+ Expected evidence: mỗi dòng mã · tên, mô tả, nhãn Mandatory</t>
  </si>
  <si>
    <t>Figma chưa vẽ phần này ở bản nháp; hệ thống hiện dạng gọn hơn tab Requirements (không có breadcrumb, Not required for, Sort order) → Q-F-09</t>
  </si>
  <si>
    <t>Khung bên phải - Aside</t>
  </si>
  <si>
    <t>Kết quả kiểm file</t>
  </si>
  <si>
    <t>Kiểm tra khung Import bên phải</t>
  </si>
  <si>
    <t xml:space="preserve">1. Mở màn Frameworks
2. Bấm tên [Framework Draft]
3. Kiểm tra khung bên phải</t>
  </si>
  <si>
    <t xml:space="preserve">- Tiêu đề: Import
- Khung thông báo màu xanh:
"File check passed"
"No errors. The draft is ready to activate."</t>
  </si>
  <si>
    <t xml:space="preserve">1. Mở màn Frameworks
2. Bấm tên [Framework Draft]
3. Kiểm tra khung After activation</t>
  </si>
  <si>
    <t xml:space="preserve">- Nội dung có các câu:
"Customers can activate this framework on their scopes"
"Requirements can’t be edited in the platform; import a new version to change them."</t>
  </si>
  <si>
    <t>Câu về tier khác nhau: Figma ghi SGS assigns each scope a tier, hệ thống ghi …and choose the tier → Q-F-07</t>
  </si>
  <si>
    <t>FWK-06</t>
  </si>
  <si>
    <t>Bấm Discard draft</t>
  </si>
  <si>
    <t>Kiểm tra mở hộp thoại Discard draft?</t>
  </si>
  <si>
    <t xml:space="preserve">1. Mở màn Frameworks
2. Bấm tên [Framework Draft]
3. Bấm Discard draft</t>
  </si>
  <si>
    <t xml:space="preserve">- Mở hộp thoại tiêu đề Discard draft?, có nút đóng ×
- Nội dung:
"The imported draft of &lt;tên ngắn&gt; · &lt;version&gt; is removed. Customers never saw it. You can import the file again later."
- Có nút Cancel và nút Discard draft màu đỏ</t>
  </si>
  <si>
    <t>UC không nêu huỷ bản nháp; Figma có nút nhưng chưa vẽ hộp thoại → Q-F-11</t>
  </si>
  <si>
    <t>Kiểm tra huỷ thao tác Discard draft bằng Cancel</t>
  </si>
  <si>
    <t xml:space="preserve">1. Mở màn Frameworks
2. Bấm tên [Framework Draft]
3. Bấm Discard draft
4. Bấm Cancel</t>
  </si>
  <si>
    <t xml:space="preserve">- Hộp thoại đóng
- Vẫn ở màn bản nháp, nhãn Draft · not active giữ nguyên</t>
  </si>
  <si>
    <t>Discard draft thuộc UC nào → Q-F-11</t>
  </si>
  <si>
    <t>Kiểm tra đóng hộp thoại Discard draft? bằng nút ×</t>
  </si>
  <si>
    <t xml:space="preserve">1. Mở màn Frameworks
2. Bấm tên [Framework Draft]
3. Bấm Discard draft
4. Bấm ×</t>
  </si>
  <si>
    <t>- Hộp thoại đóng, bản nháp giữ nguyên</t>
  </si>
  <si>
    <t>Kiểm tra nhấn Esc khi đang mở hộp thoại Discard draft?</t>
  </si>
  <si>
    <t xml:space="preserve">1. Mở màn Frameworks
2. Bấm tên [Framework Draft]
3. Bấm Discard draft
4. Nhấn Esc</t>
  </si>
  <si>
    <t>Kiểm tra huỷ bản nháp</t>
  </si>
  <si>
    <t xml:space="preserve">1. Mở màn Frameworks
2. Bấm tên [Framework Draft]
3. Bấm Discard draft
4. Bấm Discard draft trong hộp thoại
5. Mở màn Frameworks</t>
  </si>
  <si>
    <t xml:space="preserve">- Hộp thoại đóng
- Danh sách không còn dòng của [Framework Draft]</t>
  </si>
  <si>
    <t>Chưa bấm thử; mã nguồn prototype: về màn Frameworks, hiện thông báo Draft discarded. Nothing was published. → Q-F-08; Discard draft thuộc UC nào → Q-F-11</t>
  </si>
  <si>
    <t>Kích hoạt - Activate framework</t>
  </si>
  <si>
    <t>Kiểm tra mở hộp thoại Activate framework</t>
  </si>
  <si>
    <t xml:space="preserve">1. Mở màn Frameworks
2. Bấm tên [Framework Draft]
3. Bấm Activate</t>
  </si>
  <si>
    <t xml:space="preserve">- Mở hộp thoại tiêu đề Activate framework, có nút đóng ×
- Câu hỏi: Activate &lt;tên framework&gt; · &lt;version&gt;?
- Có dòng: Customers can activate it on their scopes.
- Có dòng: The content is locked. Changes need a new version.
- Có một dòng về cách chọn tier
- Có nút Cancel và nút Activate framework</t>
  </si>
  <si>
    <t>Dòng về tier: Figma ghi SGS assigns each scope a tier: Basic, Medium or High.; hệ thống ghi Each customer chooses the tier of their scope: Basic, Medium or High. → Q-F-07</t>
  </si>
  <si>
    <t>Kiểm tra hộp thoại Activate framework của bản nháp không tier</t>
  </si>
  <si>
    <t xml:space="preserve">1. Mở màn Frameworks
2. Bấm tên bản nháp không tier
3. Bấm Activate</t>
  </si>
  <si>
    <t>Chưa có bản nháp không tier để xem; mã nguồn prototype: bỏ dòng về tier → Q-F-07, Q-F-08</t>
  </si>
  <si>
    <t>Chưa có Active retention policy</t>
  </si>
  <si>
    <t>Kiểm tra kích hoạt khi framework chưa có Active retention policy</t>
  </si>
  <si>
    <t>Đăng nhập account SGS Admin; có [Framework Draft]; [Framework Draft] chưa có Active retention policy (CFG-01)</t>
  </si>
  <si>
    <t xml:space="preserve">1. Mở màn Frameworks
2. Bấm tên [Framework Draft]
3. Bấm Activate
4. Bấm Activate framework</t>
  </si>
  <si>
    <t>- Không kích hoạt, framework vẫn ở trạng thái Draft · not active</t>
  </si>
  <si>
    <t>Màn báo gì chưa có; Figma và hệ thống không có bước kiểm này, trang Settings ghi This page has no design yet → Q-F-07</t>
  </si>
  <si>
    <t>Kiểm tra huỷ kích hoạt bằng Cancel</t>
  </si>
  <si>
    <t xml:space="preserve">1. Mở màn Frameworks
2. Bấm tên [Framework Draft]
3. Bấm Activate
4. Bấm Cancel</t>
  </si>
  <si>
    <t xml:space="preserve">- Hộp thoại đóng
- Nhãn Draft · not active giữ nguyên, vẫn có nút Activate</t>
  </si>
  <si>
    <t>Kiểm tra đóng hộp thoại Activate framework bằng nút ×</t>
  </si>
  <si>
    <t xml:space="preserve">1. Mở màn Frameworks
2. Bấm tên [Framework Draft]
3. Bấm Activate
4. Bấm ×</t>
  </si>
  <si>
    <t>- Hộp thoại đóng, framework vẫn ở trạng thái Draft · not active</t>
  </si>
  <si>
    <t>Figma chỉ vẽ nút Cancel và Activate framework → Q-F-19</t>
  </si>
  <si>
    <t>Kiểm tra nhấn Esc khi đang mở hộp thoại Activate framework</t>
  </si>
  <si>
    <t xml:space="preserve">1. Mở màn Frameworks
2. Bấm tên [Framework Draft]
3. Bấm Activate
4. Nhấn Esc</t>
  </si>
  <si>
    <t>Kích hoạt bản nháp</t>
  </si>
  <si>
    <t>Kiểm tra kích hoạt framework</t>
  </si>
  <si>
    <t>Đăng nhập account SGS Admin; có [Framework Draft]; [Framework Draft] đã có Active retention policy (CFG-01)</t>
  </si>
  <si>
    <t xml:space="preserve">- Hộp thoại đóng
- Nhãn trạng thái đổi thành Active
- Không còn nút Discard draft và Activate</t>
  </si>
  <si>
    <t>Chưa bấm thử; mã nguồn prototype: ở lại trang, hiện thông báo &lt;tên ngắn&gt; · &lt;version&gt; is active. Customers can now activate it on their scopes. → Q-F-08; chưa có màn gán retention policy → Q-F-07</t>
  </si>
  <si>
    <t>Khách hàng thấy framework vừa kích hoạt</t>
  </si>
  <si>
    <t>Kiểm tra khách hàng thấy framework vừa kích hoạt</t>
  </si>
  <si>
    <t>Đăng nhập account SGS Admin; có [Framework Draft]; [Framework Draft] đã có Active retention policy (CFG-01); mã của [Framework Draft] chưa có phiên bản Active nào</t>
  </si>
  <si>
    <t xml:space="preserve">1. Mở màn Frameworks, bấm tên [Framework Draft], bấm Activate, bấm Activate framework
2. Đăng xuất, đăng nhập account Customer Admin
3. Mở chi tiết một scope ở màn Scopes, bấm Link framework
4. Mở danh sách Framework</t>
  </si>
  <si>
    <t>- Danh sách có [Framework Draft] vừa kích hoạt</t>
  </si>
  <si>
    <t>Chưa bấm thử → Q-F-08</t>
  </si>
  <si>
    <t>Bản nháp không hiện với khách hàng</t>
  </si>
  <si>
    <t>Kiểm tra khách hàng không thấy phiên bản đang là bản nháp</t>
  </si>
  <si>
    <t>Đăng nhập account Customer Admin; có [Framework Draft] là phiên bản mới của một framework đang Active</t>
  </si>
  <si>
    <t xml:space="preserve">1. Mở chi tiết một scope ở màn Scopes, bấm Link framework
2. Chọn framework cùng mã với [Framework Draft]
3. Mở danh sách Version</t>
  </si>
  <si>
    <t xml:space="preserve">- Danh sách Version không có phiên bản của [Framework Draft]
- Dưới trường có ghi chú:
"Only active versions are listed."</t>
  </si>
  <si>
    <t>Phiên bản mới của mã đã có bản Active</t>
  </si>
  <si>
    <t>Kiểm tra phiên bản cũ sau khi kích hoạt phiên bản mới</t>
  </si>
  <si>
    <t>Đăng nhập account SGS Admin; có [Framework Draft]; [Framework Draft] đã có Active retention policy (CFG-01); [Framework Draft] là phiên bản mới của [Framework Active] cùng mã</t>
  </si>
  <si>
    <t xml:space="preserve">1. Mở màn Frameworks
2. Bấm tên [Framework Draft]
3. Bấm Activate, bấm Activate framework
4. Mở màn Frameworks, xem các dòng cùng mã</t>
  </si>
  <si>
    <t>Phiên bản cũ vẫn Active hay đổi trạng thái; hệ thống đang có ISO/IEC 27001 · 2022 và 2013 cùng Active → Q-F-04, Q-F-02</t>
  </si>
  <si>
    <t>Kiểm tra phần đầu màn chi tiết framework</t>
  </si>
  <si>
    <t xml:space="preserve">1. Mở màn Frameworks
2. Bấm tên [Framework Active]
3. Kiểm tra phần đầu trang, từ trái sang phải</t>
  </si>
  <si>
    <t xml:space="preserve">- Nút quay lại ←
- Tiêu đề: tên framework
- Dòng phụ: &lt;mã&gt; · &lt;version&gt; · &lt;issuing body&gt;
- Nhãn Active
- Nút ⋮ ở góc phải
- Không có nút Discard draft, Activate</t>
  </si>
  <si>
    <t>Framework_119</t>
  </si>
  <si>
    <t>Kiểm tra nút quay lại ở màn chi tiết</t>
  </si>
  <si>
    <t xml:space="preserve">1. Mở màn Frameworks
2. Bấm tên [Framework Active]
3. Bấm nút ←</t>
  </si>
  <si>
    <t>Framework_120</t>
  </si>
  <si>
    <t>Kiểm tra menu ⋮ của framework</t>
  </si>
  <si>
    <t xml:space="preserve">1. Mở màn Frameworks
2. Bấm tên [Framework Active]
3. Bấm nút ⋮</t>
  </si>
  <si>
    <t>- Menu chỉ có một mục: Import new version</t>
  </si>
  <si>
    <t>Figma vẽ nút ⋮ nhưng chưa vẽ nội dung menu → Q-F-05</t>
  </si>
  <si>
    <t>Bấm Import new version</t>
  </si>
  <si>
    <t>Framework_121</t>
  </si>
  <si>
    <t>Kiểm tra mục Import new version trong menu ⋮</t>
  </si>
  <si>
    <t xml:space="preserve">1. Mở màn Frameworks
2. Bấm tên [Framework Active]
3. Bấm nút ⋮
4. Bấm Import new version</t>
  </si>
  <si>
    <t xml:space="preserve">- Chuyển về màn Frameworks, mở hộp thoại Import a framework
- Hộp thoại không ghi framework đang xem</t>
  </si>
  <si>
    <t>UC FWK-03 cho cập nhật framework có sẵn; hộp thoại không gắn với framework đang xem → Q-F-05</t>
  </si>
  <si>
    <t>Framework_122</t>
  </si>
  <si>
    <t>Kiểm tra cột điều hướng bên trái của framework Active</t>
  </si>
  <si>
    <t xml:space="preserve">1. Mở màn Frameworks
2. Bấm tên [Framework Active]
3. Kiểm tra cột bên trái</t>
  </si>
  <si>
    <t xml:space="preserve">- Ba mục theo thứ tự:
+ Overview
+ Requirements
+ Other versions
- Mục Overview được tô nền khi mới mở</t>
  </si>
  <si>
    <t>Other versions có nhãn No design yet; UC FWK-02 có tab Bulk settings, History → Q-F-03</t>
  </si>
  <si>
    <t>Requirements, Overview</t>
  </si>
  <si>
    <t>Framework_123</t>
  </si>
  <si>
    <t xml:space="preserve">1. Mở màn Frameworks
2. Bấm tên [Framework Active]
3. Bấm Requirements
4. Bấm Overview</t>
  </si>
  <si>
    <t xml:space="preserve">- Sau bước 3: hiện phần Requirements, mục Requirements được tô nền
- Sau bước 4: hiện lại phần Overview</t>
  </si>
  <si>
    <t>Framework_124</t>
  </si>
  <si>
    <t xml:space="preserve">1. Mở màn Frameworks
2. Bấm tên [Framework Active]
3. Kiểm tra khối số 1 Framework</t>
  </si>
  <si>
    <t xml:space="preserve">- Tiêu đề khối: Framework, dòng phụ: From the Framework sheet
- Các trường:
+ Code
+ Issued by
+ Version
+ Effective date, dạng DD Mon YYYY, ví dụ 01 Sep 2022
+ Description</t>
  </si>
  <si>
    <t>UC FWK-02 có applicability settings ở Overview; Figma, hệ thống không có → Q-F-03</t>
  </si>
  <si>
    <t>Khối Tiers — có tier</t>
  </si>
  <si>
    <t>Framework_125</t>
  </si>
  <si>
    <t xml:space="preserve">1. Mở màn Frameworks
2. Bấm tên [Framework Active] có tier
3. Kiểm tra khối số 2 Tiers</t>
  </si>
  <si>
    <t xml:space="preserve">- Tiêu đề khối: Tiers, dòng phụ:
"Higher tiers include every requirement of the tiers below"
- Bảng 5 cột theo thứ tự:
+ Code
+ Tier
+ Rank
+ New at this tier
+ Total to meet</t>
  </si>
  <si>
    <t>Khối Tiers — không tier</t>
  </si>
  <si>
    <t>Framework_126</t>
  </si>
  <si>
    <t xml:space="preserve">1. Mở màn Frameworks
2. Bấm tên [Framework Active không tier]
3. Kiểm tra tab Overview</t>
  </si>
  <si>
    <t xml:space="preserve">- Không có khối Tiers
- Khối Content mang số 2</t>
  </si>
  <si>
    <t>Figma chỉ vẽ loại có tier → Q-F-21</t>
  </si>
  <si>
    <t>Khối Content — có control measure</t>
  </si>
  <si>
    <t>Framework_127</t>
  </si>
  <si>
    <t>Kiểm tra khối Content của framework có control measure</t>
  </si>
  <si>
    <t>Đăng nhập account SGS Admin; có [Framework Active] có control measure</t>
  </si>
  <si>
    <t xml:space="preserve">1. Mở màn Frameworks
2. Bấm tên [Framework Active] có control measure
3. Kiểm tra khối Content</t>
  </si>
  <si>
    <t xml:space="preserve">- Tiêu đề khối: Content, dòng phụ: What the file contains
- 4 ô số theo thứ tự:
+ Dimensions
+ Control measures
+ Requirements
+ Expected evidence items</t>
  </si>
  <si>
    <t>Khối Content — không có control measure</t>
  </si>
  <si>
    <t>Framework_128</t>
  </si>
  <si>
    <t>Kiểm tra khối Content của framework không có control measure</t>
  </si>
  <si>
    <t xml:space="preserve">1. Mở màn Frameworks
2. Bấm tên [Framework Active không tier]
3. Kiểm tra khối Content</t>
  </si>
  <si>
    <t xml:space="preserve">- 3 ô số theo thứ tự:
+ Tên nhóm của framework, ví dụ Clauses
+ Requirements
+ Expected evidence items</t>
  </si>
  <si>
    <t>Tên nhóm (Dimensions, Clauses, Chapters) lấy từ đâu trong file mẫu; Figma chỉ vẽ loại Appendix 10 → Q-F-21</t>
  </si>
  <si>
    <t>Total to meet — tier thấp nhất</t>
  </si>
  <si>
    <t>Framework_129</t>
  </si>
  <si>
    <t>Kiểm tra New at this tier và Total to meet của tier thấp nhất</t>
  </si>
  <si>
    <t>Đăng nhập account SGS Admin; có [Framework Active] có 3 tier; ở tab Requirements, số requirement theo nhãn: Basic = [a], From Medium = [b], From High = [c]</t>
  </si>
  <si>
    <t xml:space="preserve">1. Mở màn Frameworks
2. Bấm tên [Framework Active] có 3 tier
3. Kiểm tra dòng Basic ở khối Tiers</t>
  </si>
  <si>
    <t xml:space="preserve">- New at this tier = [a]
- Total to meet = [a] (tier thấp nhất: bằng New at this tier)</t>
  </si>
  <si>
    <t>Công thức suy ra từ dòng phụ của khối Tiers và từ hệ thống; UC FWK-02 chỉ ghi Overview có tiers, không ghi cách tính Total to meet → Q-F-10</t>
  </si>
  <si>
    <t>Total to meet — tier giữa</t>
  </si>
  <si>
    <t>Framework_130</t>
  </si>
  <si>
    <t>Kiểm tra New at this tier và Total to meet của tier giữa</t>
  </si>
  <si>
    <t xml:space="preserve">1. Mở màn Frameworks
2. Bấm tên [Framework Active] có 3 tier
3. Kiểm tra dòng Medium ở khối Tiers</t>
  </si>
  <si>
    <t xml:space="preserve">- New at this tier = [b]
- Total to meet = [a] + [b] (Total to meet của Basic + New at this tier của Medium)</t>
  </si>
  <si>
    <t>Total to meet — tier cao nhất</t>
  </si>
  <si>
    <t>Framework_131</t>
  </si>
  <si>
    <t>Kiểm tra New at this tier và Total to meet của tier cao nhất</t>
  </si>
  <si>
    <t xml:space="preserve">1. Mở màn Frameworks
2. Bấm tên [Framework Active] có 3 tier
3. Kiểm tra dòng High ở khối Tiers
4. So với số Requirements ở khối Content</t>
  </si>
  <si>
    <t xml:space="preserve">- New at this tier = [c]
- Total to meet = [a] + [b] + [c]
- Total to meet bằng số Requirements ở khối Content</t>
  </si>
  <si>
    <t>Figma Detail của Appendix 10 · 2022 ghi High 18 mới, 79 tổng nhưng khối Content cùng màn ghi 76 requirement; hệ thống ghi 15 và 76. Dòng 'bằng số Requirements' chỉ đúng nếu mọi requirement đều thuộc một tier → Q-F-10</t>
  </si>
  <si>
    <t>Total to meet — tier không có requirement mới</t>
  </si>
  <si>
    <t>Framework_132</t>
  </si>
  <si>
    <t>Kiểm tra Total to meet khi tier không có requirement mới</t>
  </si>
  <si>
    <t>Đăng nhập account SGS Admin; có [Framework Active] có một tier không có requirement nào mang nhãn riêng của tier đó</t>
  </si>
  <si>
    <t xml:space="preserve">1. Mở màn Frameworks
2. Bấm tên [Framework Active] có tier không có requirement mới
3. Kiểm tra dòng của tier đó ở khối Tiers</t>
  </si>
  <si>
    <t xml:space="preserve">- New at this tier = 0
- Total to meet bằng Total to meet của tier ngay dưới</t>
  </si>
  <si>
    <t>Hệ thống chưa có dữ liệu loại này để kiểm; file mẫu có cho phép không → Q-F-21</t>
  </si>
  <si>
    <t>Total to meet — framework một tier</t>
  </si>
  <si>
    <t>Framework_133</t>
  </si>
  <si>
    <t>Kiểm tra Total to meet của framework chỉ có một tier</t>
  </si>
  <si>
    <t>Đăng nhập account SGS Admin; có [Framework Active] chỉ có một tier</t>
  </si>
  <si>
    <t xml:space="preserve">1. Mở màn Frameworks
2. Bấm tên [Framework Active] chỉ có một tier
3. Kiểm tra khối Tiers</t>
  </si>
  <si>
    <t xml:space="preserve">- Bảng Tiers có 1 dòng
- New at this tier = Total to meet = số Requirements ở khối Content</t>
  </si>
  <si>
    <t>Hệ thống chưa có framework một tier để kiểm → Q-F-21</t>
  </si>
  <si>
    <t>New at this tier khớp bộ lọc ở tab Requirements</t>
  </si>
  <si>
    <t>Framework_134</t>
  </si>
  <si>
    <t>Kiểm tra New at this tier khớp số requirement khi lọc tier</t>
  </si>
  <si>
    <t>Đăng nhập account SGS Admin; có [Framework Active] có 3 tier</t>
  </si>
  <si>
    <t xml:space="preserve">1. Mở màn Frameworks
2. Bấm tên [Framework Active] có 3 tier
3. Ghi New at this tier của từng tier ở khối Tiers
4. Bấm Requirements, chọn lần lượt Basic, Medium, High ở ô lọc tier, đếm requirement hiện ra</t>
  </si>
  <si>
    <t>- Số requirement đếm được ở mỗi tier bằng New at this tier của tier đó</t>
  </si>
  <si>
    <t>Hệ thống lọc theo tier đúng bằng nhãn riêng của requirement (không cộng dồn); Figma chưa nêu → Q-F-12</t>
  </si>
  <si>
    <t>Tổng requirement của các nhóm</t>
  </si>
  <si>
    <t>Framework_135</t>
  </si>
  <si>
    <t>Kiểm tra tổng số requirement của các nhóm bằng số Requirements</t>
  </si>
  <si>
    <t xml:space="preserve">1. Mở màn Frameworks
2. Bấm tên [Framework Active]
3. Bấm Requirements
4. Cộng số requirement ghi cạnh tên từng nhóm
5. So với số Requirements ở khối Content</t>
  </si>
  <si>
    <t xml:space="preserve">- Tổng số requirement của các nhóm bằng số Requirements ở khối Content
- Số Dimensions (hoặc Clauses, Chapters) ở khối Content bằng số nhóm hiện ra</t>
  </si>
  <si>
    <t>Hanna: viết rule tính, không viết số từng loại. Nhóm gọi là Dimensions, Clauses hay Chapters tuỳ framework → Q-F-21</t>
  </si>
  <si>
    <t>Bấm ô số ở khối Content</t>
  </si>
  <si>
    <t>Framework_136</t>
  </si>
  <si>
    <t>Kiểm tra mở phần Requirements từ khối Content</t>
  </si>
  <si>
    <t xml:space="preserve">1. Mở màn Frameworks
2. Bấm tên [Framework Active]
3. Bấm ô Requirements ở khối Content</t>
  </si>
  <si>
    <t>- Hiện phần Requirements của framework</t>
  </si>
  <si>
    <t>Figma chưa thể hiện ô số là liên kết → Q-F-03</t>
  </si>
  <si>
    <t>Phần đầu</t>
  </si>
  <si>
    <t>Framework_137</t>
  </si>
  <si>
    <t xml:space="preserve">1. Mở màn Frameworks
2. Bấm tên [Framework Active]
3. Bấm Requirements
4. Kiểm tra phần đầu</t>
  </si>
  <si>
    <t xml:space="preserve">- Tiêu đề: Requirements
- Dòng tóm tắt dạng:
"&lt;n&gt; dimensions · &lt;n&gt; control measures · &lt;n&gt; requirements. Read only — import a new version to change them."
- Ô tìm kiếm, placeholder: Search
- Ô lọc tier, mặc định All tiers</t>
  </si>
  <si>
    <t>Cây requirement</t>
  </si>
  <si>
    <t>Framework_138</t>
  </si>
  <si>
    <t xml:space="preserve">1. Mở màn Frameworks
2. Bấm tên [Framework Active]
3. Bấm Requirements
4. Bấm tên một nhóm để mở</t>
  </si>
  <si>
    <t xml:space="preserve">- Mỗi nhóm một dòng: số thứ tự, tên nhóm, số requirement
- Mở nhóm: mỗi requirement một dòng gồm mã, tiêu đề và nhãn tier Basic, From Medium hoặc From High</t>
  </si>
  <si>
    <t>Framework_139</t>
  </si>
  <si>
    <t>Kiểm tra tab Requirements của framework không tier</t>
  </si>
  <si>
    <t xml:space="preserve">1. Mở màn Frameworks
2. Bấm tên [Framework Active không tier]
3. Bấm Requirements</t>
  </si>
  <si>
    <t xml:space="preserve">- Dòng tóm tắt dạng: &lt;n&gt; clauses · &lt;n&gt; requirements. Read only — import a new version to change them.
- Không có ô lọc tier</t>
  </si>
  <si>
    <t>Mỗi requirement có nhãn Not assessed → Q-F-09; Figma chỉ vẽ loại có tier → Q-F-21</t>
  </si>
  <si>
    <t>Requirement tier thấp nhất</t>
  </si>
  <si>
    <t>Framework_140</t>
  </si>
  <si>
    <t>Kiểm tra chi tiết requirement của tier thấp nhất</t>
  </si>
  <si>
    <t xml:space="preserve">1. Mở màn Frameworks
2. Bấm tên [Framework Active]
3. Bấm Requirements
4. Bấm một requirement có nhãn Basic</t>
  </si>
  <si>
    <t xml:space="preserve">- Breadcrumb: &lt;nhóm&gt; / &lt;control measure&gt; / &lt;mã&gt;
- Dòng: &lt;mã&gt; · Requirement · assessable
- Tiêu đề, nhãn Basic, mô tả
- Applies to: Basic, Medium and High
- Không có dòng Not required for
- Sort order: &lt;số&gt; within &lt;control measure&gt;
- Source
- Expected evidence (&lt;n&gt;): mỗi dòng mã · tên, mô tả, nhãn Mandatory</t>
  </si>
  <si>
    <t>Requirement tier giữa</t>
  </si>
  <si>
    <t>Framework_141</t>
  </si>
  <si>
    <t>Kiểm tra chi tiết requirement của tier giữa</t>
  </si>
  <si>
    <t xml:space="preserve">1. Mở màn Frameworks
2. Bấm tên [Framework Active]
3. Bấm Requirements
4. Bấm một requirement có nhãn From Medium</t>
  </si>
  <si>
    <t xml:space="preserve">- Nhãn From Medium
- Applies to: Medium and High
- Not required for: Basic</t>
  </si>
  <si>
    <t>Requirement tier cao nhất</t>
  </si>
  <si>
    <t>Framework_142</t>
  </si>
  <si>
    <t>Kiểm tra chi tiết requirement của tier cao nhất</t>
  </si>
  <si>
    <t xml:space="preserve">1. Mở màn Frameworks
2. Bấm tên [Framework Active]
3. Bấm Requirements
4. Bấm một requirement có nhãn From High</t>
  </si>
  <si>
    <t xml:space="preserve">- Nhãn From High
- Applies to: High
- Not required for: Basic, Medium</t>
  </si>
  <si>
    <t>Framework_143</t>
  </si>
  <si>
    <t>Kiểm tra chi tiết requirement của framework không tier</t>
  </si>
  <si>
    <t xml:space="preserve">1. Mở màn Frameworks
2. Bấm tên [Framework Active không tier]
3. Bấm Requirements
4. Bấm một requirement</t>
  </si>
  <si>
    <t xml:space="preserve">- Applies to: All
- Không có dòng Not required for</t>
  </si>
  <si>
    <t>Expected evidence không bắt buộc</t>
  </si>
  <si>
    <t>Framework_144</t>
  </si>
  <si>
    <t>Kiểm tra nhãn của expected evidence không bắt buộc</t>
  </si>
  <si>
    <t>Đăng nhập account SGS Admin; có framework Active nhập từ file có một expected evidence mandatory: FALSE</t>
  </si>
  <si>
    <t xml:space="preserve">1. Mở màn Frameworks
2. Bấm tên [Framework Active]
3. Bấm Requirements
4. Bấm requirement có expected evidence mandatory FALSE</t>
  </si>
  <si>
    <t>Nhãn khi mandatory FALSE; mã nguồn prototype: Optional, chưa có dữ liệu để xem → Q-F-09</t>
  </si>
  <si>
    <t>Không có thao tác sửa</t>
  </si>
  <si>
    <t>Framework_145</t>
  </si>
  <si>
    <t xml:space="preserve">1. Mở màn Frameworks
2. Bấm tên [Framework Active]
3. Bấm Requirements
4. Kiểm tra cây và phần chi tiết requirement</t>
  </si>
  <si>
    <t>Framework_146</t>
  </si>
  <si>
    <t xml:space="preserve">1. Mở màn Frameworks
2. Bấm tên [Framework Active]
3. Bấm Requirements
4. Nhập [một phần mã requirement] vào ô Search</t>
  </si>
  <si>
    <t xml:space="preserve">- Chỉ còn các requirement có mã chứa từ khoá, nằm trong nhóm của chúng
- Nhóm không có requirement khớp bị ẩn</t>
  </si>
  <si>
    <t>Số cạnh tên nhóm không đổi theo kết quả (hệ thống) → Q-F-12</t>
  </si>
  <si>
    <t>Theo tiêu đề</t>
  </si>
  <si>
    <t>Framework_147</t>
  </si>
  <si>
    <t xml:space="preserve">1. Mở màn Frameworks
2. Bấm tên [Framework Active]
3. Bấm Requirements
4. Nhập [một phần tiêu đề requirement] vào ô Search</t>
  </si>
  <si>
    <t>- Chỉ còn các requirement có tiêu đề chứa từ khoá</t>
  </si>
  <si>
    <t>Tìm theo những trường nào → Q-F-12</t>
  </si>
  <si>
    <t>Framework_148</t>
  </si>
  <si>
    <t>Kiểm tra tìm requirement không ra kết quả</t>
  </si>
  <si>
    <t xml:space="preserve">1. Mở màn Frameworks
2. Bấm tên [Framework Active]
3. Bấm Requirements
4. Nhập [từ khóa] không khớp requirement nào vào ô Search</t>
  </si>
  <si>
    <t xml:space="preserve">- Thông báo:
"No matching requirements"
"Try another search or filter."</t>
  </si>
  <si>
    <t>Lọc</t>
  </si>
  <si>
    <t>Framework_149</t>
  </si>
  <si>
    <t>Kiểm tra lọc requirement theo tier Basic</t>
  </si>
  <si>
    <t xml:space="preserve">1. Mở màn Frameworks
2. Bấm tên [Framework Active]
3. Bấm Requirements
4. Chọn Basic ở ô lọc tier</t>
  </si>
  <si>
    <t xml:space="preserve">- Ô lọc hiển thị Basic
- Chỉ còn các requirement có nhãn Basic</t>
  </si>
  <si>
    <t>Kết quả lọc lấy từ hệ thống; Figma chỉ vẽ ô lọc → Q-F-12</t>
  </si>
  <si>
    <t>Framework_150</t>
  </si>
  <si>
    <t>Kiểm tra lọc requirement theo tier Medium</t>
  </si>
  <si>
    <t xml:space="preserve">1. Mở màn Frameworks
2. Bấm tên [Framework Active]
3. Bấm Requirements
4. Chọn Medium ở ô lọc tier</t>
  </si>
  <si>
    <t>Hệ thống chỉ hiện requirement nhãn From Medium (17 ở Appendix 10 · 2022), không hiện 61 requirement mà tier Medium phải đáp ứng → Q-F-12</t>
  </si>
  <si>
    <t>Framework_151</t>
  </si>
  <si>
    <t>Kiểm tra lọc requirement theo tier High</t>
  </si>
  <si>
    <t xml:space="preserve">1. Mở màn Frameworks
2. Bấm tên [Framework Active]
3. Bấm Requirements
4. Chọn High ở ô lọc tier</t>
  </si>
  <si>
    <t>Hệ thống chỉ hiện requirement nhãn From High (15), không hiện 76 requirement mà tier High phải đáp ứng → Q-F-12</t>
  </si>
  <si>
    <t>Framework_152</t>
  </si>
  <si>
    <t>Kiểm tra bỏ lọc tier</t>
  </si>
  <si>
    <t xml:space="preserve">1. Mở màn Frameworks
2. Bấm tên [Framework Active]
3. Bấm Requirements
4. Chọn Basic ở ô lọc tier
5. Chọn All tiers</t>
  </si>
  <si>
    <t>- Hiện lại toàn bộ requirement</t>
  </si>
  <si>
    <t>Kết hợp tìm và lọc</t>
  </si>
  <si>
    <t>Framework_153</t>
  </si>
  <si>
    <t>Kiểm tra tìm kiếm khi đang lọc tier</t>
  </si>
  <si>
    <t xml:space="preserve">1. Mở màn Frameworks
2. Bấm tên [Framework Active]
3. Bấm Requirements
4. Chọn High ở ô lọc tier
5. Nhập [từ khóa] vào ô Search</t>
  </si>
  <si>
    <t>- Chỉ còn các requirement vừa có nhãn From High vừa chứa từ khoá</t>
  </si>
  <si>
    <t>Kết quả lấy từ hệ thống → Q-F-12</t>
  </si>
  <si>
    <t>Không có nút nhập</t>
  </si>
  <si>
    <t>Framework_154</t>
  </si>
  <si>
    <t>Kiểm tra màn Frameworks với SGS User</t>
  </si>
  <si>
    <t>1. Bấm Frameworks ở menu trái</t>
  </si>
  <si>
    <t xml:space="preserve">- Hiển thị danh sách framework
- Không có nút Download template, Import framework</t>
  </si>
  <si>
    <t>UC chỉ ghi actor SGS Admin; SGS User xem được danh sách, kể cả bản nháp → Q-F-16</t>
  </si>
  <si>
    <t>Mở thẳng url hộp thoại nhập</t>
  </si>
  <si>
    <t>Framework_155</t>
  </si>
  <si>
    <t>Kiểm tra SGS User mở hộp thoại nhập bằng URL</t>
  </si>
  <si>
    <t>1. Mở thẳng url của màn Frameworks có thêm ?import=1</t>
  </si>
  <si>
    <t>- Không mở hộp thoại Import a framework</t>
  </si>
  <si>
    <t>Hệ thống đang mở hộp thoại cho SGS User và SGS Consultant khi vào bằng URL này → Q-F-16</t>
  </si>
  <si>
    <t>Framework_156</t>
  </si>
  <si>
    <t>Kiểm tra màn bản nháp và màn chi tiết với SGS User</t>
  </si>
  <si>
    <t>Đăng nhập account SGS User; có [Framework Draft], [Framework Active]</t>
  </si>
  <si>
    <t xml:space="preserve">1. Mở màn Frameworks
2. Bấm tên [Framework Draft]
3. Quay lại, bấm tên [Framework Active]</t>
  </si>
  <si>
    <t xml:space="preserve">- Sau bước 2: không có nút Discard draft, Activate
- Sau bước 3: không có nút ⋮</t>
  </si>
  <si>
    <t>UC chỉ ghi actor SGS Admin → Q-F-16</t>
  </si>
  <si>
    <t>Chỉ xem</t>
  </si>
  <si>
    <t>Framework_157</t>
  </si>
  <si>
    <t>Kiểm tra màn Frameworks với SGS Consultant</t>
  </si>
  <si>
    <t>Đăng nhập account SGS Consultant; có [Framework Draft], [Framework Active]</t>
  </si>
  <si>
    <t xml:space="preserve">1. Bấm Frameworks ở menu trái
2. Bấm tên [Framework Draft]
3. Quay lại, bấm tên [Framework Active]</t>
  </si>
  <si>
    <t xml:space="preserve">- Sau bước 1: danh sách không có nút Download template, Import framework
- Sau bước 2: không có nút Discard draft, Activate
- Sau bước 3: không có nút ⋮</t>
  </si>
  <si>
    <t>UC chỉ ghi actor SGS Admin; SGS Consultant có menu Frameworks → Q-F-16</t>
  </si>
  <si>
    <t>Framework_158</t>
  </si>
  <si>
    <t>Kiểm tra SGS Consultant mở hộp thoại nhập bằng URL</t>
  </si>
  <si>
    <t>Hệ thống đang mở hộp thoại khi vào bằng URL này → Q-F-16</t>
  </si>
  <si>
    <t>Không được vào</t>
  </si>
  <si>
    <t>Framework_159</t>
  </si>
  <si>
    <t>Kiểm tra menu của SGS Auditor/Certification</t>
  </si>
  <si>
    <t>UC chỉ ghi actor SGS Admin, chưa nói các vai trò SGS khác → Q-F-16</t>
  </si>
  <si>
    <t>Mở thẳng url</t>
  </si>
  <si>
    <t>Framework_160</t>
  </si>
  <si>
    <t>Kiểm tra SGS Auditor/Certification mở màn Frameworks bằng URL</t>
  </si>
  <si>
    <t>Đăng nhập account SGS Auditor/Certification; có [Framework Active]</t>
  </si>
  <si>
    <t xml:space="preserve">1. Mở thẳng url của màn Frameworks
2. Mở thẳng url chi tiết của [Framework Active]</t>
  </si>
  <si>
    <t xml:space="preserve">- Cả hai bước hiển thị:
"You don’t have access to this page"
"Your role can’t open framework management. Ask your administrator if you need it."</t>
  </si>
  <si>
    <t>Text lấy từ hệ thống → Q-F-16</t>
  </si>
  <si>
    <t>Vai trò khách hàng - Customer roles</t>
  </si>
  <si>
    <t>Customer Admin — menu</t>
  </si>
  <si>
    <t>Framework_161</t>
  </si>
  <si>
    <t>Kiểm tra menu của Customer Admin</t>
  </si>
  <si>
    <t>Customer User — menu</t>
  </si>
  <si>
    <t>Framework_162</t>
  </si>
  <si>
    <t>Kiểm tra menu của Customer User</t>
  </si>
  <si>
    <t>Customer Viewer — menu</t>
  </si>
  <si>
    <t>Framework_163</t>
  </si>
  <si>
    <t>Kiểm tra menu của Customer Viewer</t>
  </si>
  <si>
    <t>Customer Admin — mở thẳng url</t>
  </si>
  <si>
    <t>Framework_164</t>
  </si>
  <si>
    <t>Kiểm tra Customer Admin mở màn Frameworks bằng URL</t>
  </si>
  <si>
    <t xml:space="preserve">- Không hiển thị danh sách framework
- Hiển thị:
"This page belongs to the Operations Console"
"You are signed in as &lt;tên&gt; (Customer Admin)."
- Có nút Go to my home</t>
  </si>
  <si>
    <t>Dữ liệu tải lên - Uploaded data</t>
  </si>
  <si>
    <t>Tên framework chứa thẻ script</t>
  </si>
  <si>
    <t>Framework_165</t>
  </si>
  <si>
    <t>Kiểm tra nhập framework có tên chứa mã độc</t>
  </si>
  <si>
    <t xml:space="preserve">1. Mở màn Frameworks
2. Bấm Import framework
3. Chọn file điền theo file mẫu, sheet Framework: framework_name: &lt;script&gt;alert(1)&lt;/script&gt;
4. Bấm Check file
5. Xem bản nháp và danh sách</t>
  </si>
  <si>
    <t xml:space="preserve">- Tên hiển thị nguyên chuỗi &lt;script&gt;alert(1)&lt;/script&gt; dưới dạng chữ
- Không có hộp thoại hay đoạn mã nào được chạy</t>
  </si>
  <si>
    <t>Prototype không đọc nội dung file nên chưa chạy được case này → Q-F-08</t>
  </si>
  <si>
    <t>File giả mạo</t>
  </si>
  <si>
    <t>File khác được đổi đuôi thành .xlsx</t>
  </si>
  <si>
    <t>Framework_166</t>
  </si>
  <si>
    <t>Kiểm tra import file không phải Excel nhưng có đuôi .xlsx</t>
  </si>
  <si>
    <t xml:space="preserve">1. Mở màn Frameworks
2. Bấm Import framework
3. Chọn file abc.xlsx là file văn bản được đổi đuôi
4. Bấm Check file</t>
  </si>
  <si>
    <t xml:space="preserve">- Không import framework
- Hộp thoại hiện bảng lỗi</t>
  </si>
  <si>
    <t>Chữ báo lỗi; hệ thống hiện chỉ kiểm theo đuôi tên file → Q-F-14</t>
  </si>
  <si>
    <t>Nhập, kích hoạt, huỷ bản nháp</t>
  </si>
  <si>
    <t>Framework_167</t>
  </si>
  <si>
    <t>Kiểm tra ghi vết các thao tác trên framework</t>
  </si>
  <si>
    <t xml:space="preserve">1. Nhập một framework, kích hoạt một bản nháp, huỷ một bản nháp khác
2. Bấm Audit Logs ở menu trái
3. Kiểm tra các dòng mới nhất ở bảng Audit trail</t>
  </si>
  <si>
    <t>Các thao tác này có thuộc diện ghi audit (UC FWK-05 chỉ ghi Changes are audited cho sửa thông tin); mã nguồn prototype ghi Imported framework draft, Activated framework, Discarded framework draft → Q-F-17</t>
  </si>
  <si>
    <t>1.7</t>
  </si>
  <si>
    <t>Soát lại theo review Opus và các chỗ Hanna sửa: viết lại Total to meet theo công thức, điền Expected cho case kiểm được trên hệ thống, bỏ case trùng, thêm case thiếu</t>
  </si>
  <si>
    <t>FB-053, FB-054</t>
  </si>
  <si>
    <t>Version 1.7</t>
  </si>
  <si>
    <t>Chọn file thứ hai khi đã có file: thay file cũ, thêm file hay báo lỗi? Figma ghi One file = one framework version → Q-F-14</t>
  </si>
  <si>
    <t xml:space="preserve">- Chọn được file, dòng file có dấu tích xanh
- Không có thông báo lỗi</t>
  </si>
  <si>
    <t>Hệ thống tính 1 MB = 1.048.576 byte; giới hạn 20 MB tính theo cách này hay 1.000.000 byte → Q-F-14</t>
  </si>
  <si>
    <t xml:space="preserve">- Không import, hộp thoại hiện bảng lỗi
- Bảng lỗi có dòng:
+ Sheet: Requirements
+ Row: 41
+ Column: requirement_code
+ Problem: nêu mã R.9.4.2 được dùng hai lần ở dòng 40 và 41</t>
  </si>
  <si>
    <t>Chữ của dòng lỗi (Row, Column, Problem) khi file lỗi bất kỳ → Q-F-14</t>
  </si>
  <si>
    <t xml:space="preserve">- Không import, hộp thoại hiện bảng lỗi
- Bảng lỗi có dòng:
+ Sheet: Requirements
+ Row: 24
+ Column: parent_requirement_code
+ Problem: nêu mã R.9.9 không tồn tại</t>
  </si>
  <si>
    <t xml:space="preserve">- Không import, hộp thoại hiện bảng lỗi
- Bảng lỗi có dòng:
+ Sheet: Expected_Evidence
+ Row: 12
+ Column: requirement_code
+ Problem: nêu R.4 là dòng nhóm, evidence phải trỏ vào requirement assessable</t>
  </si>
  <si>
    <t>Prototype chỉ báo 3 lỗi này khi tên file có chữ bcm, không đọc nội dung file → Q-F-08</t>
  </si>
  <si>
    <t>Prototype chỉ báo 3 lỗi này khi tên file có chữ bcm, không đọc nội dung file → Q-F-08; Thiết kế không ghi trạng thái khi mở lại → Q-F-19</t>
  </si>
  <si>
    <t>Prototype chỉ báo 3 lỗi này khi tên file có chữ bcm, không đọc nội dung file → Q-F-08; Chưa bấm Check file với file hợp lệ trên hệ thống → Q-F-08</t>
  </si>
  <si>
    <t>- Hệ thống không phân biệt chữ HOA, chữ thường, hiển thị đúng theo mã framework</t>
  </si>
  <si>
    <t>- Hệ thống không phân biệt chữ HOA, chữ thường, hiển thị đúng theo tên framework</t>
  </si>
  <si>
    <t>- Hệ thống không phân biệt chữ HOA, chữ thường, hiển thị đúng theo Issued by</t>
  </si>
  <si>
    <t>Ô tìm ghi Search code or name; hệ thống tìm cả theo Issued by, Version, Status → Q-F-12</t>
  </si>
  <si>
    <t>- Hệ thống không phân biệt chữ HOA, chữ thường, hiển thị đúng theo Requirements</t>
  </si>
  <si>
    <t>- Hệ thống không phân biệt chữ HOA, chữ thường, hiển thị đúng theo Status</t>
  </si>
  <si>
    <t>- Hệ thống không phân biệt chữ HOA, chữ thường, hiển thị đúng theo thời gian Updated</t>
  </si>
  <si>
    <t xml:space="preserve">- Bảng không có dòng nào
- Hiển thị "No results for “zzz”"
- Hiển thị "Try a different search term."
- Dòng đếm không đổi</t>
  </si>
  <si>
    <t xml:space="preserve">- Text biến mất
- Ô tìm kiếm có icon kính lúp, placeholder: Search code or name</t>
  </si>
  <si>
    <t>Figma không có icon sắp xếp; hệ thống sắp xếp được các cột Framework, Version, Issued by, Requirements → Q-F-13</t>
  </si>
  <si>
    <t>- Hiển thị thông báo: "Download source file of &lt;tên ngắn&gt; · &lt;version&gt;"</t>
  </si>
  <si>
    <t>Kiểm tra bấm mục Requirements ở cột điều hướng của bản nháp</t>
  </si>
  <si>
    <t xml:space="preserve">- Tier thấp nhất: Total to meet = New at this tier
- Các tier còn lại: Total to meet = Total to meet của tier ngay dưới + New at this tier</t>
  </si>
  <si>
    <t>Total to meet của tier cao nhất có bằng số requirements ở khối Requirements không; Figma bản amended ghi 18 và 79 → Q-F-10</t>
  </si>
  <si>
    <t xml:space="preserve">- Hiển thị hộp thoại Import a framework
- Hộp thoại không ghi framework đang xem</t>
  </si>
  <si>
    <t>Kiểm tra bấm mục Requirements, Overview ở cột điều hướng của framework Active</t>
  </si>
  <si>
    <t>Đăng nhập account SGS Admin; có [Framework Active] có 3 tier; ở tab Requirements, số requirement theo nhãn: tier Rank 1 = [a], From tier Rank 2 = [b], From tier Rank 3 = [c]</t>
  </si>
  <si>
    <t xml:space="preserve">1. Mở màn Frameworks
2. Bấm tên [Framework Active] có 3 tier
3. Kiểm tra dòng tier Rank 1 (thấp nhất) ở khối Tiers</t>
  </si>
  <si>
    <t xml:space="preserve">1. Mở màn Frameworks
2. Bấm tên [Framework Active] có 3 tier
3. Kiểm tra dòng tier Rank 2 ở khối Tiers</t>
  </si>
  <si>
    <t xml:space="preserve">1. Mở màn Frameworks
2. Bấm tên [Framework Active] có 3 tier
3. Kiểm tra dòng tier Rank 3 (cao nhất) ở khối Tiers
4. So với số Requirements ở khối Content</t>
  </si>
  <si>
    <t xml:space="preserve">- New at this tier = [c]
- Total to meet = [a] + [b] + [c]</t>
  </si>
  <si>
    <t>Total to meet của tier cao nhất có bằng số Requirements ở khối Content không: Figma Detail của Appendix 10 · 2022 ghi High 18 mới, 79 tổng, khối Content ghi 76 requirement; hệ thống ghi 15 và 76 → Q-F-10</t>
  </si>
  <si>
    <t xml:space="preserve">- Bảng Tiers có 1 dòng
- New at this tier = Total to meet</t>
  </si>
  <si>
    <t>Số requirement khi lọc từng tier ở tab Requirements có bằng New at this tier không (hệ thống lọc theo nhãn riêng của requirement) → Q-F-12</t>
  </si>
  <si>
    <t>Nhóm gọi là Dimensions, Clauses hay Chapters tuỳ framework → Q-F-21</t>
  </si>
  <si>
    <t>Ô số ở khối Content có bấm được để mở phần Requirements không; Figma chưa thể hiện → Q-F-03</t>
  </si>
  <si>
    <t xml:space="preserve">1. Mở màn Frameworks
2. Bấm tên [Framework Active]
3. Bấm Requirements
4. Nhập [mã requirement] vào ô Search</t>
  </si>
  <si>
    <t>- Hiển thị đúng data theo mã requirement</t>
  </si>
  <si>
    <t xml:space="preserve">1. Mở màn Frameworks
2. Bấm tên [Framework Active]
3. Bấm Requirements
4. Nhập [một phần tiêu đề] vào ô Search</t>
  </si>
  <si>
    <t>- Hiển thị đúng data theo tiêu đề requirement</t>
  </si>
  <si>
    <t xml:space="preserve">1. Mở màn Frameworks
2. Bấm tên [Framework Active]
3. Bấm Requirements
4. Nhập zzz vào ô Search</t>
  </si>
  <si>
    <t xml:space="preserve">- Không có kết quả và hiển thị thông báo:
- "No matching requirements"
- "Try another search or filter."</t>
  </si>
  <si>
    <t>- Hiển thị đúng data theo tier Basic</t>
  </si>
  <si>
    <t>- Hiển thị đúng data theo tier Medium</t>
  </si>
  <si>
    <t>Hệ thống lọc theo nhãn riêng của requirement, không cộng dồn các tier dưới (Medium chỉ hiện requirement From Medium) → Q-F-12</t>
  </si>
  <si>
    <t>- Hiển thị đúng data theo tier High</t>
  </si>
  <si>
    <t xml:space="preserve">1. Mở màn Frameworks
2. Bấm tên [Framework Active]
3. Bấm Requirements
4. Chọn All tiers ở ô lọc tier</t>
  </si>
  <si>
    <t>- Hiển thị đúng toàn bộ data theo All tiers</t>
  </si>
  <si>
    <t>1.8</t>
  </si>
  <si>
    <t>Sửa theo soát lỗi bản 1.7: xoá câu hỏi đã có trả lời, khôi phục chữ Hanna sửa, bỏ khẳng định chưa kiểm chứng, sửa định dạng ô Classification</t>
  </si>
  <si>
    <t>Version 1.8</t>
  </si>
  <si>
    <t>FB-053</t>
  </si>
  <si>
    <t>File mẫu tải về có đúng tên SGS_DTP_Framework_Import_Template.xlsx và nội dung không? (prototype chỉ hiện thông báo, không có file thật) → Q-F-06</t>
  </si>
  <si>
    <t>Chữ hiển thị ở cột Row, Column, Problem của dòng lỗi này là gì? → Q-F-14</t>
  </si>
  <si>
    <t>File mẫu ghi Must be a valid date or left blank; Chữ hiển thị ở cột Row, Column, Problem của dòng lỗi này là gì? → Q-F-14</t>
  </si>
  <si>
    <t>Chữ hiển thị ở các cột Row, Column, Problem của dòng lỗi này là gì? → Q-F-14</t>
  </si>
  <si>
    <t>Nhấn Esc có nên đóng hộp thoại ngay không, hay cần xác nhận trước? (thiết kế không ghi, hệ thống đang đóng ngay) → Q-F-19</t>
  </si>
  <si>
    <t>Kết quả này suy từ mã nguồn prototype (AI chưa bấm Check file với file hợp lệ trên hệ thống) — có đúng không? → Q-F-08; file mẫu ver 1 chưa có sheet Tiers, có bản mẫu mới hơn không → Q-F-06</t>
  </si>
  <si>
    <t>Bản nháp không tier có đúng như mô tả không (chưa xem được trên hệ thống)? → Q-F-08</t>
  </si>
  <si>
    <t>Kết quả này có đúng không? (prototype chỉ báo lỗi theo tên file có chữ bcm, không đọc nội dung; AI chưa bấm Check file với file hợp lệ thật) → Q-F-08</t>
  </si>
  <si>
    <t>Ô tìm ghi Search code or name; có giữ việc tìm cả theo Issued by, Version, Status không, hay chỉ tìm theo mã và tên như UC? → Q-F-12</t>
  </si>
  <si>
    <t>- Hệ thống không phân biệt chữ HOA, chữ thường hiển thị đúng theo Requirements</t>
  </si>
  <si>
    <t>- Hệ thống không phân biệt chữ HOA, chữ thường hiển thị đúng theo thời gian Update</t>
  </si>
  <si>
    <t>UC FWK-01 còn các cột standard edition, content version, content level, affiliates; danh sách có cần các cột này không, hay giữ đúng các cột Figma/hệ thống đang có? → Q-F-01</t>
  </si>
  <si>
    <t>UC gọi CSMA (Appendix 10), hệ thống ghi Security Baselines for ICT Systems (Appendix 10) và có thêm ISO 22301, ISO/IEC 27701, TISAX; danh sách ban đầu đúng theo nguồn nào? → Q-F-01</t>
  </si>
  <si>
    <t>Có giữ cách sắp xếp đang có trên hệ thống không (ở các cột Framework, Version, Issued by, Requirements), vì Figma không vẽ icon sắp xếp? → Q-F-13</t>
  </si>
  <si>
    <t>Icon tải file nguồn thuộc UC nào? (UC không nêu chức năng này) → Q-F-11</t>
  </si>
  <si>
    <t>Dòng phân trang theo Figma (1–6 of 6 items · Page 1 of 1) hay theo hệ thống (Items per page 10 · 1–8 of 8 items · [1] of 1 page · ‹ ›)? → Q-F-20</t>
  </si>
  <si>
    <t>Có giữ các giá trị Items per page này không, vì Figma không vẽ Items per page? → Q-F-20</t>
  </si>
  <si>
    <t>Có giữ nút chuyển trang này không, vì Figma không vẽ nút chuyển trang? → Q-F-20</t>
  </si>
  <si>
    <t>Số dòng mặc định mỗi trang là bao nhiêu? (đang lấy theo hệ thống, Figma không nêu) → Q-F-20</t>
  </si>
  <si>
    <t>Bản nháp không tier có đúng không có mục Tiers như mô tả không (hệ thống chưa có bản nháp không tier để xem)? → Q-F-08</t>
  </si>
  <si>
    <t>Phần chi tiết requirement ở bản nháp có cần đủ như tab Requirements không? (đang thiếu breadcrumb, Not required for, Sort order so với tab Requirements; Figma chưa vẽ phần này ở bản nháp) → Q-F-09</t>
  </si>
  <si>
    <t>Câu về tier ghi theo Figma (SGS assigns each scope a tier) hay theo hệ thống (…and choose the tier)? Khách hàng hay SGS chọn tier? → Q-F-07</t>
  </si>
  <si>
    <t>Kết quả này có đúng không? (AI chưa bấm Discard draft trong hộp thoại để xác nhận) → Q-F-08; Discard draft thuộc UC nào → Q-F-11</t>
  </si>
  <si>
    <t>Dòng về tier ghi theo Figma (SGS assigns each scope a tier: Basic, Medium or High.) hay theo hệ thống (Each customer chooses the tier of their scope: …)? → Q-F-07</t>
  </si>
  <si>
    <t>Hộp thoại có nút × không (Figma chỉ vẽ Cancel và Activate framework, hệ thống có ×)? → Q-F-19</t>
  </si>
  <si>
    <t>Kết quả này có đúng không? (AI chưa bấm Activate framework để xác nhận) → Q-F-08; chưa có màn gán retention policy → Q-F-07</t>
  </si>
  <si>
    <t>Khách hàng có thấy framework vừa kích hoạt như mô tả không? (AI chưa bấm thử) → Q-F-08</t>
  </si>
  <si>
    <t>Menu ⋮ chỉ có mục Import new version là đủ không (Figma vẽ nút ⋮ nhưng chưa vẽ nội dung menu)? → Q-F-05</t>
  </si>
  <si>
    <t>Cột điều hướng của framework Active có đủ 3 mục này không, hay cần thêm Bulk settings, History như UC FWK-02? Other versions có nhãn No design yet, có giữ không? → Q-F-03</t>
  </si>
  <si>
    <t>Cách hiển thị framework không tier (không có khối Tiers) có đúng thiết kế không, vì Figma chỉ vẽ loại có tier? → Q-F-21</t>
  </si>
  <si>
    <t>Đăng nhập account SGS Admin; có [Framework Active] có 3 tier (Rank 1 thấp nhất, Rank 3 cao nhất); ở tab Requirements, số requirement mang nhãn tier thấp nhất (Rank 1) = [a]; mang nhãn "From &lt;tên tier Rank 2&gt;" = [b]; mang nhãn "From &lt;tên tier Rank 3&gt;" = [c]</t>
  </si>
  <si>
    <t xml:space="preserve">- New at this tier = [b]
- Total to meet = [a] + [b] (Total to meet của tier Rank 1 + New at this tier của Rank 2)</t>
  </si>
  <si>
    <t xml:space="preserve">1. Mở màn Frameworks
2. Bấm tên [Framework Active] có 3 tier
3. Kiểm tra dòng tier Rank 3 (cao nhất) ở khối Tiers</t>
  </si>
  <si>
    <t>Framework chỉ có một tier có xuất hiện trong thực tế không (hệ thống chưa có framework này để kiểm)? Nếu có, kết quả mong đợi có đúng như mô tả không? → Q-F-21</t>
  </si>
  <si>
    <t>Framework không tier có hiển thị nhãn Not assessed ở mỗi requirement không? Màn này theo thiết kế nào (Figma chỉ vẽ loại có tier)? → Q-F-09; Q-F-21</t>
  </si>
  <si>
    <t>Chi tiết requirement của framework không tier có đúng thiết kế không, vì Figma chỉ vẽ loại có tier? → Q-F-21</t>
  </si>
  <si>
    <t>Expected evidence không bắt buộc (mandatory FALSE) hiển thị nhãn gì (mã nguồn prototype ghi Optional)? → Q-F-09</t>
  </si>
  <si>
    <t>Hệ thống lọc theo nhãn riêng của requirement (không cộng dồn các tier dưới) — cách này có đúng thiết kế không? → Q-F-12</t>
  </si>
  <si>
    <t>SGS User có được xem danh sách framework, kể cả bản nháp, không (UC chỉ ghi actor SGS Admin)? → Q-F-16</t>
  </si>
  <si>
    <t>SGS User vào bằng URL import có được mở hộp thoại không? Hệ thống đang mở được, có đúng thiết kế không? → Q-F-16</t>
  </si>
  <si>
    <t>SGS User có được xem màn bản nháp và màn chi tiết không (UC chỉ ghi actor SGS Admin)? → Q-F-16</t>
  </si>
  <si>
    <t>SGS Consultant có được xem menu Frameworks và danh sách không (UC chỉ ghi actor SGS Admin)? → Q-F-16</t>
  </si>
  <si>
    <t>SGS Consultant vào bằng URL import có được mở hộp thoại không? Hệ thống đang mở được, có đúng thiết kế không? → Q-F-16</t>
  </si>
  <si>
    <t>SGS Auditor và SGS Certification có được xem menu Frameworks không (UC chỉ ghi actor SGS Admin)? → Q-F-16</t>
  </si>
  <si>
    <t>Kết quả này có đúng không? (prototype không đọc nội dung file nên chưa chạy được case này) → Q-F-08</t>
  </si>
  <si>
    <t>Chữ báo lỗi khi file không phải Excel nhưng có đuôi .xlsx là gì, và có kiểm nội dung file không (hệ thống hiện chỉ kiểm theo đuôi tên file)? → Q-F-14</t>
  </si>
  <si>
    <t>Import, Activate, Discard có thuộc diện ghi audit không (UC FWK-05 chỉ ghi Changes are audited cho sửa thông tin; mã nguồn prototype ghi Imported framework draft, Activated framework, Discarded framework draft)? → Q-F-17</t>
  </si>
  <si>
    <t>1.9</t>
  </si>
  <si>
    <t>Sửa theo soát lỗi bản 1.8: đổi ghi chú thành câu hỏi thật, khôi phục câu hỏi ở case tìm theo Requirements/Updated, bỏ câu hỏi đã được case khác trả lời, sửa case Total to meet (bước/Expected khớp nhau, Pre dễ đọc hơn); sửa dòng 1.7 chỉ còn dẫn FB-053 (FB-054 ghi ở dòng 1.8)</t>
  </si>
  <si>
    <t>FB-053, FB-054, FB-055</t>
  </si>
  <si>
    <t>Version 1.9</t>
  </si>
  <si>
    <t>1.10</t>
  </si>
  <si>
    <t>Sửa theo soát lỗi bản 1.9: khôi phục Expected của Hanna ở case tìm theo Requirements/Updated, đổi các ô Open question còn dạng khẳng định thành câu hỏi thật (Q-F-01…21)</t>
  </si>
  <si>
    <t>FB-056</t>
  </si>
  <si>
    <t>Version 1.10</t>
  </si>
  <si>
    <t>Vào danh sách - Workspace list</t>
  </si>
  <si>
    <t>Bấm Workspaces ở menu trái</t>
  </si>
  <si>
    <t>Workspaces_001</t>
  </si>
  <si>
    <t>Kiểm tra vào màn Workspaces từ menu trái</t>
  </si>
  <si>
    <t>1. Bấm mục Workspaces ở menu trái</t>
  </si>
  <si>
    <t xml:space="preserve">- Chuyển sang màn Workspaces
- Breadcrumb: Workspaces
- Mục Workspaces ở menu trái được tô nền</t>
  </si>
  <si>
    <t>UC-WSP-002</t>
  </si>
  <si>
    <t>Workspaces_002</t>
  </si>
  <si>
    <t>Kiểm tra mở màn Workspaces bằng URL</t>
  </si>
  <si>
    <t>1. Mở thẳng url của màn Workspaces</t>
  </si>
  <si>
    <t xml:space="preserve">- Hiển thị màn Workspaces
- Mục Workspaces ở menu trái được tô nền</t>
  </si>
  <si>
    <t>Vào chi tiết - Workspace detail</t>
  </si>
  <si>
    <t>Bấm tên workspace</t>
  </si>
  <si>
    <t>Workspaces_003</t>
  </si>
  <si>
    <t>Kiểm tra mở chi tiết workspace từ danh sách</t>
  </si>
  <si>
    <t>Đăng nhập account Customer Admin; có [Workspace]</t>
  </si>
  <si>
    <t xml:space="preserve">1. Mở màn Workspaces
2. Bấm tên [Workspace] ở cột Workspace</t>
  </si>
  <si>
    <t>- Chuyển sang màn chi tiết của [Workspace]</t>
  </si>
  <si>
    <t>Màn chi tiết workspace (cây requirement, Evidence library) kiểm ở sheet Assisted workspace, còn sheet này chỉ kiểm bấm tên mở được màn, đúng không? (HT: bấm tên mở màn requirement; bố cục v4) → Q-W-08</t>
  </si>
  <si>
    <t>Danh sách workspace - Workspace list</t>
  </si>
  <si>
    <t>Workspaces_004</t>
  </si>
  <si>
    <t>Kiểm tra tiêu đề trang Workspaces</t>
  </si>
  <si>
    <t xml:space="preserve">1. Mở màn Workspaces
2. Kiểm tra phần đầu trang</t>
  </si>
  <si>
    <t xml:space="preserve">- Breadcrumb: Workspaces
- Tiêu đề: Workspaces
- Dòng mô tả:
"Workspaces of the scopes of your organisation. Coverage shows how much evidence is in place — it is not a compliance decision."</t>
  </si>
  <si>
    <t>Không có nút tạo workspace</t>
  </si>
  <si>
    <t>Workspaces_005</t>
  </si>
  <si>
    <t>Kiểm tra màn Workspaces không có nút tạo workspace</t>
  </si>
  <si>
    <t xml:space="preserve">1. Mở màn Workspaces
2. Kiểm tra phần đầu trang và thanh công cụ</t>
  </si>
  <si>
    <t>- Không có nút tạo workspace (workspace được tạo từ Scopes › Link framework)</t>
  </si>
  <si>
    <t>Archive workspace và xoá workspace rỗng thao tác ở đâu: danh sách, chi tiết workspace hay chi tiết Scope? (UC WSP-04, WSP-05; HT không thấy nút ở danh sách, chi tiết workspace và Scope) → Q-W-06</t>
  </si>
  <si>
    <t>Tổng số workspace</t>
  </si>
  <si>
    <t>Workspaces_006</t>
  </si>
  <si>
    <t>Kiểm tra dòng đếm số workspace</t>
  </si>
  <si>
    <t xml:space="preserve">1. Mở màn Workspaces
2. Kiểm tra dòng phía trên bảng, bên trái</t>
  </si>
  <si>
    <t>- Hiển thị &lt;n&gt; workspaces, n bằng tổng số workspace trong bảng (cộng mọi trang)</t>
  </si>
  <si>
    <t>Workspaces_007</t>
  </si>
  <si>
    <t xml:space="preserve">1. Mở màn Workspaces
2. Kiểm tra phía trên bảng, bên phải</t>
  </si>
  <si>
    <t>- Ô tìm kiếm có icon kính lúp, placeholder: Search workspaces</t>
  </si>
  <si>
    <t>Tên framework</t>
  </si>
  <si>
    <t>Workspaces_008</t>
  </si>
  <si>
    <t xml:space="preserve">1. Mở màn Workspaces
2. Nhập [từ khóa] là một phần tên framework của [Workspace] vào ô tìm kiếm</t>
  </si>
  <si>
    <t xml:space="preserve">- Bảng chỉ còn các workspace có tên framework chứa [từ khóa]
- Dòng phân trang cập nhật theo số kết quả, ví dụ 1–1 of 1 items</t>
  </si>
  <si>
    <t>Dòng đếm có đổi theo kết quả tìm không (prototype giữ nguyên tổng)? (HT: tìm “tisax” còn 1 dòng, dòng đếm vẫn 15 workspaces; đã hỏi ở Scopes) → Q-S-07</t>
  </si>
  <si>
    <t>Tên scope</t>
  </si>
  <si>
    <t>Workspaces_009</t>
  </si>
  <si>
    <t>Kiểm tra tìm theo tên scope</t>
  </si>
  <si>
    <t xml:space="preserve">1. Mở màn Workspaces
2. Nhập [từ khóa] là một phần tên scope của [Workspace] vào ô tìm kiếm</t>
  </si>
  <si>
    <t xml:space="preserve">- Bảng chỉ còn các workspace của scope có tên chứa [từ khóa]
- Dòng phân trang cập nhật theo số kết quả</t>
  </si>
  <si>
    <t>Workspaces_010</t>
  </si>
  <si>
    <t xml:space="preserve">1. Mở màn Workspaces
2. Nhập [từ khóa] viết hoa vào ô tìm kiếm</t>
  </si>
  <si>
    <t>- Hệ thống hiển thị data đúng định dạng, không phân biệt chữ hoa hay không</t>
  </si>
  <si>
    <t>Có phân biệt hoa thường không (prototype không phân biệt)? (đã hỏi ở Scopes) → Q-S-07</t>
  </si>
  <si>
    <t>Version, tier, status</t>
  </si>
  <si>
    <t>Workspaces_011</t>
  </si>
  <si>
    <t>Kiểm tra tìm theo version, tier hoặc status</t>
  </si>
  <si>
    <t xml:space="preserve">1. Mở màn Workspaces
2. Nhập [từ khóa] là version, tên tier hoặc status của [Workspace] vào ô tìm kiếm</t>
  </si>
  <si>
    <t>Ô tìm kiếm tìm theo những trường nào: tên framework, tên scope, version (2022), tên tier (Basic), status (Preparing)? (HT: tìm được theo tên framework và tên scope; chưa thử version, tier, status) → Q-W-10</t>
  </si>
  <si>
    <t>Workspaces_012</t>
  </si>
  <si>
    <t xml:space="preserve">1. Mở màn Workspaces
2. Nhập [từ khóa] không khớp workspace nào vào ô tìm kiếm</t>
  </si>
  <si>
    <t>Text thông báo không có kết quả lấy từ prototype, Figma có trạng thái này không? (đã hỏi ở Scopes) → Q-S-07</t>
  </si>
  <si>
    <t>Workspaces_013</t>
  </si>
  <si>
    <t xml:space="preserve">1. Mở màn Workspaces
2. Nhập ' OR 1=1 -- vào ô tìm kiếm</t>
  </si>
  <si>
    <t>Workspaces_014</t>
  </si>
  <si>
    <t xml:space="preserve">1. Mở màn Workspaces
2. Nhập từ khóa
3. Xoá hết nội dung ô tìm kiếm</t>
  </si>
  <si>
    <t xml:space="preserve">- Bảng hiển thị lại toàn bộ workspace
- Dòng phân trang trở về như lúc mở màn</t>
  </si>
  <si>
    <t>Bảng workspace - Workspace table</t>
  </si>
  <si>
    <t>Các cột</t>
  </si>
  <si>
    <t>Workspaces_015</t>
  </si>
  <si>
    <t>Kiểm tra các cột của bảng</t>
  </si>
  <si>
    <t xml:space="preserve">1. Mở màn Workspaces
2. Kiểm tra dòng tiêu đề của bảng</t>
  </si>
  <si>
    <t>- Hiển thị các cột theo thứ tự: Workspace, Tier, Evidence coverage, Status</t>
  </si>
  <si>
    <t>Cột Workspace</t>
  </si>
  <si>
    <t>Workspaces_016</t>
  </si>
  <si>
    <t>Kiểm tra cột Workspace</t>
  </si>
  <si>
    <t>Đăng nhập account Customer Admin; có [Workspace] của [Scope]</t>
  </si>
  <si>
    <t xml:space="preserve">1. Mở màn Workspaces
2. Kiểm tra dòng [Workspace]</t>
  </si>
  <si>
    <t xml:space="preserve">- Dòng trên: &lt;framework&gt; · &lt;version&gt;, là liên kết
- Dòng dưới: &lt;tên scope&gt; · &lt;loại scope: Organization, System hoặc Product&gt;</t>
  </si>
  <si>
    <t xml:space="preserve">Workspace có tên riêng hoặc chu kỳ chứng nhận để hiển thị ở cột này không? (UC D20, D11; HT chỉ có &lt;framework&gt; · &lt;version&gt; và scope) → Q-W-03
Scope đã gắn một version rồi gắn lại đúng version đó thì danh sách có thêm dòng hay hệ thống chặn? (UC D11; hộp thoại Link a framework ghi “already linked”) → Q-W-05</t>
  </si>
  <si>
    <t>Cột Tier có tier</t>
  </si>
  <si>
    <t>Workspaces_017</t>
  </si>
  <si>
    <t>Đăng nhập account Customer Admin; có [Workspace] của framework có tier</t>
  </si>
  <si>
    <t xml:space="preserve">1. Mở màn Workspaces
2. Kiểm tra cột Tier của [Workspace]</t>
  </si>
  <si>
    <t>- Hiển thị tên tier đã chọn khi tạo, ví dụ Very high với TISAX, Basic · 普 với Appendix 10</t>
  </si>
  <si>
    <t>Tier hiển thị ở danh sách có đổi được từ màn Workspaces không, hay chỉ đổi ở Scope (Change tier)? (HT: không có nút ở danh sách; Change tier ở khu Frameworks của Scope; UC v5.3 chưa thấy dòng Đổi tier) → Q-W-04</t>
  </si>
  <si>
    <t>Cột Tier không tier</t>
  </si>
  <si>
    <t>Workspaces_018</t>
  </si>
  <si>
    <t>Kiểm tra cột Tier của framework không tier</t>
  </si>
  <si>
    <t>Đăng nhập account Customer Admin; có [Workspace] của framework không có tier</t>
  </si>
  <si>
    <t>- Hiển thị No tiers</t>
  </si>
  <si>
    <t>Workspaces_019</t>
  </si>
  <si>
    <t>Đăng nhập account Customer Admin; có [Workspace] vừa tạo từ Scopes</t>
  </si>
  <si>
    <t xml:space="preserve">1. Mở màn Workspaces
2. Kiểm tra cột Status của [Workspace] vừa tạo</t>
  </si>
  <si>
    <t>- Hiển thị chip Preparing có biểu tượng vòng tròn nét đứt</t>
  </si>
  <si>
    <t xml:space="preserve">Cột Status còn những trạng thái nào ngoài Preparing (đã archive…)? (UC WSP-02 có Active / Archived / đã xoá; HT chỉ thấy Preparing) → Q-W-09
Màn Workspaces có bộ lọc theo trạng thái Active / Archived / đã xoá không? (UC WSP-02; HT chỉ có ô tìm kiếm) → Q-W-02</t>
  </si>
  <si>
    <t>Workspaces_020</t>
  </si>
  <si>
    <t>Kiểm tra cột Evidence coverage</t>
  </si>
  <si>
    <t xml:space="preserve">1. Mở màn Workspaces
2. Kiểm tra cột Evidence coverage của [Workspace]</t>
  </si>
  <si>
    <t xml:space="preserve">- Dòng trên: &lt;framework&gt; · &lt;version&gt; coverage và phần trăm
- Thanh tiến độ
- Dòng dưới: &lt;x&gt; of &lt;n&gt; requirements</t>
  </si>
  <si>
    <t>n là số requirement của tier đã chọn (Appendix 10: Basic 44, Medium 61, High 76; TISAX: Normal 52, High 70, Very high 78) và x là số requirement đã có evidence bắt buộc, đúng không? (HT: hộp thoại Link a framework, Change tier; chi tiết Scope “0 of 44 requirements have their mandatory evidence”) → Q-W-07</t>
  </si>
  <si>
    <t>Làm tròn lên</t>
  </si>
  <si>
    <t>Workspaces_021</t>
  </si>
  <si>
    <t>Kiểm tra Evidence coverage khi kết quả phải làm tròn lên</t>
  </si>
  <si>
    <t>Đăng nhập account Customer Admin; có [Workspace] đã có evidence bắt buộc cho 74 trong 116 requirement</t>
  </si>
  <si>
    <t xml:space="preserve">- Hiển thị Evidence coverage = 74/116 × 100 = 63.79% → 64%
- Dòng dưới: 74 of 116 requirements</t>
  </si>
  <si>
    <t>Làm tròn xuống</t>
  </si>
  <si>
    <t>Workspaces_022</t>
  </si>
  <si>
    <t>Kiểm tra Evidence coverage khi kết quả phải làm tròn xuống</t>
  </si>
  <si>
    <t>Đăng nhập account Customer Admin; có [Workspace] đã có evidence bắt buộc cho 6 trong 31 requirement</t>
  </si>
  <si>
    <t xml:space="preserve">- Hiển thị Evidence coverage = 6/31 × 100 = 19.35% → 19%
- Dòng dưới: 6 of 31 requirements</t>
  </si>
  <si>
    <t>Chưa requirement nào đủ evidence</t>
  </si>
  <si>
    <t>Workspaces_023</t>
  </si>
  <si>
    <t>Kiểm tra Evidence coverage khi chưa requirement nào đủ evidence</t>
  </si>
  <si>
    <t>Đăng nhập account Customer Admin; có [Workspace] đã có evidence bắt buộc cho 0 trong 78 requirement</t>
  </si>
  <si>
    <t xml:space="preserve">- Hiển thị Evidence coverage = 0/78 × 100 = 0%
- Dòng dưới: 0 of 78 requirements</t>
  </si>
  <si>
    <t>Mọi requirement đều đủ evidence</t>
  </si>
  <si>
    <t>Workspaces_024</t>
  </si>
  <si>
    <t>Kiểm tra Evidence coverage khi mọi requirement đều đủ evidence</t>
  </si>
  <si>
    <t>Đăng nhập account Customer Admin; có [Workspace] đã có evidence bắt buộc cho 61 trong 61 requirement</t>
  </si>
  <si>
    <t xml:space="preserve">- Hiển thị Evidence coverage = 61/61 × 100 = 100%
- Dòng dưới: 61 of 61 requirements</t>
  </si>
  <si>
    <t>Phần thập phân đúng .5</t>
  </si>
  <si>
    <t>Workspaces_025</t>
  </si>
  <si>
    <t>Đăng nhập account Customer Admin; có [Workspace] đã có evidence bắt buộc cho 1 trong 8 requirement</t>
  </si>
  <si>
    <t>1/8 × 100 = 12.5%: hiển thị 12% hay 13%? (cách làm tròn khi phần thập phân đúng bằng .5; đã hỏi ở Scopes) → Q-S-11</t>
  </si>
  <si>
    <t>Trên 0% dưới 0.5%</t>
  </si>
  <si>
    <t>Workspaces_026</t>
  </si>
  <si>
    <t>Đăng nhập account Customer Admin; có [Workspace] đã có evidence bắt buộc cho 1 trong 250 requirement</t>
  </si>
  <si>
    <t>1/250 × 100 = 0.4%: làm tròn thường ra 0% dù đã có 1 requirement đủ evidence, vậy hiển thị 0%, 1% hay &lt;1%? (đã hỏi ở Scopes) → Q-S-11</t>
  </si>
  <si>
    <t>Từ 99.5% đến dưới 100%</t>
  </si>
  <si>
    <t>Workspaces_027</t>
  </si>
  <si>
    <t>Đăng nhập account Customer Admin; có [Workspace] đã có evidence bắt buộc cho 249 trong 250 requirement</t>
  </si>
  <si>
    <t>249/250 × 100 = 99.6%: làm tròn thường ra 100% dù còn 1 requirement chưa đủ evidence, vậy hiển thị 100% hay 99%? (đã hỏi ở Scopes) → Q-S-11</t>
  </si>
  <si>
    <t>Workspaces_028</t>
  </si>
  <si>
    <t>Đăng nhập account Customer Admin; có 15 workspace</t>
  </si>
  <si>
    <t xml:space="preserve">1. Mở màn Workspaces
2. Kiểm tra phần dưới bảng</t>
  </si>
  <si>
    <t xml:space="preserve">- Items per page mặc định là 10
- Dòng 1–&lt;n&gt; of &lt;n&gt; items, ví dụ 1–10 of 15 items
- Số trang, ví dụ 1 2 of 2 pages</t>
  </si>
  <si>
    <t>Workspaces_029</t>
  </si>
  <si>
    <t xml:space="preserve">1. Mở màn Workspaces
2. Bấm vào Items per page
3. Kiểm tra các lựa chọn</t>
  </si>
  <si>
    <t>Workspaces_030</t>
  </si>
  <si>
    <t xml:space="preserve">1. Mở màn Workspaces
2. Mở Items per page
3. Chọn 25</t>
  </si>
  <si>
    <t xml:space="preserve">- Bảng hiển thị đủ 15 workspace trên một trang
- Dòng phân trang: 1–15 of 15 items</t>
  </si>
  <si>
    <t>Workspaces_031</t>
  </si>
  <si>
    <t xml:space="preserve">1. Mở màn Workspaces
2. Bấm số trang 2</t>
  </si>
  <si>
    <t xml:space="preserve">- Bảng hiển thị workspace thứ 11 đến thứ 15
- Dòng phân trang: 11–15 of 15 items</t>
  </si>
  <si>
    <t>Thấy workspace của mọi scope</t>
  </si>
  <si>
    <t>Workspaces_032</t>
  </si>
  <si>
    <t>Kiểm tra Customer Admin thấy workspace của mọi scope</t>
  </si>
  <si>
    <t>Đăng nhập account Customer Admin; tổ chức có [Scope A], [Scope B] đều đã có workspace</t>
  </si>
  <si>
    <t>1. Mở màn Workspaces</t>
  </si>
  <si>
    <t>- Bảng có workspace của [Scope A] và [Scope B], kể cả scope Customer Admin chưa được gán riêng</t>
  </si>
  <si>
    <t>Customer Admin thấy workspace của mọi scope trong tổ chức, đúng không? (HT mô tả “Workspaces of the scopes of your organisation”; Scope ghi “Customer Admin · sees every scope”) → Q-W-11</t>
  </si>
  <si>
    <t>Chỉ workspace của scope được gán</t>
  </si>
  <si>
    <t>Workspaces_033</t>
  </si>
  <si>
    <t>Kiểm tra Customer User chỉ thấy workspace của scope được gán</t>
  </si>
  <si>
    <t>Đăng nhập account Customer User; được gán scope [System], không được gán scope [Organization]; cả hai scope đã có workspace</t>
  </si>
  <si>
    <t>Customer User, Customer Viewer thấy những workspace nào, có thấy màn Workspaces trong menu không? (UC: user làm việc được trong mọi workspace của scope được gán; HT mới thử Customer Admin) → Q-W-11</t>
  </si>
  <si>
    <t>Workspace của tenant khác</t>
  </si>
  <si>
    <t>Workspaces_034</t>
  </si>
  <si>
    <t>Kiểm tra không thấy workspace của tenant khác</t>
  </si>
  <si>
    <t>Đăng nhập account Customer Admin của tenant B; tenant A là tenant khác, đã có workspace</t>
  </si>
  <si>
    <t xml:space="preserve">- Chỉ thấy workspace của tenant B
- Không có workspace nào của tenant A</t>
  </si>
  <si>
    <t>Chi tiết workspace tenant khác</t>
  </si>
  <si>
    <t>Workspaces_035</t>
  </si>
  <si>
    <t>Kiểm tra mở chi tiết workspace của tenant khác bằng URL</t>
  </si>
  <si>
    <t>1. Mở url chi tiết của một workspace thuộc tenant A</t>
  </si>
  <si>
    <t>WSP-L0001_Quản lý workspace</t>
  </si>
  <si>
    <t>Workspaces · Customer Portal</t>
  </si>
  <si>
    <t>09/10/2026</t>
  </si>
  <si>
    <t>UC v5.3 WSP-01…06 · prototype (Customer Admin)</t>
  </si>
  <si>
    <t>Workspaces</t>
  </si>
  <si>
    <t>1.11</t>
  </si>
  <si>
    <t>Thêm sheet Workspaces: màn danh sách workspace; tạo workspace và Change tier giữ ở sheet Scopes; case còn câu hỏi Q-W để trống Expected</t>
  </si>
  <si>
    <t>FB-060, FB-061, FB-062</t>
  </si>
  <si>
    <t>Version 1.11</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</si>
</sst>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3">
    <numFmt numFmtId="164" formatCode="d\-mmm\-yyyy"/>
    <numFmt numFmtId="165" formatCode="0.0"/>
    <numFmt numFmtId="166" formatCode="0.0%"/>
  </numFmts>
  <fonts count="6">
    <font>
      <sz val="10.000000"/>
      <name val="Arial"/>
      <scheme val="minor"/>
    </font>
    <font>
      <sz val="10.000000"/>
      <color rgb="FF363A45"/>
      <name val="Times New Roman"/>
    </font>
    <font>
      <b/>
      <sz val="10.000000"/>
      <color rgb="FF363A45"/>
      <name val="Times New Roman"/>
    </font>
    <font>
      <sz val="10.000000"/>
      <color indexed="65"/>
      <name val="Times New Roman"/>
    </font>
    <font>
      <b/>
      <sz val="10.000000"/>
      <color indexed="65"/>
      <name val="Times New Roman"/>
    </font>
    <font>
      <sz val="10.000000"/>
      <color rgb="FFB8362B"/>
      <name val="Times New Roman"/>
    </font>
  </fonts>
  <fills count="6">
    <fill>
      <patternFill patternType="none"/>
    </fill>
    <fill>
      <patternFill patternType="gray125"/>
    </fill>
    <fill>
      <patternFill patternType="solid">
        <fgColor rgb="FF00B0F0"/>
        <bgColor rgb="FF00B0F0"/>
      </patternFill>
    </fill>
    <fill>
      <patternFill patternType="solid">
        <fgColor rgb="FFFBE9E7"/>
        <bgColor rgb="FFFBE9E7"/>
      </patternFill>
    </fill>
    <fill>
      <patternFill patternType="solid">
        <fgColor theme="0" tint="0"/>
        <bgColor theme="0" tint="0"/>
      </patternFill>
    </fill>
    <fill>
      <patternFill patternType="solid">
        <fgColor indexed="5"/>
        <bgColor indexed="5"/>
      </patternFill>
    </fill>
  </fills>
  <borders count="28">
    <border>
      <left style="none"/>
      <right style="none"/>
      <top style="none"/>
      <bottom style="none"/>
      <diagonal style="none"/>
    </border>
    <border>
      <left style="thin">
        <color auto="1"/>
      </left>
      <right style="thin">
        <color auto="1"/>
      </right>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none"/>
      <right style="none"/>
      <top style="thin">
        <color auto="1"/>
      </top>
      <bottom style="none"/>
      <diagonal style="none"/>
    </border>
    <border>
      <left style="none"/>
      <right style="thin">
        <color auto="1"/>
      </right>
      <top style="thin">
        <color auto="1"/>
      </top>
      <bottom style="none"/>
      <diagonal style="none"/>
    </border>
    <border>
      <left style="thin">
        <color auto="1"/>
      </left>
      <right style="thin">
        <color auto="1"/>
      </right>
      <top style="none"/>
      <bottom style="thin">
        <color auto="1"/>
      </bottom>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none"/>
      <right style="thin">
        <color auto="1"/>
      </right>
      <top style="none"/>
      <bottom style="thin">
        <color auto="1"/>
      </bottom>
      <diagonal style="none"/>
    </border>
    <border>
      <left style="none"/>
      <right style="thin">
        <color auto="1"/>
      </right>
      <top style="none"/>
      <bottom style="none"/>
      <diagonal style="none"/>
    </border>
    <border>
      <left style="thin">
        <color auto="1"/>
      </left>
      <right style="none"/>
      <top style="none"/>
      <bottom style="none"/>
      <diagonal style="none"/>
    </border>
    <border>
      <left style="none"/>
      <right style="thin">
        <color auto="1"/>
      </right>
      <top style="none"/>
      <bottom style="hair">
        <color auto="1"/>
      </bottom>
      <diagonal style="none"/>
    </border>
    <border>
      <left style="none"/>
      <right style="none"/>
      <top style="none"/>
      <bottom style="hair">
        <color auto="1"/>
      </bottom>
      <diagonal style="none"/>
    </border>
    <border>
      <left style="none"/>
      <right style="thin">
        <color auto="1"/>
      </right>
      <top style="hair">
        <color auto="1"/>
      </top>
      <bottom style="hair">
        <color auto="1"/>
      </bottom>
      <diagonal style="none"/>
    </border>
    <border>
      <left style="none"/>
      <right style="none"/>
      <top style="hair">
        <color auto="1"/>
      </top>
      <bottom style="hair">
        <color auto="1"/>
      </bottom>
      <diagonal style="none"/>
    </border>
    <border>
      <left style="thin">
        <color auto="1"/>
      </left>
      <right style="none"/>
      <top style="thin">
        <color auto="1"/>
      </top>
      <bottom style="none"/>
      <diagonal style="none"/>
    </border>
    <border>
      <left style="thin">
        <color auto="1"/>
      </left>
      <right style="thin">
        <color auto="1"/>
      </right>
      <top style="none"/>
      <bottom style="none"/>
      <diagonal style="none"/>
    </border>
    <border>
      <left style="hair">
        <color auto="1"/>
      </left>
      <right style="hair">
        <color auto="1"/>
      </right>
      <top style="thin">
        <color auto="1"/>
      </top>
      <bottom style="hair">
        <color auto="1"/>
      </bottom>
      <diagonal style="none"/>
    </border>
    <border>
      <left style="hair">
        <color auto="1"/>
      </left>
      <right style="thin">
        <color auto="1"/>
      </right>
      <top style="thin">
        <color auto="1"/>
      </top>
      <bottom style="hair">
        <color auto="1"/>
      </bottom>
      <diagonal style="none"/>
    </border>
    <border>
      <left style="hair">
        <color auto="1"/>
      </left>
      <right style="hair">
        <color auto="1"/>
      </right>
      <top style="none"/>
      <bottom style="hair">
        <color auto="1"/>
      </bottom>
      <diagonal style="none"/>
    </border>
    <border>
      <left style="hair">
        <color auto="1"/>
      </left>
      <right style="thin">
        <color auto="1"/>
      </right>
      <top style="none"/>
      <bottom style="hair">
        <color auto="1"/>
      </bottom>
      <diagonal style="none"/>
    </border>
    <border>
      <left style="hair">
        <color auto="1"/>
      </left>
      <right style="hair">
        <color auto="1"/>
      </right>
      <top style="none"/>
      <bottom style="thin">
        <color auto="1"/>
      </bottom>
      <diagonal style="none"/>
    </border>
    <border>
      <left style="hair">
        <color auto="1"/>
      </left>
      <right style="thin">
        <color auto="1"/>
      </right>
      <top style="none"/>
      <bottom style="thin">
        <color auto="1"/>
      </bottom>
      <diagonal style="none"/>
    </border>
    <border>
      <left style="thin">
        <color auto="1"/>
      </left>
      <right style="thin">
        <color auto="1"/>
      </right>
      <top style="thin">
        <color auto="1"/>
      </top>
      <bottom style="none"/>
      <diagonal style="none"/>
    </border>
    <border>
      <left style="hair">
        <color auto="1"/>
      </left>
      <right style="hair">
        <color auto="1"/>
      </right>
      <top style="none"/>
      <bottom style="none"/>
      <diagonal style="none"/>
    </border>
    <border>
      <left style="hair">
        <color auto="1"/>
      </left>
      <right style="hair">
        <color auto="1"/>
      </right>
      <top/>
      <bottom/>
      <diagonal/>
    </border>
    <border>
      <left style="hair">
        <color auto="1"/>
      </left>
      <right style="hair">
        <color auto="1"/>
      </right>
      <top/>
      <bottom style="hair">
        <color auto="1"/>
      </bottom>
      <diagonal/>
    </border>
  </borders>
  <cellStyleXfs count="1">
    <xf fontId="0" fillId="0" borderId="0" numFmtId="0" applyNumberFormat="1" applyFont="1" applyFill="1" applyBorder="1"/>
  </cellStyleXfs>
  <cellXfs count="120">
    <xf fontId="1" fillId="0" borderId="0" numFmtId="0" xfId="0" applyFont="1"/>
    <xf fontId="1" fillId="0" borderId="0" numFmtId="0" xfId="0" applyFont="1"/>
    <xf fontId="2" fillId="0" borderId="1" numFmtId="0" xfId="0" applyFont="1" applyBorder="1" applyAlignment="1">
      <alignment horizontal="center"/>
    </xf>
    <xf fontId="2" fillId="0" borderId="1" numFmtId="0" xfId="0" applyFont="1" applyBorder="1" applyAlignment="1">
      <alignment horizontal="center" vertical="center"/>
    </xf>
    <xf fontId="1" fillId="0" borderId="2" numFmtId="0" xfId="0" applyFont="1" applyBorder="1"/>
    <xf fontId="1" fillId="0" borderId="3" numFmtId="0" xfId="0" applyFont="1" applyBorder="1"/>
    <xf fontId="2" fillId="0" borderId="1" numFmtId="0" xfId="0" applyFont="1" applyBorder="1"/>
    <xf fontId="1" fillId="0" borderId="1" numFmtId="0" xfId="0" applyFont="1" applyBorder="1"/>
    <xf fontId="2" fillId="0" borderId="1" numFmtId="0" xfId="0" applyFont="1" applyBorder="1" applyAlignment="1">
      <alignment vertical="center"/>
    </xf>
    <xf fontId="1" fillId="0" borderId="4" numFmtId="0" xfId="0" applyFont="1" applyBorder="1"/>
    <xf fontId="1" fillId="0" borderId="5" numFmtId="0" xfId="0" applyFont="1" applyBorder="1"/>
    <xf fontId="1" fillId="0" borderId="1" numFmtId="164" xfId="0" applyNumberFormat="1" applyFont="1" applyBorder="1"/>
    <xf fontId="1" fillId="0" borderId="6" numFmtId="0" xfId="0" applyFont="1" applyBorder="1"/>
    <xf fontId="1" fillId="0" borderId="7" numFmtId="0" xfId="0" applyFont="1" applyBorder="1"/>
    <xf fontId="1" fillId="0" borderId="8" numFmtId="0" xfId="0" applyFont="1" applyBorder="1"/>
    <xf fontId="1" fillId="0" borderId="9" numFmtId="0" xfId="0" applyFont="1" applyBorder="1"/>
    <xf fontId="2" fillId="0" borderId="1" numFmtId="0" xfId="0" applyFont="1" applyBorder="1" applyAlignment="1">
      <alignment wrapText="1"/>
    </xf>
    <xf fontId="1" fillId="0" borderId="1" numFmtId="0" xfId="0" applyFont="1" applyBorder="1" applyAlignment="1">
      <alignment wrapText="1"/>
    </xf>
    <xf fontId="1" fillId="0" borderId="10" numFmtId="0" xfId="0" applyFont="1" applyBorder="1"/>
    <xf fontId="3" fillId="2" borderId="1" numFmtId="0" xfId="0" applyFont="1" applyFill="1" applyBorder="1" applyAlignment="1">
      <alignment horizontal="center" vertical="center"/>
    </xf>
    <xf fontId="1" fillId="0" borderId="11" numFmtId="0" xfId="0" applyFont="1" applyBorder="1"/>
    <xf fontId="1" fillId="0" borderId="12" numFmtId="164" xfId="0" applyNumberFormat="1" applyFont="1" applyBorder="1" applyAlignment="1">
      <alignment vertical="top" wrapText="1"/>
    </xf>
    <xf fontId="1" fillId="0" borderId="12" numFmtId="165" xfId="0" applyNumberFormat="1" applyFont="1" applyBorder="1" applyAlignment="1">
      <alignment horizontal="right" vertical="top"/>
    </xf>
    <xf fontId="1" fillId="0" borderId="12" numFmtId="0" xfId="0" applyFont="1" applyBorder="1" applyAlignment="1">
      <alignment vertical="top" wrapText="1"/>
    </xf>
    <xf fontId="1" fillId="0" borderId="12" numFmtId="0" xfId="0" applyFont="1" applyBorder="1" applyAlignment="1">
      <alignment horizontal="center" vertical="top"/>
    </xf>
    <xf fontId="1" fillId="0" borderId="13" numFmtId="0" xfId="0" applyFont="1" applyBorder="1" applyAlignment="1">
      <alignment vertical="center" wrapText="1"/>
    </xf>
    <xf fontId="1" fillId="0" borderId="14" numFmtId="164" xfId="0" applyNumberFormat="1" applyFont="1" applyBorder="1" applyAlignment="1">
      <alignment vertical="top" wrapText="1"/>
    </xf>
    <xf fontId="1" fillId="0" borderId="14" numFmtId="165" xfId="0" applyNumberFormat="1" applyFont="1" applyBorder="1" applyAlignment="1">
      <alignment horizontal="right" vertical="top"/>
    </xf>
    <xf fontId="1" fillId="0" borderId="14" numFmtId="0" xfId="0" applyFont="1" applyBorder="1" applyAlignment="1">
      <alignment vertical="top" wrapText="1"/>
    </xf>
    <xf fontId="1" fillId="0" borderId="14" numFmtId="0" xfId="0" applyFont="1" applyBorder="1" applyAlignment="1">
      <alignment horizontal="center" vertical="top"/>
    </xf>
    <xf fontId="1" fillId="0" borderId="15" numFmtId="0" xfId="0" applyFont="1" applyBorder="1" applyAlignment="1">
      <alignment vertical="center" wrapText="1"/>
    </xf>
    <xf fontId="2" fillId="0" borderId="0" numFmtId="0" xfId="0" applyFont="1" applyAlignment="1">
      <alignment horizontal="center"/>
    </xf>
    <xf fontId="1" fillId="0" borderId="14" numFmtId="0" xfId="0" applyFont="1" applyBorder="1"/>
    <xf fontId="1" fillId="0" borderId="15" numFmtId="0" xfId="0" applyFont="1" applyBorder="1"/>
    <xf fontId="2" fillId="0" borderId="0" numFmtId="0" xfId="0" applyFont="1"/>
    <xf fontId="1" fillId="0" borderId="16" numFmtId="0" xfId="0" applyFont="1" applyBorder="1" applyAlignment="1">
      <alignment vertical="center"/>
    </xf>
    <xf fontId="4" fillId="2" borderId="9" numFmtId="0" xfId="0" applyFont="1" applyFill="1" applyBorder="1" applyAlignment="1">
      <alignment horizontal="center" vertical="center"/>
    </xf>
    <xf fontId="4" fillId="2" borderId="1" numFmtId="0" xfId="0" applyFont="1" applyFill="1" applyBorder="1" applyAlignment="1">
      <alignment horizontal="center" vertical="center"/>
    </xf>
    <xf fontId="1" fillId="0" borderId="0" numFmtId="0" xfId="0" applyFont="1" applyAlignment="1">
      <alignment vertical="center"/>
    </xf>
    <xf fontId="4" fillId="2" borderId="1" numFmtId="0" xfId="0" applyFont="1" applyFill="1" applyBorder="1" applyAlignment="1">
      <alignment vertical="center"/>
    </xf>
    <xf fontId="4" fillId="2" borderId="1" numFmtId="0" xfId="0" applyFont="1" applyFill="1" applyBorder="1" applyAlignment="1">
      <alignment horizontal="center" vertical="center" wrapText="1"/>
    </xf>
    <xf fontId="1" fillId="0" borderId="1" numFmtId="0" xfId="0" applyFont="1" applyBorder="1" applyAlignment="1">
      <alignment horizontal="center" vertical="top"/>
    </xf>
    <xf fontId="1" fillId="0" borderId="1" numFmtId="0" xfId="0" applyFont="1" applyBorder="1" applyAlignment="1">
      <alignment vertical="center" wrapText="1"/>
    </xf>
    <xf fontId="1" fillId="0" borderId="1" numFmtId="9" xfId="0" applyNumberFormat="1" applyFont="1" applyBorder="1" applyAlignment="1">
      <alignment horizontal="center" vertical="center"/>
    </xf>
    <xf fontId="1" fillId="0" borderId="1" numFmtId="3" xfId="0" applyNumberFormat="1" applyFont="1" applyBorder="1" applyAlignment="1">
      <alignment horizontal="center" vertical="center"/>
    </xf>
    <xf fontId="1" fillId="0" borderId="17" numFmtId="0" xfId="0" applyFont="1" applyBorder="1"/>
    <xf fontId="4" fillId="2" borderId="1" numFmtId="0" xfId="0" applyFont="1" applyFill="1" applyBorder="1"/>
    <xf fontId="4" fillId="2" borderId="1" numFmtId="166" xfId="0" applyNumberFormat="1" applyFont="1" applyFill="1" applyBorder="1" applyAlignment="1">
      <alignment horizontal="center" vertical="center"/>
    </xf>
    <xf fontId="4" fillId="2" borderId="1" numFmtId="3" xfId="0" applyNumberFormat="1" applyFont="1" applyFill="1" applyBorder="1" applyAlignment="1">
      <alignment horizontal="center" vertical="center"/>
    </xf>
    <xf fontId="1" fillId="0" borderId="0" numFmtId="0" xfId="0" applyFont="1" applyAlignment="1">
      <alignment wrapText="1"/>
    </xf>
    <xf fontId="1" fillId="0" borderId="0" numFmtId="0" xfId="0" applyFont="1" applyAlignment="1">
      <alignment horizontal="center" wrapText="1"/>
    </xf>
    <xf fontId="1" fillId="0" borderId="0" numFmtId="0" xfId="0" applyFont="1" applyAlignment="1">
      <alignment horizontal="center" vertical="center" wrapText="1"/>
    </xf>
    <xf fontId="1" fillId="0" borderId="0" numFmtId="0" xfId="0" applyFont="1" applyAlignment="1">
      <alignment vertical="center" wrapText="1"/>
    </xf>
    <xf fontId="1" fillId="0" borderId="0" numFmtId="0" xfId="0" applyFont="1" applyAlignment="1">
      <alignment horizontal="left" vertical="center" wrapText="1"/>
    </xf>
    <xf fontId="4" fillId="2" borderId="1" numFmtId="0" xfId="0" applyFont="1" applyFill="1" applyBorder="1" applyAlignment="1">
      <alignment vertical="center" wrapText="1"/>
    </xf>
    <xf fontId="1" fillId="0" borderId="18" numFmtId="0" xfId="0" applyFont="1" applyBorder="1" applyAlignment="1">
      <alignment horizontal="left" vertical="center" wrapText="1"/>
    </xf>
    <xf fontId="1" fillId="0" borderId="19" numFmtId="0" xfId="0" applyFont="1" applyBorder="1" applyAlignment="1">
      <alignment vertical="center" wrapText="1"/>
    </xf>
    <xf fontId="4" fillId="2" borderId="1" numFmtId="0" xfId="0" applyFont="1" applyFill="1" applyBorder="1" applyAlignment="1">
      <alignment horizontal="left" vertical="center" wrapText="1"/>
    </xf>
    <xf fontId="1" fillId="0" borderId="20" numFmtId="0" xfId="0" applyFont="1" applyBorder="1" applyAlignment="1">
      <alignment horizontal="left" vertical="center" wrapText="1"/>
    </xf>
    <xf fontId="1" fillId="0" borderId="21" numFmtId="0" xfId="0" applyFont="1" applyBorder="1" applyAlignment="1">
      <alignment vertical="center" wrapText="1"/>
    </xf>
    <xf fontId="3" fillId="2" borderId="1" numFmtId="0" xfId="0" applyFont="1" applyFill="1" applyBorder="1" applyAlignment="1">
      <alignment horizontal="center" vertical="center" wrapText="1"/>
    </xf>
    <xf fontId="3" fillId="2" borderId="1" numFmtId="3" xfId="0" applyNumberFormat="1" applyFont="1" applyFill="1" applyBorder="1" applyAlignment="1">
      <alignment horizontal="center" vertical="center" wrapText="1"/>
    </xf>
    <xf fontId="3" fillId="2" borderId="1" numFmtId="3" xfId="0" applyNumberFormat="1" applyFont="1" applyFill="1" applyBorder="1" applyAlignment="1">
      <alignment horizontal="left" vertical="center" wrapText="1"/>
    </xf>
    <xf fontId="1" fillId="0" borderId="0" numFmtId="9" xfId="0" applyNumberFormat="1" applyFont="1" applyAlignment="1">
      <alignment vertical="center" wrapText="1"/>
    </xf>
    <xf fontId="3" fillId="2" borderId="1" numFmtId="9" xfId="0" applyNumberFormat="1" applyFont="1" applyFill="1" applyBorder="1" applyAlignment="1">
      <alignment horizontal="center" vertical="center" wrapText="1"/>
    </xf>
    <xf fontId="3" fillId="2" borderId="1" numFmtId="9" xfId="0" applyNumberFormat="1" applyFont="1" applyFill="1" applyBorder="1" applyAlignment="1">
      <alignment horizontal="left" vertical="center" wrapText="1"/>
    </xf>
    <xf fontId="1" fillId="0" borderId="20" numFmtId="14" xfId="0" applyNumberFormat="1" applyFont="1" applyBorder="1" applyAlignment="1">
      <alignment horizontal="left" vertical="center" wrapText="1"/>
    </xf>
    <xf fontId="1" fillId="0" borderId="22" numFmtId="0" xfId="0" applyFont="1" applyBorder="1" applyAlignment="1">
      <alignment vertical="center" wrapText="1"/>
    </xf>
    <xf fontId="1" fillId="0" borderId="23" numFmtId="0" xfId="0" applyFont="1" applyBorder="1" applyAlignment="1">
      <alignment vertical="center" wrapText="1"/>
    </xf>
    <xf fontId="4" fillId="2" borderId="0" numFmtId="0" xfId="0" applyFont="1" applyFill="1" applyAlignment="1">
      <alignment horizontal="center" vertical="center" wrapText="1"/>
    </xf>
    <xf fontId="4" fillId="2" borderId="24" numFmtId="0" xfId="0" applyFont="1" applyFill="1" applyBorder="1" applyAlignment="1">
      <alignment horizontal="center" vertical="center" wrapText="1"/>
    </xf>
    <xf fontId="4" fillId="2" borderId="24" numFmtId="0" xfId="0" applyFont="1" applyFill="1" applyBorder="1" applyAlignment="1">
      <alignment horizontal="left" vertical="center" wrapText="1"/>
    </xf>
    <xf fontId="4" fillId="2" borderId="17" numFmtId="0" xfId="0" applyFont="1" applyFill="1" applyBorder="1" applyAlignment="1">
      <alignment horizontal="center" vertical="center" wrapText="1"/>
    </xf>
    <xf fontId="1" fillId="0" borderId="20" numFmtId="0" xfId="0" applyFont="1" applyBorder="1" applyAlignment="1">
      <alignment horizontal="center" vertical="center" wrapText="1"/>
    </xf>
    <xf fontId="1" fillId="0" borderId="20" numFmtId="0" xfId="0" applyFont="1" applyBorder="1" applyAlignment="1" quotePrefix="1">
      <alignment horizontal="left" vertical="center" wrapText="1"/>
    </xf>
    <xf fontId="1" fillId="0" borderId="25" numFmtId="0" xfId="0" applyFont="1" applyBorder="1"/>
    <xf fontId="1" fillId="3" borderId="20" numFmtId="0" xfId="0" applyFont="1" applyFill="1" applyBorder="1" applyAlignment="1">
      <alignment horizontal="left" vertical="center" wrapText="1"/>
    </xf>
    <xf fontId="5" fillId="3" borderId="20" numFmtId="0" xfId="0" applyFont="1" applyFill="1" applyBorder="1" applyAlignment="1">
      <alignment horizontal="left" vertical="center" wrapText="1"/>
    </xf>
    <xf fontId="1" fillId="0" borderId="20" numFmtId="0" xfId="0" applyFont="1" applyBorder="1"/>
    <xf fontId="1" fillId="0" borderId="0" numFmtId="0" xfId="0" applyFont="1" applyAlignment="1">
      <alignment horizontal="center"/>
    </xf>
    <xf fontId="1" fillId="4" borderId="20" numFmtId="0" xfId="0" applyFont="1" applyFill="1" applyBorder="1" applyAlignment="1">
      <alignment horizontal="left" vertical="center" wrapText="1"/>
    </xf>
    <xf fontId="1" fillId="4" borderId="20" numFmtId="0" xfId="0" applyFont="1" applyFill="1" applyBorder="1" applyAlignment="1" quotePrefix="1">
      <alignment horizontal="left" vertical="center" wrapText="1"/>
    </xf>
    <xf fontId="0" fillId="4" borderId="20" numFmtId="0" xfId="0" applyFill="1" applyBorder="1" applyAlignment="1" quotePrefix="1">
      <alignment horizontal="left" vertical="center" wrapText="1"/>
    </xf>
    <xf fontId="1" fillId="0" borderId="25" numFmtId="0" xfId="0" applyFont="1" applyBorder="1" applyAlignment="1">
      <alignment horizontal="left" vertical="center" wrapText="1"/>
    </xf>
    <xf fontId="0" fillId="0" borderId="20" numFmtId="0" xfId="0" applyBorder="1" applyAlignment="1" quotePrefix="1">
      <alignment horizontal="left" vertical="center" wrapText="1"/>
    </xf>
    <xf fontId="0" fillId="5" borderId="20" numFmtId="0" xfId="0" applyFill="1" applyBorder="1" applyAlignment="1">
      <alignment horizontal="left" vertical="center" wrapText="1"/>
    </xf>
    <xf fontId="1" fillId="5" borderId="20" numFmtId="0" xfId="0" applyFont="1" applyFill="1" applyBorder="1" applyAlignment="1">
      <alignment horizontal="left" vertical="center" wrapText="1"/>
    </xf>
    <xf fontId="0" fillId="5" borderId="20" numFmtId="0" xfId="0" applyFill="1" applyBorder="1" applyAlignment="1" quotePrefix="1">
      <alignment horizontal="left" vertical="center" wrapText="1"/>
    </xf>
    <xf fontId="0" fillId="4" borderId="20" numFmtId="0" xfId="0" applyFill="1" applyBorder="1" applyAlignment="1">
      <alignment horizontal="left" vertical="center" wrapText="1"/>
    </xf>
    <xf fontId="0" fillId="0" borderId="20" numFmtId="0" xfId="0" applyBorder="1" applyAlignment="1">
      <alignment horizontal="left" vertical="center" wrapText="1"/>
    </xf>
    <xf fontId="1" fillId="0" borderId="2" numFmtId="0" xfId="0" applyFont="1" applyBorder="1" applyAlignment="1">
      <alignment vertical="center" wrapText="1"/>
    </xf>
    <xf fontId="1" fillId="0" borderId="3" numFmtId="0" xfId="0" applyFont="1" applyBorder="1" applyAlignment="1">
      <alignment vertical="center" wrapText="1"/>
    </xf>
    <xf fontId="1" fillId="0" borderId="17" numFmtId="0" xfId="0" applyFont="1" applyBorder="1" applyAlignment="1">
      <alignment vertical="center" wrapText="1"/>
    </xf>
    <xf fontId="1" fillId="0" borderId="25" numFmtId="0" xfId="0" applyFont="1" applyBorder="1" applyAlignment="1">
      <alignment vertical="center" wrapText="1"/>
    </xf>
    <xf fontId="1" fillId="0" borderId="20" numFmtId="0" xfId="0" applyFont="1" applyBorder="1" applyAlignment="1">
      <alignment vertical="center" wrapText="1"/>
    </xf>
    <xf fontId="0" fillId="0" borderId="20" numFmtId="0" xfId="0" applyBorder="1" applyAlignment="1">
      <alignment horizontal="left" vertical="center" wrapText="1"/>
    </xf>
    <xf fontId="0" fillId="0" borderId="20" numFmtId="0" xfId="0" applyBorder="1" applyAlignment="1" quotePrefix="1">
      <alignment horizontal="left" vertical="center" wrapText="1"/>
    </xf>
    <xf fontId="1" fillId="0" borderId="26" numFmtId="0" xfId="0" applyFont="1" applyBorder="1" applyAlignment="1">
      <alignment horizontal="left" vertical="center" wrapText="1"/>
    </xf>
    <xf fontId="1" fillId="0" borderId="27" numFmtId="0" xfId="0" applyFont="1" applyBorder="1" applyAlignment="1">
      <alignment horizontal="left" vertical="center" wrapText="1"/>
    </xf>
    <xf fontId="1" fillId="0" borderId="26" numFmtId="0" xfId="0" applyFont="1" applyBorder="1" applyAlignment="1">
      <alignment horizontal="center" vertical="center" wrapText="1"/>
    </xf>
    <xf fontId="1" fillId="0" borderId="27" numFmtId="0" xfId="0" applyFont="1" applyBorder="1" applyAlignment="1">
      <alignment horizontal="center" vertical="center" wrapText="1"/>
    </xf>
    <xf fontId="0" fillId="0" borderId="25" numFmtId="0" xfId="0" applyBorder="1" applyAlignment="1">
      <alignment vertical="center" wrapText="1"/>
    </xf>
    <xf fontId="0" fillId="0" borderId="26" numFmtId="0" xfId="0" applyBorder="1" applyAlignment="1">
      <alignment horizontal="left" vertical="center" wrapText="1"/>
    </xf>
    <xf fontId="1" fillId="5" borderId="20" numFmtId="0" xfId="0" applyFont="1" applyFill="1" applyBorder="1" applyAlignment="1" quotePrefix="1">
      <alignment horizontal="left" vertical="center" wrapText="1"/>
    </xf>
    <xf fontId="1" fillId="3" borderId="20" numFmtId="0" xfId="0" applyFont="1" applyFill="1" applyBorder="1" applyAlignment="1" quotePrefix="1">
      <alignment horizontal="left" vertical="center" wrapText="1"/>
    </xf>
    <xf fontId="1" fillId="0" borderId="20" numFmtId="0" xfId="0" applyFont="1" applyFill="1" applyBorder="1" applyAlignment="1">
      <alignment horizontal="left" vertical="center" wrapText="1"/>
    </xf>
    <xf fontId="1" fillId="0" borderId="14" numFmtId="164" xfId="0" applyFont="1" applyBorder="1" applyAlignment="1">
      <alignment vertical="top" wrapText="1"/>
    </xf>
    <xf fontId="1" fillId="0" borderId="14" numFmtId="165" xfId="0" applyFont="1" applyBorder="1" applyAlignment="1">
      <alignment horizontal="right" vertical="top"/>
    </xf>
    <xf fontId="1" fillId="0" borderId="25" numFmtId="0" xfId="0" applyFont="1" applyBorder="1" applyAlignment="1">
      <alignment horizontal="left" vertical="center" wrapText="1"/>
    </xf>
    <xf fontId="1" fillId="0" borderId="20" numFmtId="0" xfId="0" applyFont="1" applyBorder="1" applyAlignment="1">
      <alignment horizontal="left" vertical="center" wrapText="1"/>
    </xf>
    <xf fontId="1" fillId="0" borderId="20" numFmtId="0" xfId="0" applyFont="1" applyBorder="1" applyAlignment="1">
      <alignment horizontal="left" vertical="center" wrapText="1"/>
    </xf>
    <xf fontId="1" fillId="0" borderId="6" numFmtId="164" xfId="0" applyFont="1" applyBorder="1" applyAlignment="1">
      <alignment vertical="top" wrapText="1"/>
    </xf>
    <xf fontId="1" fillId="0" borderId="6" numFmtId="165" xfId="0" applyFont="1" applyBorder="1" applyAlignment="1">
      <alignment horizontal="right" vertical="top"/>
    </xf>
    <xf fontId="1" fillId="0" borderId="6" numFmtId="0" xfId="0" applyFont="1" applyBorder="1" applyAlignment="1">
      <alignment vertical="top" wrapText="1"/>
    </xf>
    <xf fontId="1" fillId="0" borderId="6" numFmtId="0" xfId="0" applyFont="1" applyBorder="1" applyAlignment="1">
      <alignment horizontal="center" vertical="top"/>
    </xf>
    <xf fontId="1" fillId="0" borderId="6" numFmtId="0" xfId="0" applyFont="1" applyBorder="1" applyAlignment="1">
      <alignment vertical="center" wrapText="1"/>
    </xf>
    <xf fontId="1" fillId="0" borderId="25" numFmtId="0" xfId="0" applyFont="1" applyBorder="1" applyAlignment="1">
      <alignment horizontal="left" vertical="center" wrapText="1"/>
    </xf>
    <xf fontId="1" fillId="0" borderId="20" numFmtId="0" xfId="0" applyFont="1" applyBorder="1" applyAlignment="1">
      <alignment horizontal="left" vertical="center" wrapText="1"/>
    </xf>
    <xf fontId="1" fillId="0" borderId="20" numFmtId="0" xfId="0" applyFont="1" applyBorder="1" applyAlignment="1">
      <alignment horizontal="left" vertical="center" wrapText="1"/>
    </xf>
    <xf fontId="1" fillId="0" borderId="20" numFmtId="0" xfId="0" applyFont="1" applyFill="1" applyBorder="1" applyAlignment="1" quotePrefix="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10" Type="http://schemas.openxmlformats.org/officeDocument/2006/relationships/sharedStrings" Target="sharedStrings.xml"/><Relationship Id="rId11"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2" Type="http://schemas.openxmlformats.org/officeDocument/2006/relationships/worksheet" Target="worksheets/sheet9.xml"/><Relationship Id="rId13" Type="http://schemas.openxmlformats.org/officeDocument/2006/relationships/worksheet" Target="worksheets/sheet10.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0</xdr:col>
      <xdr:colOff>962025</xdr:colOff>
      <xdr:row>0</xdr:row>
      <xdr:rowOff>200025</xdr:rowOff>
    </xdr:from>
    <xdr:ext cx="1057275" cy="609600"/>
    <xdr:pic>
      <xdr:nvPicPr>
        <xdr:cNvPr id="2" name="image1.png" title="Image"/>
        <xdr:cNvPicPr/>
      </xdr:nvPicPr>
      <xdr:blipFill rotWithShape="1">
        <a:blip r:embed="rId1"/>
        <a:stretch/>
      </xdr:blipFill>
      <xdr:spPr bwMode="auto">
        <a:xfrm>
          <a:off x="0" y="0"/>
          <a:ext cx="0" cy="0"/>
        </a:xfrm>
        <a:prstGeom prst="rect">
          <a:avLst/>
        </a:prstGeom>
        <a:noFill/>
        <a:ln>
          <a:prstDash val="solid"/>
        </a:ln>
      </xdr:spPr>
    </xdr:pic>
    <xdr:clientData fLocksWithSheet="0"/>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363A45"/>
      </a:dk1>
      <a:lt1>
        <a:srgbClr val="FFFFFF"/>
      </a:lt1>
      <a:dk2>
        <a:srgbClr val="363A45"/>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B15" activeCellId="0" sqref="B15"/>
    </sheetView>
  </sheetViews>
  <sheetFormatPr defaultColWidth="12.5703125" defaultRowHeight="15" customHeight="1"/>
  <cols>
    <col customWidth="1" min="1" max="1" style="1" width="9.5703125"/>
    <col customWidth="1" min="2" max="2" style="1" width="22.42578125"/>
    <col customWidth="1" min="3" max="3" style="1" width="9.5703125"/>
    <col customWidth="1" min="4" max="4" style="1" width="17.85546875"/>
    <col customWidth="1" min="5" max="5" style="1" width="9.5703125"/>
    <col customWidth="1" min="6" max="6" style="1" width="20.42578125"/>
    <col customWidth="1" min="7" max="7" style="1" width="23.140625"/>
    <col customWidth="1" min="8" max="26" style="1" width="9.5703125"/>
  </cols>
  <sheetData>
    <row r="1" ht="15.75" customHeight="1"/>
    <row r="2" ht="48" customHeight="1">
      <c r="B2" s="2"/>
      <c r="C2" s="3" t="s">
        <v>0</v>
      </c>
      <c r="D2" s="4"/>
      <c r="E2" s="4"/>
      <c r="F2" s="4"/>
      <c r="G2" s="5"/>
    </row>
    <row r="3" ht="15.75" customHeight="1">
      <c r="B3" s="6" t="s">
        <v>1</v>
      </c>
      <c r="C3" s="7" t="s">
        <v>2</v>
      </c>
      <c r="D3" s="4"/>
      <c r="E3" s="5"/>
      <c r="F3" s="6" t="s">
        <v>3</v>
      </c>
      <c r="G3" s="7"/>
    </row>
    <row r="4" ht="15.75" customHeight="1">
      <c r="B4" s="6" t="s">
        <v>4</v>
      </c>
      <c r="C4" s="7"/>
      <c r="D4" s="4"/>
      <c r="E4" s="5"/>
      <c r="F4" s="6" t="s">
        <v>5</v>
      </c>
      <c r="G4" s="7"/>
    </row>
    <row r="5" ht="15.75" customHeight="1">
      <c r="B5" s="8" t="s">
        <v>6</v>
      </c>
      <c r="C5" s="7"/>
      <c r="D5" s="9"/>
      <c r="E5" s="10"/>
      <c r="F5" s="6" t="s">
        <v>7</v>
      </c>
      <c r="G5" s="11"/>
    </row>
    <row r="6" ht="15.75" customHeight="1">
      <c r="B6" s="12"/>
      <c r="C6" s="13"/>
      <c r="D6" s="14"/>
      <c r="E6" s="15"/>
      <c r="F6" s="6" t="s">
        <v>8</v>
      </c>
      <c r="G6" s="7" t="s">
        <v>3336</v>
      </c>
    </row>
    <row r="7" ht="15.75" customHeight="1">
      <c r="B7" s="6" t="s">
        <v>10</v>
      </c>
      <c r="C7" s="7"/>
      <c r="D7" s="4"/>
      <c r="E7" s="4"/>
      <c r="F7" s="4"/>
      <c r="G7" s="5"/>
    </row>
    <row r="8" ht="15.75" customHeight="1">
      <c r="B8" s="16" t="s">
        <v>11</v>
      </c>
      <c r="C8" s="17"/>
      <c r="D8" s="4"/>
      <c r="E8" s="4"/>
      <c r="F8" s="4"/>
      <c r="G8" s="5"/>
    </row>
    <row r="9" ht="15.75" customHeight="1">
      <c r="B9" s="6" t="s">
        <v>12</v>
      </c>
      <c r="C9" s="4"/>
      <c r="D9" s="4"/>
      <c r="E9" s="4"/>
      <c r="F9" s="4"/>
      <c r="G9" s="5"/>
    </row>
    <row r="10" ht="15.75" customHeight="1">
      <c r="A10" s="18"/>
      <c r="B10" s="19" t="s">
        <v>13</v>
      </c>
      <c r="C10" s="19" t="s">
        <v>8</v>
      </c>
      <c r="D10" s="19" t="s">
        <v>14</v>
      </c>
      <c r="E10" s="19" t="s">
        <v>15</v>
      </c>
      <c r="F10" s="19" t="s">
        <v>16</v>
      </c>
      <c r="G10" s="19" t="s">
        <v>17</v>
      </c>
      <c r="H10" s="20"/>
    </row>
    <row r="11" ht="15.75" customHeight="1">
      <c r="A11" s="18"/>
      <c r="B11" s="21" t="s">
        <v>18</v>
      </c>
      <c r="C11" s="22" t="s">
        <v>19</v>
      </c>
      <c r="D11" s="23" t="s">
        <v>20</v>
      </c>
      <c r="E11" s="24" t="s">
        <v>21</v>
      </c>
      <c r="F11" s="23" t="s">
        <v>22</v>
      </c>
      <c r="G11" s="25" t="s">
        <v>23</v>
      </c>
      <c r="H11" s="20"/>
    </row>
    <row r="12" ht="15.75" customHeight="1">
      <c r="A12" s="18"/>
      <c r="B12" s="26" t="s">
        <v>24</v>
      </c>
      <c r="C12" s="27" t="s">
        <v>25</v>
      </c>
      <c r="D12" s="28" t="s">
        <v>26</v>
      </c>
      <c r="E12" s="29" t="s">
        <v>27</v>
      </c>
      <c r="F12" s="28" t="s">
        <v>28</v>
      </c>
      <c r="G12" s="30" t="s">
        <v>29</v>
      </c>
      <c r="H12" s="20"/>
    </row>
    <row r="13" ht="15.75" customHeight="1">
      <c r="A13" s="18"/>
      <c r="B13" s="26" t="s">
        <v>24</v>
      </c>
      <c r="C13" s="27" t="s">
        <v>25</v>
      </c>
      <c r="D13" s="28" t="s">
        <v>30</v>
      </c>
      <c r="E13" s="29" t="s">
        <v>27</v>
      </c>
      <c r="F13" s="28" t="s">
        <v>31</v>
      </c>
      <c r="G13" s="30" t="s">
        <v>32</v>
      </c>
      <c r="H13" s="20"/>
      <c r="I13" s="31"/>
    </row>
    <row r="14" ht="41.25" customHeight="1">
      <c r="A14" s="18"/>
      <c r="B14" s="26" t="s">
        <v>33</v>
      </c>
      <c r="C14" s="27" t="s">
        <v>34</v>
      </c>
      <c r="D14" s="28" t="s">
        <v>35</v>
      </c>
      <c r="E14" s="29" t="s">
        <v>21</v>
      </c>
      <c r="F14" s="28" t="s">
        <v>36</v>
      </c>
      <c r="G14" s="30" t="s">
        <v>37</v>
      </c>
      <c r="H14" s="20"/>
    </row>
    <row r="15" ht="79.5" customHeight="1">
      <c r="A15" s="18"/>
      <c r="B15" s="26" t="s">
        <v>38</v>
      </c>
      <c r="C15" s="27" t="s">
        <v>39</v>
      </c>
      <c r="D15" s="28" t="s">
        <v>40</v>
      </c>
      <c r="E15" s="29" t="s">
        <v>27</v>
      </c>
      <c r="F15" s="28" t="s">
        <v>41</v>
      </c>
      <c r="G15" s="30" t="s">
        <v>42</v>
      </c>
      <c r="H15" s="20"/>
    </row>
    <row r="16" ht="79.5" customHeight="1">
      <c r="A16" s="18"/>
      <c r="B16" s="26" t="s">
        <v>38</v>
      </c>
      <c r="C16" s="27" t="s">
        <v>39</v>
      </c>
      <c r="D16" s="28" t="s">
        <v>43</v>
      </c>
      <c r="E16" s="29" t="s">
        <v>21</v>
      </c>
      <c r="F16" s="28" t="s">
        <v>44</v>
      </c>
      <c r="G16" s="30" t="s">
        <v>45</v>
      </c>
      <c r="H16" s="20"/>
    </row>
    <row r="17" ht="41.25" customHeight="1">
      <c r="A17" s="18"/>
      <c r="B17" s="26" t="s">
        <v>46</v>
      </c>
      <c r="C17" s="27" t="s">
        <v>47</v>
      </c>
      <c r="D17" s="28" t="s">
        <v>43</v>
      </c>
      <c r="E17" s="29" t="s">
        <v>27</v>
      </c>
      <c r="F17" s="28" t="s">
        <v>48</v>
      </c>
      <c r="G17" s="30" t="s">
        <v>49</v>
      </c>
      <c r="H17" s="20"/>
    </row>
    <row r="18" ht="92.25" customHeight="1">
      <c r="A18" s="18"/>
      <c r="B18" s="26" t="s">
        <v>46</v>
      </c>
      <c r="C18" s="27" t="s">
        <v>50</v>
      </c>
      <c r="D18" s="28" t="s">
        <v>43</v>
      </c>
      <c r="E18" s="29" t="s">
        <v>27</v>
      </c>
      <c r="F18" s="28" t="s">
        <v>51</v>
      </c>
      <c r="G18" s="30" t="s">
        <v>52</v>
      </c>
      <c r="H18" s="20"/>
    </row>
    <row r="19" ht="54" customHeight="1">
      <c r="A19" s="18"/>
      <c r="B19" s="26" t="s">
        <v>46</v>
      </c>
      <c r="C19" s="27" t="s">
        <v>50</v>
      </c>
      <c r="D19" s="28" t="s">
        <v>26</v>
      </c>
      <c r="E19" s="29" t="s">
        <v>27</v>
      </c>
      <c r="F19" s="28" t="s">
        <v>53</v>
      </c>
      <c r="G19" s="30" t="s">
        <v>54</v>
      </c>
      <c r="H19" s="20"/>
    </row>
    <row r="20" ht="15.75" customHeight="1">
      <c r="A20" s="18"/>
      <c r="B20" s="26" t="s">
        <v>55</v>
      </c>
      <c r="C20" s="27" t="s">
        <v>56</v>
      </c>
      <c r="D20" s="28" t="s">
        <v>57</v>
      </c>
      <c r="E20" s="29" t="s">
        <v>21</v>
      </c>
      <c r="F20" s="28" t="s">
        <v>58</v>
      </c>
      <c r="G20" s="30" t="s">
        <v>59</v>
      </c>
      <c r="H20" s="20"/>
    </row>
    <row r="21" ht="15.75" customHeight="1">
      <c r="A21" s="18"/>
      <c r="B21" s="106" t="s">
        <v>55</v>
      </c>
      <c r="C21" s="107" t="s">
        <v>3053</v>
      </c>
      <c r="D21" s="28" t="s">
        <v>57</v>
      </c>
      <c r="E21" s="29" t="s">
        <v>27</v>
      </c>
      <c r="F21" s="28" t="s">
        <v>3054</v>
      </c>
      <c r="G21" s="30" t="s">
        <v>3108</v>
      </c>
      <c r="H21" s="20"/>
    </row>
    <row r="22" ht="15.75" customHeight="1">
      <c r="A22" s="18"/>
      <c r="B22" s="106" t="s">
        <v>55</v>
      </c>
      <c r="C22" s="107" t="s">
        <v>3105</v>
      </c>
      <c r="D22" s="28" t="s">
        <v>57</v>
      </c>
      <c r="E22" s="29" t="s">
        <v>27</v>
      </c>
      <c r="F22" s="28" t="s">
        <v>3106</v>
      </c>
      <c r="G22" s="30" t="s">
        <v>3055</v>
      </c>
      <c r="H22" s="20"/>
    </row>
    <row r="23" ht="15.75" customHeight="1">
      <c r="A23" s="18"/>
      <c r="B23" s="106" t="s">
        <v>55</v>
      </c>
      <c r="C23" s="107" t="s">
        <v>3156</v>
      </c>
      <c r="D23" s="28" t="s">
        <v>57</v>
      </c>
      <c r="E23" s="29" t="s">
        <v>27</v>
      </c>
      <c r="F23" s="28" t="s">
        <v>3157</v>
      </c>
      <c r="G23" s="30" t="s">
        <v>3158</v>
      </c>
      <c r="H23" s="20"/>
    </row>
    <row r="24" ht="15.75" customHeight="1">
      <c r="B24" s="111" t="s">
        <v>55</v>
      </c>
      <c r="C24" s="112" t="s">
        <v>3160</v>
      </c>
      <c r="D24" s="113" t="s">
        <v>57</v>
      </c>
      <c r="E24" s="114" t="s">
        <v>27</v>
      </c>
      <c r="F24" s="113" t="s">
        <v>3161</v>
      </c>
      <c r="G24" s="115" t="s">
        <v>3162</v>
      </c>
    </row>
    <row r="25" ht="15.75" customHeight="1">
      <c r="B25" s="111" t="s">
        <v>3330</v>
      </c>
      <c r="C25" s="112" t="s">
        <v>3333</v>
      </c>
      <c r="D25" s="113" t="s">
        <v>3332</v>
      </c>
      <c r="E25" s="114" t="s">
        <v>21</v>
      </c>
      <c r="F25" s="113" t="s">
        <v>3334</v>
      </c>
      <c r="G25" s="115" t="s">
        <v>3335</v>
      </c>
    </row>
    <row r="26" ht="15.75" customHeight="1">
      <c r="B26" s="34" t="s">
        <v>60</v>
      </c>
    </row>
    <row r="27" ht="15.75" customHeight="1">
      <c r="B27" s="1" t="s">
        <v>61</v>
      </c>
    </row>
    <row r="28" ht="15.75" customHeight="1">
      <c r="B28" s="1" t="s">
        <v>62</v>
      </c>
    </row>
    <row r="29" ht="15.75" customHeight="1">
      <c r="B29" s="1" t="s">
        <v>63</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C7:G7"/>
    <mergeCell ref="C5:E6"/>
    <mergeCell ref="C2:G2"/>
    <mergeCell ref="B9:G9"/>
    <mergeCell ref="C4:E4"/>
    <mergeCell ref="C3:E3"/>
    <mergeCell ref="C8:G8"/>
    <mergeCell ref="B5:B6"/>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D2F1DA"/>
    <outlinePr applyStyles="0" summaryBelow="0" summaryRight="0" showOutlineSymbols="1"/>
    <pageSetUpPr autoPageBreaks="1" fitToPage="0"/>
  </sheetPr>
  <sheetViews>
    <sheetView zoomScale="100" workbookViewId="0">
      <selection activeCell="A1" activeCellId="0" sqref="A1"/>
    </sheetView>
  </sheetViews>
  <sheetFormatPr defaultColWidth="12.5703125" defaultRowHeight="15" customHeight="1"/>
  <cols>
    <col customWidth="1" min="1" max="1" style="1" width="1"/>
    <col customWidth="1" min="2" max="2" style="1" width="11"/>
    <col customWidth="1" min="3" max="3" style="1" width="26.7109375"/>
    <col customWidth="1" min="4" max="4" style="1" width="46.42578125"/>
    <col customWidth="1" min="5" max="5" style="1" width="10.42578125"/>
    <col customWidth="1" min="6" max="6" style="1" width="9"/>
    <col customWidth="1" min="7" max="9" style="1" width="6.7109375"/>
    <col customWidth="1" min="10" max="10" style="1" width="8.140625"/>
    <col customWidth="1" min="11" max="11" style="1" width="7.85546875"/>
    <col customWidth="1" min="12" max="12" style="1" width="6.7109375"/>
    <col customWidth="1" min="13" max="13" style="1" width="9.140625"/>
    <col customWidth="1" min="14" max="14" style="1" width="11.42578125"/>
    <col customWidth="1" min="15" max="15" style="1" width="9"/>
    <col customWidth="1" min="16" max="16" style="1" width="5.5703125"/>
    <col customWidth="1" min="17" max="17" style="1" width="7.140625"/>
    <col customWidth="1" min="18" max="18" style="1" width="6.28515625"/>
    <col customWidth="1" min="19" max="19" style="1" width="8.140625"/>
    <col customWidth="1" min="20" max="20" style="1" width="7.85546875"/>
    <col customWidth="1" min="21" max="21" style="1" width="4.7109375"/>
    <col customWidth="1" min="22" max="22" style="1" width="8.28515625"/>
    <col customWidth="1" min="23" max="28" style="1" width="9.5703125"/>
  </cols>
  <sheetData>
    <row r="1" ht="15.75" customHeight="1"/>
    <row r="2" ht="24.75" customHeight="1">
      <c r="B2" s="35"/>
      <c r="C2" s="35"/>
      <c r="D2" s="35"/>
      <c r="E2" s="36" t="s">
        <v>64</v>
      </c>
      <c r="F2" s="14"/>
      <c r="G2" s="14"/>
      <c r="H2" s="14"/>
      <c r="I2" s="14"/>
      <c r="J2" s="14"/>
      <c r="K2" s="14"/>
      <c r="L2" s="14"/>
      <c r="M2" s="15"/>
      <c r="N2" s="37" t="s">
        <v>65</v>
      </c>
      <c r="O2" s="4"/>
      <c r="P2" s="4"/>
      <c r="Q2" s="4"/>
      <c r="R2" s="4"/>
      <c r="S2" s="4"/>
      <c r="T2" s="4"/>
      <c r="U2" s="4"/>
      <c r="V2" s="5"/>
    </row>
    <row r="3" ht="30.75" customHeight="1">
      <c r="A3" s="38"/>
      <c r="B3" s="39" t="s">
        <v>66</v>
      </c>
      <c r="C3" s="37" t="s">
        <v>67</v>
      </c>
      <c r="D3" s="37" t="s">
        <v>68</v>
      </c>
      <c r="E3" s="40" t="s">
        <v>69</v>
      </c>
      <c r="F3" s="37" t="s">
        <v>70</v>
      </c>
      <c r="G3" s="37" t="s">
        <v>71</v>
      </c>
      <c r="H3" s="37" t="s">
        <v>72</v>
      </c>
      <c r="I3" s="37" t="s">
        <v>73</v>
      </c>
      <c r="J3" s="37" t="s">
        <v>74</v>
      </c>
      <c r="K3" s="37" t="s">
        <v>75</v>
      </c>
      <c r="L3" s="37" t="s">
        <v>76</v>
      </c>
      <c r="M3" s="40" t="s">
        <v>77</v>
      </c>
      <c r="N3" s="37" t="s">
        <v>78</v>
      </c>
      <c r="O3" s="37" t="s">
        <v>70</v>
      </c>
      <c r="P3" s="37" t="s">
        <v>71</v>
      </c>
      <c r="Q3" s="37" t="s">
        <v>72</v>
      </c>
      <c r="R3" s="37" t="s">
        <v>73</v>
      </c>
      <c r="S3" s="37" t="s">
        <v>74</v>
      </c>
      <c r="T3" s="37" t="s">
        <v>75</v>
      </c>
      <c r="U3" s="37" t="s">
        <v>76</v>
      </c>
      <c r="V3" s="40" t="s">
        <v>77</v>
      </c>
      <c r="W3" s="38"/>
      <c r="X3" s="38"/>
      <c r="Y3" s="38"/>
      <c r="Z3" s="38"/>
      <c r="AA3" s="38"/>
    </row>
    <row r="4" ht="15.75" customHeight="1">
      <c r="A4"/>
      <c r="B4" s="41" t="s">
        <v>30</v>
      </c>
      <c r="C4" s="42" t="s">
        <v>79</v>
      </c>
      <c r="D4" s="42" t="s">
        <v>80</v>
      </c>
      <c r="E4" s="43">
        <f>F4/G4</f>
      </c>
      <c r="F4" s="44">
        <f>SUM(H4:L4)</f>
      </c>
      <c r="G4" s="44">
        <f>SUM(H4:M4)</f>
      </c>
      <c r="H4" s="44">
        <f>COUNTIF('Login'!$M$13:$M$15,H$3)</f>
      </c>
      <c r="I4" s="44">
        <f>COUNTIF('Login'!$M$13:$M$15,I$3)</f>
      </c>
      <c r="J4" s="44">
        <f>COUNTIF('Login'!$M$13:$M$15,J$3)</f>
      </c>
      <c r="K4" s="44">
        <f>COUNTIF('Login'!$M$13:$M$15,K$3)</f>
      </c>
      <c r="L4" s="44">
        <f>COUNTIF('Login'!$M$13:$M$15,L$3)</f>
      </c>
      <c r="M4" s="44">
        <f>COUNTA('Login'!$G$13:$G$15)-SUM(H4:L4)</f>
      </c>
      <c r="N4" s="43">
        <f>O4/P4</f>
      </c>
      <c r="O4" s="44">
        <f>SUM(Q4:U4)</f>
      </c>
      <c r="P4" s="44">
        <f>SUM(Q4:V4)</f>
      </c>
      <c r="Q4" s="44">
        <f>COUNTIF('Login'!$R$13:$R$15,Q$3)</f>
      </c>
      <c r="R4" s="44">
        <f>COUNTIF('Login'!$R$13:$R$15,R$3)</f>
      </c>
      <c r="S4" s="44">
        <f>COUNTIF('Login'!$R$13:$R$15,S$3)</f>
      </c>
      <c r="T4" s="44">
        <f>COUNTIF('Login'!$R$13:$R$15,T$3)</f>
      </c>
      <c r="U4" s="44">
        <f>COUNTIF('Login'!$R$13:$R$15,U$3)</f>
      </c>
      <c r="V4" s="44">
        <f>COUNTA('Login'!$G$13:$G$15)-SUM(Q4:U4)</f>
      </c>
    </row>
    <row r="5" ht="15.75" customHeight="1">
      <c r="A5"/>
      <c r="B5" s="45"/>
      <c r="C5" s="42" t="s">
        <v>79</v>
      </c>
      <c r="D5" s="42" t="s">
        <v>81</v>
      </c>
      <c r="E5" s="43">
        <f>F5/G5</f>
      </c>
      <c r="F5" s="44">
        <f>SUM(H5:L5)</f>
      </c>
      <c r="G5" s="44">
        <f>SUM(H5:M5)</f>
      </c>
      <c r="H5" s="44">
        <f>COUNTIF('Login'!$M$16:$M$19,H$3)</f>
      </c>
      <c r="I5" s="44">
        <f>COUNTIF('Login'!$M$16:$M$19,I$3)</f>
      </c>
      <c r="J5" s="44">
        <f>COUNTIF('Login'!$M$16:$M$19,J$3)</f>
      </c>
      <c r="K5" s="44">
        <f>COUNTIF('Login'!$M$16:$M$19,K$3)</f>
      </c>
      <c r="L5" s="44">
        <f>COUNTIF('Login'!$M$16:$M$19,L$3)</f>
      </c>
      <c r="M5" s="44">
        <f>COUNTA('Login'!$G$16:$G$19)-SUM(H5:L5)</f>
      </c>
      <c r="N5" s="43">
        <f>O5/P5</f>
      </c>
      <c r="O5" s="44">
        <f>SUM(Q5:U5)</f>
      </c>
      <c r="P5" s="44">
        <f>SUM(Q5:V5)</f>
      </c>
      <c r="Q5" s="44">
        <f>COUNTIF('Login'!$R$16:$R$19,Q$3)</f>
      </c>
      <c r="R5" s="44">
        <f>COUNTIF('Login'!$R$16:$R$19,R$3)</f>
      </c>
      <c r="S5" s="44">
        <f>COUNTIF('Login'!$R$16:$R$19,S$3)</f>
      </c>
      <c r="T5" s="44">
        <f>COUNTIF('Login'!$R$16:$R$19,T$3)</f>
      </c>
      <c r="U5" s="44">
        <f>COUNTIF('Login'!$R$16:$R$19,U$3)</f>
      </c>
      <c r="V5" s="44">
        <f>COUNTA('Login'!$G$16:$G$19)-SUM(Q5:U5)</f>
      </c>
    </row>
    <row r="6" ht="15.75" customHeight="1">
      <c r="A6"/>
      <c r="B6" s="45"/>
      <c r="C6" s="42" t="s">
        <v>79</v>
      </c>
      <c r="D6" s="42" t="s">
        <v>82</v>
      </c>
      <c r="E6" s="43">
        <f>F6/G6</f>
      </c>
      <c r="F6" s="44">
        <f>SUM(H6:L6)</f>
      </c>
      <c r="G6" s="44">
        <f>SUM(H6:M6)</f>
      </c>
      <c r="H6" s="44">
        <f>COUNTIF('Login'!$M$20:$M$23,H$3)</f>
      </c>
      <c r="I6" s="44">
        <f>COUNTIF('Login'!$M$20:$M$23,I$3)</f>
      </c>
      <c r="J6" s="44">
        <f>COUNTIF('Login'!$M$20:$M$23,J$3)</f>
      </c>
      <c r="K6" s="44">
        <f>COUNTIF('Login'!$M$20:$M$23,K$3)</f>
      </c>
      <c r="L6" s="44">
        <f>COUNTIF('Login'!$M$20:$M$23,L$3)</f>
      </c>
      <c r="M6" s="44">
        <f>COUNTA('Login'!$G$20:$G$23)-SUM(H6:L6)</f>
      </c>
      <c r="N6" s="43">
        <f>O6/P6</f>
      </c>
      <c r="O6" s="44">
        <f>SUM(Q6:U6)</f>
      </c>
      <c r="P6" s="44">
        <f>SUM(Q6:V6)</f>
      </c>
      <c r="Q6" s="44">
        <f>COUNTIF('Login'!$R$20:$R$23,Q$3)</f>
      </c>
      <c r="R6" s="44">
        <f>COUNTIF('Login'!$R$20:$R$23,R$3)</f>
      </c>
      <c r="S6" s="44">
        <f>COUNTIF('Login'!$R$20:$R$23,S$3)</f>
      </c>
      <c r="T6" s="44">
        <f>COUNTIF('Login'!$R$20:$R$23,T$3)</f>
      </c>
      <c r="U6" s="44">
        <f>COUNTIF('Login'!$R$20:$R$23,U$3)</f>
      </c>
      <c r="V6" s="44">
        <f>COUNTA('Login'!$G$20:$G$23)-SUM(Q6:U6)</f>
      </c>
    </row>
    <row r="7" ht="15.75" customHeight="1">
      <c r="A7"/>
      <c r="B7" s="45"/>
      <c r="C7" s="42" t="s">
        <v>79</v>
      </c>
      <c r="D7" s="42" t="s">
        <v>83</v>
      </c>
      <c r="E7" s="43">
        <f>F7/G7</f>
      </c>
      <c r="F7" s="44">
        <f>SUM(H7:L7)</f>
      </c>
      <c r="G7" s="44">
        <f>SUM(H7:M7)</f>
      </c>
      <c r="H7" s="44">
        <f>COUNTIF('Login'!$M$24:$M$32,H$3)</f>
      </c>
      <c r="I7" s="44">
        <f>COUNTIF('Login'!$M$24:$M$32,I$3)</f>
      </c>
      <c r="J7" s="44">
        <f>COUNTIF('Login'!$M$24:$M$32,J$3)</f>
      </c>
      <c r="K7" s="44">
        <f>COUNTIF('Login'!$M$24:$M$32,K$3)</f>
      </c>
      <c r="L7" s="44">
        <f>COUNTIF('Login'!$M$24:$M$32,L$3)</f>
      </c>
      <c r="M7" s="44">
        <f>COUNTA('Login'!$G$24:$G$32)-SUM(H7:L7)</f>
      </c>
      <c r="N7" s="43">
        <f>O7/P7</f>
      </c>
      <c r="O7" s="44">
        <f>SUM(Q7:U7)</f>
      </c>
      <c r="P7" s="44">
        <f>SUM(Q7:V7)</f>
      </c>
      <c r="Q7" s="44">
        <f>COUNTIF('Login'!$R$24:$R$32,Q$3)</f>
      </c>
      <c r="R7" s="44">
        <f>COUNTIF('Login'!$R$24:$R$32,R$3)</f>
      </c>
      <c r="S7" s="44">
        <f>COUNTIF('Login'!$R$24:$R$32,S$3)</f>
      </c>
      <c r="T7" s="44">
        <f>COUNTIF('Login'!$R$24:$R$32,T$3)</f>
      </c>
      <c r="U7" s="44">
        <f>COUNTIF('Login'!$R$24:$R$32,U$3)</f>
      </c>
      <c r="V7" s="44">
        <f>COUNTA('Login'!$G$24:$G$32)-SUM(Q7:U7)</f>
      </c>
    </row>
    <row r="8" ht="15.75" customHeight="1">
      <c r="A8"/>
      <c r="B8" s="45"/>
      <c r="C8" s="42" t="s">
        <v>79</v>
      </c>
      <c r="D8" s="42" t="s">
        <v>84</v>
      </c>
      <c r="E8" s="43">
        <f>F8/G8</f>
      </c>
      <c r="F8" s="44">
        <f>SUM(H8:L8)</f>
      </c>
      <c r="G8" s="44">
        <f>SUM(H8:M8)</f>
      </c>
      <c r="H8" s="44">
        <f>COUNTIF('Login'!$M$33:$M$39,H$3)</f>
      </c>
      <c r="I8" s="44">
        <f>COUNTIF('Login'!$M$33:$M$39,I$3)</f>
      </c>
      <c r="J8" s="44">
        <f>COUNTIF('Login'!$M$33:$M$39,J$3)</f>
      </c>
      <c r="K8" s="44">
        <f>COUNTIF('Login'!$M$33:$M$39,K$3)</f>
      </c>
      <c r="L8" s="44">
        <f>COUNTIF('Login'!$M$33:$M$39,L$3)</f>
      </c>
      <c r="M8" s="44">
        <f>COUNTA('Login'!$G$33:$G$39)-SUM(H8:L8)</f>
      </c>
      <c r="N8" s="43">
        <f>O8/P8</f>
      </c>
      <c r="O8" s="44">
        <f>SUM(Q8:U8)</f>
      </c>
      <c r="P8" s="44">
        <f>SUM(Q8:V8)</f>
      </c>
      <c r="Q8" s="44">
        <f>COUNTIF('Login'!$R$33:$R$39,Q$3)</f>
      </c>
      <c r="R8" s="44">
        <f>COUNTIF('Login'!$R$33:$R$39,R$3)</f>
      </c>
      <c r="S8" s="44">
        <f>COUNTIF('Login'!$R$33:$R$39,S$3)</f>
      </c>
      <c r="T8" s="44">
        <f>COUNTIF('Login'!$R$33:$R$39,T$3)</f>
      </c>
      <c r="U8" s="44">
        <f>COUNTIF('Login'!$R$33:$R$39,U$3)</f>
      </c>
      <c r="V8" s="44">
        <f>COUNTA('Login'!$G$33:$G$39)-SUM(Q8:U8)</f>
      </c>
    </row>
    <row r="9" ht="15.75" customHeight="1">
      <c r="A9"/>
      <c r="B9" s="45"/>
      <c r="C9" s="42" t="s">
        <v>79</v>
      </c>
      <c r="D9" s="42" t="s">
        <v>85</v>
      </c>
      <c r="E9" s="43">
        <f>F9/G9</f>
      </c>
      <c r="F9" s="44">
        <f>SUM(H9:L9)</f>
      </c>
      <c r="G9" s="44">
        <f>SUM(H9:M9)</f>
      </c>
      <c r="H9" s="44">
        <f>COUNTIF('Login'!$M$40:$M$43,H$3)</f>
      </c>
      <c r="I9" s="44">
        <f>COUNTIF('Login'!$M$40:$M$43,I$3)</f>
      </c>
      <c r="J9" s="44">
        <f>COUNTIF('Login'!$M$40:$M$43,J$3)</f>
      </c>
      <c r="K9" s="44">
        <f>COUNTIF('Login'!$M$40:$M$43,K$3)</f>
      </c>
      <c r="L9" s="44">
        <f>COUNTIF('Login'!$M$40:$M$43,L$3)</f>
      </c>
      <c r="M9" s="44">
        <f>COUNTA('Login'!$G$40:$G$43)-SUM(H9:L9)</f>
      </c>
      <c r="N9" s="43">
        <f>O9/P9</f>
      </c>
      <c r="O9" s="44">
        <f>SUM(Q9:U9)</f>
      </c>
      <c r="P9" s="44">
        <f>SUM(Q9:V9)</f>
      </c>
      <c r="Q9" s="44">
        <f>COUNTIF('Login'!$R$40:$R$43,Q$3)</f>
      </c>
      <c r="R9" s="44">
        <f>COUNTIF('Login'!$R$40:$R$43,R$3)</f>
      </c>
      <c r="S9" s="44">
        <f>COUNTIF('Login'!$R$40:$R$43,S$3)</f>
      </c>
      <c r="T9" s="44">
        <f>COUNTIF('Login'!$R$40:$R$43,T$3)</f>
      </c>
      <c r="U9" s="44">
        <f>COUNTIF('Login'!$R$40:$R$43,U$3)</f>
      </c>
      <c r="V9" s="44">
        <f>COUNTA('Login'!$G$40:$G$43)-SUM(Q9:U9)</f>
      </c>
    </row>
    <row r="10" ht="15.75" customHeight="1">
      <c r="A10"/>
      <c r="B10" s="45"/>
      <c r="C10" s="42" t="s">
        <v>79</v>
      </c>
      <c r="D10" s="42" t="s">
        <v>86</v>
      </c>
      <c r="E10" s="43">
        <f>F10/G10</f>
      </c>
      <c r="F10" s="44">
        <f>SUM(H10:L10)</f>
      </c>
      <c r="G10" s="44">
        <f>SUM(H10:M10)</f>
      </c>
      <c r="H10" s="44">
        <f>COUNTIF('Login'!$M$44:$M$53,H$3)</f>
      </c>
      <c r="I10" s="44">
        <f>COUNTIF('Login'!$M$44:$M$53,I$3)</f>
      </c>
      <c r="J10" s="44">
        <f>COUNTIF('Login'!$M$44:$M$53,J$3)</f>
      </c>
      <c r="K10" s="44">
        <f>COUNTIF('Login'!$M$44:$M$53,K$3)</f>
      </c>
      <c r="L10" s="44">
        <f>COUNTIF('Login'!$M$44:$M$53,L$3)</f>
      </c>
      <c r="M10" s="44">
        <f>COUNTA('Login'!$G$44:$G$53)-SUM(H10:L10)</f>
      </c>
      <c r="N10" s="43">
        <f>O10/P10</f>
      </c>
      <c r="O10" s="44">
        <f>SUM(Q10:U10)</f>
      </c>
      <c r="P10" s="44">
        <f>SUM(Q10:V10)</f>
      </c>
      <c r="Q10" s="44">
        <f>COUNTIF('Login'!$R$44:$R$53,Q$3)</f>
      </c>
      <c r="R10" s="44">
        <f>COUNTIF('Login'!$R$44:$R$53,R$3)</f>
      </c>
      <c r="S10" s="44">
        <f>COUNTIF('Login'!$R$44:$R$53,S$3)</f>
      </c>
      <c r="T10" s="44">
        <f>COUNTIF('Login'!$R$44:$R$53,T$3)</f>
      </c>
      <c r="U10" s="44">
        <f>COUNTIF('Login'!$R$44:$R$53,U$3)</f>
      </c>
      <c r="V10" s="44">
        <f>COUNTA('Login'!$G$44:$G$53)-SUM(Q10:U10)</f>
      </c>
    </row>
    <row r="11" ht="15.75" customHeight="1">
      <c r="A11"/>
      <c r="B11" s="45"/>
      <c r="C11" s="42" t="s">
        <v>79</v>
      </c>
      <c r="D11" s="42" t="s">
        <v>87</v>
      </c>
      <c r="E11" s="43">
        <f>F11/G11</f>
      </c>
      <c r="F11" s="44">
        <f>SUM(H11:L11)</f>
      </c>
      <c r="G11" s="44">
        <f>SUM(H11:M11)</f>
      </c>
      <c r="H11" s="44">
        <f>COUNTIF('Login'!$M$54:$M$56,H$3)</f>
      </c>
      <c r="I11" s="44">
        <f>COUNTIF('Login'!$M$54:$M$56,I$3)</f>
      </c>
      <c r="J11" s="44">
        <f>COUNTIF('Login'!$M$54:$M$56,J$3)</f>
      </c>
      <c r="K11" s="44">
        <f>COUNTIF('Login'!$M$54:$M$56,K$3)</f>
      </c>
      <c r="L11" s="44">
        <f>COUNTIF('Login'!$M$54:$M$56,L$3)</f>
      </c>
      <c r="M11" s="44">
        <f>COUNTA('Login'!$G$54:$G$56)-SUM(H11:L11)</f>
      </c>
      <c r="N11" s="43">
        <f>O11/P11</f>
      </c>
      <c r="O11" s="44">
        <f>SUM(Q11:U11)</f>
      </c>
      <c r="P11" s="44">
        <f>SUM(Q11:V11)</f>
      </c>
      <c r="Q11" s="44">
        <f>COUNTIF('Login'!$R$54:$R$56,Q$3)</f>
      </c>
      <c r="R11" s="44">
        <f>COUNTIF('Login'!$R$54:$R$56,R$3)</f>
      </c>
      <c r="S11" s="44">
        <f>COUNTIF('Login'!$R$54:$R$56,S$3)</f>
      </c>
      <c r="T11" s="44">
        <f>COUNTIF('Login'!$R$54:$R$56,T$3)</f>
      </c>
      <c r="U11" s="44">
        <f>COUNTIF('Login'!$R$54:$R$56,U$3)</f>
      </c>
      <c r="V11" s="44">
        <f>COUNTA('Login'!$G$54:$G$56)-SUM(Q11:U11)</f>
      </c>
    </row>
    <row r="12" ht="15.75" customHeight="1">
      <c r="A12"/>
      <c r="B12" s="45"/>
      <c r="C12" s="42" t="s">
        <v>79</v>
      </c>
      <c r="D12" s="42" t="s">
        <v>88</v>
      </c>
      <c r="E12" s="43">
        <f>F12/G12</f>
      </c>
      <c r="F12" s="44">
        <f>SUM(H12:L12)</f>
      </c>
      <c r="G12" s="44">
        <f>SUM(H12:M12)</f>
      </c>
      <c r="H12" s="44">
        <f>COUNTIF('Login'!$M$57:$M$59,H$3)</f>
      </c>
      <c r="I12" s="44">
        <f>COUNTIF('Login'!$M$57:$M$59,I$3)</f>
      </c>
      <c r="J12" s="44">
        <f>COUNTIF('Login'!$M$57:$M$59,J$3)</f>
      </c>
      <c r="K12" s="44">
        <f>COUNTIF('Login'!$M$57:$M$59,K$3)</f>
      </c>
      <c r="L12" s="44">
        <f>COUNTIF('Login'!$M$57:$M$59,L$3)</f>
      </c>
      <c r="M12" s="44">
        <f>COUNTA('Login'!$G$57:$G$59)-SUM(H12:L12)</f>
      </c>
      <c r="N12" s="43">
        <f>O12/P12</f>
      </c>
      <c r="O12" s="44">
        <f>SUM(Q12:U12)</f>
      </c>
      <c r="P12" s="44">
        <f>SUM(Q12:V12)</f>
      </c>
      <c r="Q12" s="44">
        <f>COUNTIF('Login'!$R$57:$R$59,Q$3)</f>
      </c>
      <c r="R12" s="44">
        <f>COUNTIF('Login'!$R$57:$R$59,R$3)</f>
      </c>
      <c r="S12" s="44">
        <f>COUNTIF('Login'!$R$57:$R$59,S$3)</f>
      </c>
      <c r="T12" s="44">
        <f>COUNTIF('Login'!$R$57:$R$59,T$3)</f>
      </c>
      <c r="U12" s="44">
        <f>COUNTIF('Login'!$R$57:$R$59,U$3)</f>
      </c>
      <c r="V12" s="44">
        <f>COUNTA('Login'!$G$57:$G$59)-SUM(Q12:U12)</f>
      </c>
    </row>
    <row r="13" ht="15.75" customHeight="1">
      <c r="A13"/>
      <c r="B13" s="45"/>
      <c r="C13" s="42" t="s">
        <v>79</v>
      </c>
      <c r="D13" s="42" t="s">
        <v>89</v>
      </c>
      <c r="E13" s="43">
        <f>F13/G13</f>
      </c>
      <c r="F13" s="44">
        <f>SUM(H13:L13)</f>
      </c>
      <c r="G13" s="44">
        <f>SUM(H13:M13)</f>
      </c>
      <c r="H13" s="44">
        <f>COUNTIF('Login'!$M$60:$M$64,H$3)</f>
      </c>
      <c r="I13" s="44">
        <f>COUNTIF('Login'!$M$60:$M$64,I$3)</f>
      </c>
      <c r="J13" s="44">
        <f>COUNTIF('Login'!$M$60:$M$64,J$3)</f>
      </c>
      <c r="K13" s="44">
        <f>COUNTIF('Login'!$M$60:$M$64,K$3)</f>
      </c>
      <c r="L13" s="44">
        <f>COUNTIF('Login'!$M$60:$M$64,L$3)</f>
      </c>
      <c r="M13" s="44">
        <f>COUNTA('Login'!$G$60:$G$64)-SUM(H13:L13)</f>
      </c>
      <c r="N13" s="43">
        <f>O13/P13</f>
      </c>
      <c r="O13" s="44">
        <f>SUM(Q13:U13)</f>
      </c>
      <c r="P13" s="44">
        <f>SUM(Q13:V13)</f>
      </c>
      <c r="Q13" s="44">
        <f>COUNTIF('Login'!$R$60:$R$64,Q$3)</f>
      </c>
      <c r="R13" s="44">
        <f>COUNTIF('Login'!$R$60:$R$64,R$3)</f>
      </c>
      <c r="S13" s="44">
        <f>COUNTIF('Login'!$R$60:$R$64,S$3)</f>
      </c>
      <c r="T13" s="44">
        <f>COUNTIF('Login'!$R$60:$R$64,T$3)</f>
      </c>
      <c r="U13" s="44">
        <f>COUNTIF('Login'!$R$60:$R$64,U$3)</f>
      </c>
      <c r="V13" s="44">
        <f>COUNTA('Login'!$G$60:$G$64)-SUM(Q13:U13)</f>
      </c>
    </row>
    <row r="14" ht="15.75" customHeight="1">
      <c r="A14"/>
      <c r="B14" s="12"/>
      <c r="C14" s="46" t="s">
        <v>71</v>
      </c>
      <c r="D14" s="46"/>
      <c r="E14" s="47">
        <f>F14/G14</f>
      </c>
      <c r="F14" s="48">
        <f>SUM(H14:L14)</f>
      </c>
      <c r="G14" s="48">
        <f>SUM(H14:M14)</f>
      </c>
      <c r="H14" s="48">
        <f>SUM(H4:H13)</f>
      </c>
      <c r="I14" s="48">
        <f>SUM(I4:I13)</f>
      </c>
      <c r="J14" s="48">
        <f>SUM(J4:J13)</f>
      </c>
      <c r="K14" s="48">
        <f>SUM(K4:K13)</f>
      </c>
      <c r="L14" s="48">
        <f>SUM(L4:L13)</f>
      </c>
      <c r="M14" s="48">
        <f>SUM(M4:M13)</f>
      </c>
      <c r="N14" s="47">
        <f>O14/P14</f>
      </c>
      <c r="O14" s="48">
        <f>SUM(Q14:U14)</f>
      </c>
      <c r="P14" s="48">
        <f>SUM(Q14:V14)</f>
      </c>
      <c r="Q14" s="48">
        <f>SUM(Q4:Q13)</f>
      </c>
      <c r="R14" s="48">
        <f>SUM(R4:R13)</f>
      </c>
      <c r="S14" s="48">
        <f>SUM(S4:S13)</f>
      </c>
      <c r="T14" s="48">
        <f>SUM(T4:T13)</f>
      </c>
      <c r="U14" s="48">
        <f>SUM(U4:U13)</f>
      </c>
      <c r="V14" s="48">
        <f>SUM(V4:V13)</f>
      </c>
    </row>
    <row r="15" ht="15.75" customHeight="1">
      <c r="A15"/>
      <c r="B15" s="41" t="s">
        <v>43</v>
      </c>
      <c r="C15" s="42" t="s">
        <v>80</v>
      </c>
      <c r="D15" s="42" t="s">
        <v>90</v>
      </c>
      <c r="E15" s="43">
        <f>F15/G15</f>
      </c>
      <c r="F15" s="44">
        <f>SUM(H15:L15)</f>
      </c>
      <c r="G15" s="44">
        <f>SUM(H15:M15)</f>
      </c>
      <c r="H15" s="44">
        <f>COUNTIF('Scopes'!$M$13:$M$14,H$3)</f>
      </c>
      <c r="I15" s="44">
        <f>COUNTIF('Scopes'!$M$13:$M$14,I$3)</f>
      </c>
      <c r="J15" s="44">
        <f>COUNTIF('Scopes'!$M$13:$M$14,J$3)</f>
      </c>
      <c r="K15" s="44">
        <f>COUNTIF('Scopes'!$M$13:$M$14,K$3)</f>
      </c>
      <c r="L15" s="44">
        <f>COUNTIF('Scopes'!$M$13:$M$14,L$3)</f>
      </c>
      <c r="M15" s="44">
        <f>COUNTA('Scopes'!$G$13:$G$14)-SUM(H15:L15)</f>
      </c>
      <c r="N15" s="43">
        <f>O15/P15</f>
      </c>
      <c r="O15" s="44">
        <f>SUM(Q15:U15)</f>
      </c>
      <c r="P15" s="44">
        <f>SUM(Q15:V15)</f>
      </c>
      <c r="Q15" s="44">
        <f>COUNTIF('Scopes'!$R$13:$R$14,Q$3)</f>
      </c>
      <c r="R15" s="44">
        <f>COUNTIF('Scopes'!$R$13:$R$14,R$3)</f>
      </c>
      <c r="S15" s="44">
        <f>COUNTIF('Scopes'!$R$13:$R$14,S$3)</f>
      </c>
      <c r="T15" s="44">
        <f>COUNTIF('Scopes'!$R$13:$R$14,T$3)</f>
      </c>
      <c r="U15" s="44">
        <f>COUNTIF('Scopes'!$R$13:$R$14,U$3)</f>
      </c>
      <c r="V15" s="44">
        <f>COUNTA('Scopes'!$G$13:$G$14)-SUM(Q15:U15)</f>
      </c>
    </row>
    <row r="16" ht="15.75" customHeight="1">
      <c r="A16"/>
      <c r="B16" s="45"/>
      <c r="C16" s="42" t="s">
        <v>80</v>
      </c>
      <c r="D16" s="42" t="s">
        <v>91</v>
      </c>
      <c r="E16" s="43">
        <f>F16/G16</f>
      </c>
      <c r="F16" s="44">
        <f>SUM(H16:L16)</f>
      </c>
      <c r="G16" s="44">
        <f>SUM(H16:M16)</f>
      </c>
      <c r="H16" s="44">
        <f>COUNTIF('Scopes'!$M$15:$M$17,H$3)</f>
      </c>
      <c r="I16" s="44">
        <f>COUNTIF('Scopes'!$M$15:$M$17,I$3)</f>
      </c>
      <c r="J16" s="44">
        <f>COUNTIF('Scopes'!$M$15:$M$17,J$3)</f>
      </c>
      <c r="K16" s="44">
        <f>COUNTIF('Scopes'!$M$15:$M$17,K$3)</f>
      </c>
      <c r="L16" s="44">
        <f>COUNTIF('Scopes'!$M$15:$M$17,L$3)</f>
      </c>
      <c r="M16" s="44">
        <f>COUNTA('Scopes'!$G$15:$G$17)-SUM(H16:L16)</f>
      </c>
      <c r="N16" s="43">
        <f>O16/P16</f>
      </c>
      <c r="O16" s="44">
        <f>SUM(Q16:U16)</f>
      </c>
      <c r="P16" s="44">
        <f>SUM(Q16:V16)</f>
      </c>
      <c r="Q16" s="44">
        <f>COUNTIF('Scopes'!$R$15:$R$17,Q$3)</f>
      </c>
      <c r="R16" s="44">
        <f>COUNTIF('Scopes'!$R$15:$R$17,R$3)</f>
      </c>
      <c r="S16" s="44">
        <f>COUNTIF('Scopes'!$R$15:$R$17,S$3)</f>
      </c>
      <c r="T16" s="44">
        <f>COUNTIF('Scopes'!$R$15:$R$17,T$3)</f>
      </c>
      <c r="U16" s="44">
        <f>COUNTIF('Scopes'!$R$15:$R$17,U$3)</f>
      </c>
      <c r="V16" s="44">
        <f>COUNTA('Scopes'!$G$15:$G$17)-SUM(Q16:U16)</f>
      </c>
    </row>
    <row r="17" ht="15.75" customHeight="1">
      <c r="A17"/>
      <c r="B17" s="45"/>
      <c r="C17" s="42" t="s">
        <v>92</v>
      </c>
      <c r="D17" s="42" t="s">
        <v>93</v>
      </c>
      <c r="E17" s="43">
        <f>F17/G17</f>
      </c>
      <c r="F17" s="44">
        <f>SUM(H17:L17)</f>
      </c>
      <c r="G17" s="44">
        <f>SUM(H17:M17)</f>
      </c>
      <c r="H17" s="44">
        <f>COUNTIF('Scopes'!$M$18:$M$18,H$3)</f>
      </c>
      <c r="I17" s="44">
        <f>COUNTIF('Scopes'!$M$18:$M$18,I$3)</f>
      </c>
      <c r="J17" s="44">
        <f>COUNTIF('Scopes'!$M$18:$M$18,J$3)</f>
      </c>
      <c r="K17" s="44">
        <f>COUNTIF('Scopes'!$M$18:$M$18,K$3)</f>
      </c>
      <c r="L17" s="44">
        <f>COUNTIF('Scopes'!$M$18:$M$18,L$3)</f>
      </c>
      <c r="M17" s="44">
        <f>COUNTA('Scopes'!$G$18:$G$18)-SUM(H17:L17)</f>
      </c>
      <c r="N17" s="43">
        <f>O17/P17</f>
      </c>
      <c r="O17" s="44">
        <f>SUM(Q17:U17)</f>
      </c>
      <c r="P17" s="44">
        <f>SUM(Q17:V17)</f>
      </c>
      <c r="Q17" s="44">
        <f>COUNTIF('Scopes'!$R$18:$R$18,Q$3)</f>
      </c>
      <c r="R17" s="44">
        <f>COUNTIF('Scopes'!$R$18:$R$18,R$3)</f>
      </c>
      <c r="S17" s="44">
        <f>COUNTIF('Scopes'!$R$18:$R$18,S$3)</f>
      </c>
      <c r="T17" s="44">
        <f>COUNTIF('Scopes'!$R$18:$R$18,T$3)</f>
      </c>
      <c r="U17" s="44">
        <f>COUNTIF('Scopes'!$R$18:$R$18,U$3)</f>
      </c>
      <c r="V17" s="44">
        <f>COUNTA('Scopes'!$G$18:$G$18)-SUM(Q17:U17)</f>
      </c>
    </row>
    <row r="18" ht="15.75" customHeight="1">
      <c r="A18"/>
      <c r="B18" s="45"/>
      <c r="C18" s="42" t="s">
        <v>92</v>
      </c>
      <c r="D18" s="42" t="s">
        <v>94</v>
      </c>
      <c r="E18" s="43">
        <f>F18/G18</f>
      </c>
      <c r="F18" s="44">
        <f>SUM(H18:L18)</f>
      </c>
      <c r="G18" s="44">
        <f>SUM(H18:M18)</f>
      </c>
      <c r="H18" s="44">
        <f>COUNTIF('Scopes'!$M$19:$M$19,H$3)</f>
      </c>
      <c r="I18" s="44">
        <f>COUNTIF('Scopes'!$M$19:$M$19,I$3)</f>
      </c>
      <c r="J18" s="44">
        <f>COUNTIF('Scopes'!$M$19:$M$19,J$3)</f>
      </c>
      <c r="K18" s="44">
        <f>COUNTIF('Scopes'!$M$19:$M$19,K$3)</f>
      </c>
      <c r="L18" s="44">
        <f>COUNTIF('Scopes'!$M$19:$M$19,L$3)</f>
      </c>
      <c r="M18" s="44">
        <f>COUNTA('Scopes'!$G$19:$G$19)-SUM(H18:L18)</f>
      </c>
      <c r="N18" s="43">
        <f>O18/P18</f>
      </c>
      <c r="O18" s="44">
        <f>SUM(Q18:U18)</f>
      </c>
      <c r="P18" s="44">
        <f>SUM(Q18:V18)</f>
      </c>
      <c r="Q18" s="44">
        <f>COUNTIF('Scopes'!$R$19:$R$19,Q$3)</f>
      </c>
      <c r="R18" s="44">
        <f>COUNTIF('Scopes'!$R$19:$R$19,R$3)</f>
      </c>
      <c r="S18" s="44">
        <f>COUNTIF('Scopes'!$R$19:$R$19,S$3)</f>
      </c>
      <c r="T18" s="44">
        <f>COUNTIF('Scopes'!$R$19:$R$19,T$3)</f>
      </c>
      <c r="U18" s="44">
        <f>COUNTIF('Scopes'!$R$19:$R$19,U$3)</f>
      </c>
      <c r="V18" s="44">
        <f>COUNTA('Scopes'!$G$19:$G$19)-SUM(Q18:U18)</f>
      </c>
    </row>
    <row r="19" ht="15.75" customHeight="1">
      <c r="A19"/>
      <c r="B19" s="45"/>
      <c r="C19" s="42" t="s">
        <v>92</v>
      </c>
      <c r="D19" s="42" t="s">
        <v>95</v>
      </c>
      <c r="E19" s="43">
        <f>F19/G19</f>
      </c>
      <c r="F19" s="44">
        <f>SUM(H19:L19)</f>
      </c>
      <c r="G19" s="44">
        <f>SUM(H19:M19)</f>
      </c>
      <c r="H19" s="44">
        <f>COUNTIF('Scopes'!$M$20:$M$39,H$3)</f>
      </c>
      <c r="I19" s="44">
        <f>COUNTIF('Scopes'!$M$20:$M$39,I$3)</f>
      </c>
      <c r="J19" s="44">
        <f>COUNTIF('Scopes'!$M$20:$M$39,J$3)</f>
      </c>
      <c r="K19" s="44">
        <f>COUNTIF('Scopes'!$M$20:$M$39,K$3)</f>
      </c>
      <c r="L19" s="44">
        <f>COUNTIF('Scopes'!$M$20:$M$39,L$3)</f>
      </c>
      <c r="M19" s="44">
        <f>COUNTA('Scopes'!$G$20:$G$39)-SUM(H19:L19)</f>
      </c>
      <c r="N19" s="43">
        <f>O19/P19</f>
      </c>
      <c r="O19" s="44">
        <f>SUM(Q19:U19)</f>
      </c>
      <c r="P19" s="44">
        <f>SUM(Q19:V19)</f>
      </c>
      <c r="Q19" s="44">
        <f>COUNTIF('Scopes'!$R$20:$R$39,Q$3)</f>
      </c>
      <c r="R19" s="44">
        <f>COUNTIF('Scopes'!$R$20:$R$39,R$3)</f>
      </c>
      <c r="S19" s="44">
        <f>COUNTIF('Scopes'!$R$20:$R$39,S$3)</f>
      </c>
      <c r="T19" s="44">
        <f>COUNTIF('Scopes'!$R$20:$R$39,T$3)</f>
      </c>
      <c r="U19" s="44">
        <f>COUNTIF('Scopes'!$R$20:$R$39,U$3)</f>
      </c>
      <c r="V19" s="44">
        <f>COUNTA('Scopes'!$G$20:$G$39)-SUM(Q19:U19)</f>
      </c>
    </row>
    <row r="20" ht="15.75" customHeight="1">
      <c r="A20"/>
      <c r="B20" s="45"/>
      <c r="C20" s="42" t="s">
        <v>92</v>
      </c>
      <c r="D20" s="42" t="s">
        <v>96</v>
      </c>
      <c r="E20" s="43">
        <f>F20/G20</f>
      </c>
      <c r="F20" s="44">
        <f>SUM(H20:L20)</f>
      </c>
      <c r="G20" s="44">
        <f>SUM(H20:M20)</f>
      </c>
      <c r="H20" s="44">
        <f>COUNTIF('Scopes'!$M$40:$M$46,H$3)</f>
      </c>
      <c r="I20" s="44">
        <f>COUNTIF('Scopes'!$M$40:$M$46,I$3)</f>
      </c>
      <c r="J20" s="44">
        <f>COUNTIF('Scopes'!$M$40:$M$46,J$3)</f>
      </c>
      <c r="K20" s="44">
        <f>COUNTIF('Scopes'!$M$40:$M$46,K$3)</f>
      </c>
      <c r="L20" s="44">
        <f>COUNTIF('Scopes'!$M$40:$M$46,L$3)</f>
      </c>
      <c r="M20" s="44">
        <f>COUNTA('Scopes'!$G$40:$G$46)-SUM(H20:L20)</f>
      </c>
      <c r="N20" s="43">
        <f>O20/P20</f>
      </c>
      <c r="O20" s="44">
        <f>SUM(Q20:U20)</f>
      </c>
      <c r="P20" s="44">
        <f>SUM(Q20:V20)</f>
      </c>
      <c r="Q20" s="44">
        <f>COUNTIF('Scopes'!$R$40:$R$46,Q$3)</f>
      </c>
      <c r="R20" s="44">
        <f>COUNTIF('Scopes'!$R$40:$R$46,R$3)</f>
      </c>
      <c r="S20" s="44">
        <f>COUNTIF('Scopes'!$R$40:$R$46,S$3)</f>
      </c>
      <c r="T20" s="44">
        <f>COUNTIF('Scopes'!$R$40:$R$46,T$3)</f>
      </c>
      <c r="U20" s="44">
        <f>COUNTIF('Scopes'!$R$40:$R$46,U$3)</f>
      </c>
      <c r="V20" s="44">
        <f>COUNTA('Scopes'!$G$40:$G$46)-SUM(Q20:U20)</f>
      </c>
    </row>
    <row r="21" ht="15.75" customHeight="1">
      <c r="A21"/>
      <c r="B21" s="45"/>
      <c r="C21" s="42" t="s">
        <v>92</v>
      </c>
      <c r="D21" s="42" t="s">
        <v>97</v>
      </c>
      <c r="E21" s="43">
        <f>F21/G21</f>
      </c>
      <c r="F21" s="44">
        <f>SUM(H21:L21)</f>
      </c>
      <c r="G21" s="44">
        <f>SUM(H21:M21)</f>
      </c>
      <c r="H21" s="44">
        <f>COUNTIF('Scopes'!$M$47:$M$68,H$3)</f>
      </c>
      <c r="I21" s="44">
        <f>COUNTIF('Scopes'!$M$47:$M$68,I$3)</f>
      </c>
      <c r="J21" s="44">
        <f>COUNTIF('Scopes'!$M$47:$M$68,J$3)</f>
      </c>
      <c r="K21" s="44">
        <f>COUNTIF('Scopes'!$M$47:$M$68,K$3)</f>
      </c>
      <c r="L21" s="44">
        <f>COUNTIF('Scopes'!$M$47:$M$68,L$3)</f>
      </c>
      <c r="M21" s="44">
        <f>COUNTA('Scopes'!$G$47:$G$68)-SUM(H21:L21)</f>
      </c>
      <c r="N21" s="43">
        <f>O21/P21</f>
      </c>
      <c r="O21" s="44">
        <f>SUM(Q21:U21)</f>
      </c>
      <c r="P21" s="44">
        <f>SUM(Q21:V21)</f>
      </c>
      <c r="Q21" s="44">
        <f>COUNTIF('Scopes'!$R$47:$R$68,Q$3)</f>
      </c>
      <c r="R21" s="44">
        <f>COUNTIF('Scopes'!$R$47:$R$68,R$3)</f>
      </c>
      <c r="S21" s="44">
        <f>COUNTIF('Scopes'!$R$47:$R$68,S$3)</f>
      </c>
      <c r="T21" s="44">
        <f>COUNTIF('Scopes'!$R$47:$R$68,T$3)</f>
      </c>
      <c r="U21" s="44">
        <f>COUNTIF('Scopes'!$R$47:$R$68,U$3)</f>
      </c>
      <c r="V21" s="44">
        <f>COUNTA('Scopes'!$G$47:$G$68)-SUM(Q21:U21)</f>
      </c>
    </row>
    <row r="22" ht="15.75" customHeight="1">
      <c r="A22"/>
      <c r="B22" s="45"/>
      <c r="C22" s="42" t="s">
        <v>92</v>
      </c>
      <c r="D22" s="42" t="s">
        <v>98</v>
      </c>
      <c r="E22" s="43">
        <f>F22/G22</f>
      </c>
      <c r="F22" s="44">
        <f>SUM(H22:L22)</f>
      </c>
      <c r="G22" s="44">
        <f>SUM(H22:M22)</f>
      </c>
      <c r="H22" s="44">
        <f>COUNTIF('Scopes'!$M$69:$M$73,H$3)</f>
      </c>
      <c r="I22" s="44">
        <f>COUNTIF('Scopes'!$M$69:$M$73,I$3)</f>
      </c>
      <c r="J22" s="44">
        <f>COUNTIF('Scopes'!$M$69:$M$73,J$3)</f>
      </c>
      <c r="K22" s="44">
        <f>COUNTIF('Scopes'!$M$69:$M$73,K$3)</f>
      </c>
      <c r="L22" s="44">
        <f>COUNTIF('Scopes'!$M$69:$M$73,L$3)</f>
      </c>
      <c r="M22" s="44">
        <f>COUNTA('Scopes'!$G$69:$G$73)-SUM(H22:L22)</f>
      </c>
      <c r="N22" s="43">
        <f>O22/P22</f>
      </c>
      <c r="O22" s="44">
        <f>SUM(Q22:U22)</f>
      </c>
      <c r="P22" s="44">
        <f>SUM(Q22:V22)</f>
      </c>
      <c r="Q22" s="44">
        <f>COUNTIF('Scopes'!$R$69:$R$73,Q$3)</f>
      </c>
      <c r="R22" s="44">
        <f>COUNTIF('Scopes'!$R$69:$R$73,R$3)</f>
      </c>
      <c r="S22" s="44">
        <f>COUNTIF('Scopes'!$R$69:$R$73,S$3)</f>
      </c>
      <c r="T22" s="44">
        <f>COUNTIF('Scopes'!$R$69:$R$73,T$3)</f>
      </c>
      <c r="U22" s="44">
        <f>COUNTIF('Scopes'!$R$69:$R$73,U$3)</f>
      </c>
      <c r="V22" s="44">
        <f>COUNTA('Scopes'!$G$69:$G$73)-SUM(Q22:U22)</f>
      </c>
    </row>
    <row r="23" ht="15.75" customHeight="1">
      <c r="A23"/>
      <c r="B23" s="45"/>
      <c r="C23" s="42" t="s">
        <v>99</v>
      </c>
      <c r="D23" s="42" t="s">
        <v>100</v>
      </c>
      <c r="E23" s="43">
        <f>F23/G23</f>
      </c>
      <c r="F23" s="44">
        <f>SUM(H23:L23)</f>
      </c>
      <c r="G23" s="44">
        <f>SUM(H23:M23)</f>
      </c>
      <c r="H23" s="44">
        <f>COUNTIF('Scopes'!$M$74:$M$80,H$3)</f>
      </c>
      <c r="I23" s="44">
        <f>COUNTIF('Scopes'!$M$74:$M$80,I$3)</f>
      </c>
      <c r="J23" s="44">
        <f>COUNTIF('Scopes'!$M$74:$M$80,J$3)</f>
      </c>
      <c r="K23" s="44">
        <f>COUNTIF('Scopes'!$M$74:$M$80,K$3)</f>
      </c>
      <c r="L23" s="44">
        <f>COUNTIF('Scopes'!$M$74:$M$80,L$3)</f>
      </c>
      <c r="M23" s="44">
        <f>COUNTA('Scopes'!$G$74:$G$80)-SUM(H23:L23)</f>
      </c>
      <c r="N23" s="43">
        <f>O23/P23</f>
      </c>
      <c r="O23" s="44">
        <f>SUM(Q23:U23)</f>
      </c>
      <c r="P23" s="44">
        <f>SUM(Q23:V23)</f>
      </c>
      <c r="Q23" s="44">
        <f>COUNTIF('Scopes'!$R$74:$R$80,Q$3)</f>
      </c>
      <c r="R23" s="44">
        <f>COUNTIF('Scopes'!$R$74:$R$80,R$3)</f>
      </c>
      <c r="S23" s="44">
        <f>COUNTIF('Scopes'!$R$74:$R$80,S$3)</f>
      </c>
      <c r="T23" s="44">
        <f>COUNTIF('Scopes'!$R$74:$R$80,T$3)</f>
      </c>
      <c r="U23" s="44">
        <f>COUNTIF('Scopes'!$R$74:$R$80,U$3)</f>
      </c>
      <c r="V23" s="44">
        <f>COUNTA('Scopes'!$G$74:$G$80)-SUM(Q23:U23)</f>
      </c>
    </row>
    <row r="24" ht="15.75" customHeight="1">
      <c r="A24"/>
      <c r="B24" s="45"/>
      <c r="C24" s="42" t="s">
        <v>99</v>
      </c>
      <c r="D24" s="42" t="s">
        <v>101</v>
      </c>
      <c r="E24" s="43">
        <f>F24/G24</f>
      </c>
      <c r="F24" s="44">
        <f>SUM(H24:L24)</f>
      </c>
      <c r="G24" s="44">
        <f>SUM(H24:M24)</f>
      </c>
      <c r="H24" s="44">
        <f>COUNTIF('Scopes'!$M$81:$M$82,H$3)</f>
      </c>
      <c r="I24" s="44">
        <f>COUNTIF('Scopes'!$M$81:$M$82,I$3)</f>
      </c>
      <c r="J24" s="44">
        <f>COUNTIF('Scopes'!$M$81:$M$82,J$3)</f>
      </c>
      <c r="K24" s="44">
        <f>COUNTIF('Scopes'!$M$81:$M$82,K$3)</f>
      </c>
      <c r="L24" s="44">
        <f>COUNTIF('Scopes'!$M$81:$M$82,L$3)</f>
      </c>
      <c r="M24" s="44">
        <f>COUNTA('Scopes'!$G$81:$G$82)-SUM(H24:L24)</f>
      </c>
      <c r="N24" s="43">
        <f>O24/P24</f>
      </c>
      <c r="O24" s="44">
        <f>SUM(Q24:U24)</f>
      </c>
      <c r="P24" s="44">
        <f>SUM(Q24:V24)</f>
      </c>
      <c r="Q24" s="44">
        <f>COUNTIF('Scopes'!$R$81:$R$82,Q$3)</f>
      </c>
      <c r="R24" s="44">
        <f>COUNTIF('Scopes'!$R$81:$R$82,R$3)</f>
      </c>
      <c r="S24" s="44">
        <f>COUNTIF('Scopes'!$R$81:$R$82,S$3)</f>
      </c>
      <c r="T24" s="44">
        <f>COUNTIF('Scopes'!$R$81:$R$82,T$3)</f>
      </c>
      <c r="U24" s="44">
        <f>COUNTIF('Scopes'!$R$81:$R$82,U$3)</f>
      </c>
      <c r="V24" s="44">
        <f>COUNTA('Scopes'!$G$81:$G$82)-SUM(Q24:U24)</f>
      </c>
    </row>
    <row r="25" ht="15.75" customHeight="1">
      <c r="A25"/>
      <c r="B25" s="45"/>
      <c r="C25" s="42" t="s">
        <v>99</v>
      </c>
      <c r="D25" s="42" t="s">
        <v>102</v>
      </c>
      <c r="E25" s="43">
        <f>F25/G25</f>
      </c>
      <c r="F25" s="44">
        <f>SUM(H25:L25)</f>
      </c>
      <c r="G25" s="44">
        <f>SUM(H25:M25)</f>
      </c>
      <c r="H25" s="44">
        <f>COUNTIF('Scopes'!$M$83:$M$86,H$3)</f>
      </c>
      <c r="I25" s="44">
        <f>COUNTIF('Scopes'!$M$83:$M$86,I$3)</f>
      </c>
      <c r="J25" s="44">
        <f>COUNTIF('Scopes'!$M$83:$M$86,J$3)</f>
      </c>
      <c r="K25" s="44">
        <f>COUNTIF('Scopes'!$M$83:$M$86,K$3)</f>
      </c>
      <c r="L25" s="44">
        <f>COUNTIF('Scopes'!$M$83:$M$86,L$3)</f>
      </c>
      <c r="M25" s="44">
        <f>COUNTA('Scopes'!$G$83:$G$86)-SUM(H25:L25)</f>
      </c>
      <c r="N25" s="43">
        <f>O25/P25</f>
      </c>
      <c r="O25" s="44">
        <f>SUM(Q25:U25)</f>
      </c>
      <c r="P25" s="44">
        <f>SUM(Q25:V25)</f>
      </c>
      <c r="Q25" s="44">
        <f>COUNTIF('Scopes'!$R$83:$R$86,Q$3)</f>
      </c>
      <c r="R25" s="44">
        <f>COUNTIF('Scopes'!$R$83:$R$86,R$3)</f>
      </c>
      <c r="S25" s="44">
        <f>COUNTIF('Scopes'!$R$83:$R$86,S$3)</f>
      </c>
      <c r="T25" s="44">
        <f>COUNTIF('Scopes'!$R$83:$R$86,T$3)</f>
      </c>
      <c r="U25" s="44">
        <f>COUNTIF('Scopes'!$R$83:$R$86,U$3)</f>
      </c>
      <c r="V25" s="44">
        <f>COUNTA('Scopes'!$G$83:$G$86)-SUM(Q25:U25)</f>
      </c>
    </row>
    <row r="26" ht="15.75" customHeight="1">
      <c r="A26"/>
      <c r="B26" s="45"/>
      <c r="C26" s="42" t="s">
        <v>99</v>
      </c>
      <c r="D26" s="42" t="s">
        <v>103</v>
      </c>
      <c r="E26" s="43">
        <f>F26/G26</f>
      </c>
      <c r="F26" s="44">
        <f>SUM(H26:L26)</f>
      </c>
      <c r="G26" s="44">
        <f>SUM(H26:M26)</f>
      </c>
      <c r="H26" s="44">
        <f>COUNTIF('Scopes'!$M$87:$M$95,H$3)</f>
      </c>
      <c r="I26" s="44">
        <f>COUNTIF('Scopes'!$M$87:$M$95,I$3)</f>
      </c>
      <c r="J26" s="44">
        <f>COUNTIF('Scopes'!$M$87:$M$95,J$3)</f>
      </c>
      <c r="K26" s="44">
        <f>COUNTIF('Scopes'!$M$87:$M$95,K$3)</f>
      </c>
      <c r="L26" s="44">
        <f>COUNTIF('Scopes'!$M$87:$M$95,L$3)</f>
      </c>
      <c r="M26" s="44">
        <f>COUNTA('Scopes'!$G$87:$G$95)-SUM(H26:L26)</f>
      </c>
      <c r="N26" s="43">
        <f>O26/P26</f>
      </c>
      <c r="O26" s="44">
        <f>SUM(Q26:U26)</f>
      </c>
      <c r="P26" s="44">
        <f>SUM(Q26:V26)</f>
      </c>
      <c r="Q26" s="44">
        <f>COUNTIF('Scopes'!$R$87:$R$95,Q$3)</f>
      </c>
      <c r="R26" s="44">
        <f>COUNTIF('Scopes'!$R$87:$R$95,R$3)</f>
      </c>
      <c r="S26" s="44">
        <f>COUNTIF('Scopes'!$R$87:$R$95,S$3)</f>
      </c>
      <c r="T26" s="44">
        <f>COUNTIF('Scopes'!$R$87:$R$95,T$3)</f>
      </c>
      <c r="U26" s="44">
        <f>COUNTIF('Scopes'!$R$87:$R$95,U$3)</f>
      </c>
      <c r="V26" s="44">
        <f>COUNTA('Scopes'!$G$87:$G$95)-SUM(Q26:U26)</f>
      </c>
    </row>
    <row r="27" ht="15.75" customHeight="1">
      <c r="A27"/>
      <c r="B27" s="45"/>
      <c r="C27" s="42" t="s">
        <v>99</v>
      </c>
      <c r="D27" s="42" t="s">
        <v>104</v>
      </c>
      <c r="E27" s="43">
        <f>F27/G27</f>
      </c>
      <c r="F27" s="44">
        <f>SUM(H27:L27)</f>
      </c>
      <c r="G27" s="44">
        <f>SUM(H27:M27)</f>
      </c>
      <c r="H27" s="44">
        <f>COUNTIF('Scopes'!$M$96:$M$107,H$3)</f>
      </c>
      <c r="I27" s="44">
        <f>COUNTIF('Scopes'!$M$96:$M$107,I$3)</f>
      </c>
      <c r="J27" s="44">
        <f>COUNTIF('Scopes'!$M$96:$M$107,J$3)</f>
      </c>
      <c r="K27" s="44">
        <f>COUNTIF('Scopes'!$M$96:$M$107,K$3)</f>
      </c>
      <c r="L27" s="44">
        <f>COUNTIF('Scopes'!$M$96:$M$107,L$3)</f>
      </c>
      <c r="M27" s="44">
        <f>COUNTA('Scopes'!$G$96:$G$107)-SUM(H27:L27)</f>
      </c>
      <c r="N27" s="43">
        <f>O27/P27</f>
      </c>
      <c r="O27" s="44">
        <f>SUM(Q27:U27)</f>
      </c>
      <c r="P27" s="44">
        <f>SUM(Q27:V27)</f>
      </c>
      <c r="Q27" s="44">
        <f>COUNTIF('Scopes'!$R$96:$R$107,Q$3)</f>
      </c>
      <c r="R27" s="44">
        <f>COUNTIF('Scopes'!$R$96:$R$107,R$3)</f>
      </c>
      <c r="S27" s="44">
        <f>COUNTIF('Scopes'!$R$96:$R$107,S$3)</f>
      </c>
      <c r="T27" s="44">
        <f>COUNTIF('Scopes'!$R$96:$R$107,T$3)</f>
      </c>
      <c r="U27" s="44">
        <f>COUNTIF('Scopes'!$R$96:$R$107,U$3)</f>
      </c>
      <c r="V27" s="44">
        <f>COUNTA('Scopes'!$G$96:$G$107)-SUM(Q27:U27)</f>
      </c>
    </row>
    <row r="28" ht="15.75" customHeight="1">
      <c r="A28"/>
      <c r="B28" s="45"/>
      <c r="C28" s="42" t="s">
        <v>99</v>
      </c>
      <c r="D28" s="42" t="s">
        <v>105</v>
      </c>
      <c r="E28" s="43">
        <f>F28/G28</f>
      </c>
      <c r="F28" s="44">
        <f>SUM(H28:L28)</f>
      </c>
      <c r="G28" s="44">
        <f>SUM(H28:M28)</f>
      </c>
      <c r="H28" s="44">
        <f>COUNTIF('Scopes'!$M$108:$M$119,H$3)</f>
      </c>
      <c r="I28" s="44">
        <f>COUNTIF('Scopes'!$M$108:$M$119,I$3)</f>
      </c>
      <c r="J28" s="44">
        <f>COUNTIF('Scopes'!$M$108:$M$119,J$3)</f>
      </c>
      <c r="K28" s="44">
        <f>COUNTIF('Scopes'!$M$108:$M$119,K$3)</f>
      </c>
      <c r="L28" s="44">
        <f>COUNTIF('Scopes'!$M$108:$M$119,L$3)</f>
      </c>
      <c r="M28" s="44">
        <f>COUNTA('Scopes'!$G$108:$G$119)-SUM(H28:L28)</f>
      </c>
      <c r="N28" s="43">
        <f>O28/P28</f>
      </c>
      <c r="O28" s="44">
        <f>SUM(Q28:U28)</f>
      </c>
      <c r="P28" s="44">
        <f>SUM(Q28:V28)</f>
      </c>
      <c r="Q28" s="44">
        <f>COUNTIF('Scopes'!$R$108:$R$119,Q$3)</f>
      </c>
      <c r="R28" s="44">
        <f>COUNTIF('Scopes'!$R$108:$R$119,R$3)</f>
      </c>
      <c r="S28" s="44">
        <f>COUNTIF('Scopes'!$R$108:$R$119,S$3)</f>
      </c>
      <c r="T28" s="44">
        <f>COUNTIF('Scopes'!$R$108:$R$119,T$3)</f>
      </c>
      <c r="U28" s="44">
        <f>COUNTIF('Scopes'!$R$108:$R$119,U$3)</f>
      </c>
      <c r="V28" s="44">
        <f>COUNTA('Scopes'!$G$108:$G$119)-SUM(Q28:U28)</f>
      </c>
    </row>
    <row r="29" ht="15.75" customHeight="1">
      <c r="A29"/>
      <c r="B29" s="45"/>
      <c r="C29" s="42" t="s">
        <v>99</v>
      </c>
      <c r="D29" s="42" t="s">
        <v>106</v>
      </c>
      <c r="E29" s="43">
        <f>F29/G29</f>
      </c>
      <c r="F29" s="44">
        <f>SUM(H29:L29)</f>
      </c>
      <c r="G29" s="44">
        <f>SUM(H29:M29)</f>
      </c>
      <c r="H29" s="44">
        <f>COUNTIF('Scopes'!$M$120:$M$125,H$3)</f>
      </c>
      <c r="I29" s="44">
        <f>COUNTIF('Scopes'!$M$120:$M$125,I$3)</f>
      </c>
      <c r="J29" s="44">
        <f>COUNTIF('Scopes'!$M$120:$M$125,J$3)</f>
      </c>
      <c r="K29" s="44">
        <f>COUNTIF('Scopes'!$M$120:$M$125,K$3)</f>
      </c>
      <c r="L29" s="44">
        <f>COUNTIF('Scopes'!$M$120:$M$125,L$3)</f>
      </c>
      <c r="M29" s="44">
        <f>COUNTA('Scopes'!$G$120:$G$125)-SUM(H29:L29)</f>
      </c>
      <c r="N29" s="43">
        <f>O29/P29</f>
      </c>
      <c r="O29" s="44">
        <f>SUM(Q29:U29)</f>
      </c>
      <c r="P29" s="44">
        <f>SUM(Q29:V29)</f>
      </c>
      <c r="Q29" s="44">
        <f>COUNTIF('Scopes'!$R$120:$R$125,Q$3)</f>
      </c>
      <c r="R29" s="44">
        <f>COUNTIF('Scopes'!$R$120:$R$125,R$3)</f>
      </c>
      <c r="S29" s="44">
        <f>COUNTIF('Scopes'!$R$120:$R$125,S$3)</f>
      </c>
      <c r="T29" s="44">
        <f>COUNTIF('Scopes'!$R$120:$R$125,T$3)</f>
      </c>
      <c r="U29" s="44">
        <f>COUNTIF('Scopes'!$R$120:$R$125,U$3)</f>
      </c>
      <c r="V29" s="44">
        <f>COUNTA('Scopes'!$G$120:$G$125)-SUM(Q29:U29)</f>
      </c>
    </row>
    <row r="30" ht="15.75" customHeight="1">
      <c r="A30"/>
      <c r="B30" s="45"/>
      <c r="C30" s="42" t="s">
        <v>99</v>
      </c>
      <c r="D30" s="42" t="s">
        <v>107</v>
      </c>
      <c r="E30" s="43">
        <f>F30/G30</f>
      </c>
      <c r="F30" s="44">
        <f>SUM(H30:L30)</f>
      </c>
      <c r="G30" s="44">
        <f>SUM(H30:M30)</f>
      </c>
      <c r="H30" s="44">
        <f>COUNTIF('Scopes'!$M$126:$M$128,H$3)</f>
      </c>
      <c r="I30" s="44">
        <f>COUNTIF('Scopes'!$M$126:$M$128,I$3)</f>
      </c>
      <c r="J30" s="44">
        <f>COUNTIF('Scopes'!$M$126:$M$128,J$3)</f>
      </c>
      <c r="K30" s="44">
        <f>COUNTIF('Scopes'!$M$126:$M$128,K$3)</f>
      </c>
      <c r="L30" s="44">
        <f>COUNTIF('Scopes'!$M$126:$M$128,L$3)</f>
      </c>
      <c r="M30" s="44">
        <f>COUNTA('Scopes'!$G$126:$G$128)-SUM(H30:L30)</f>
      </c>
      <c r="N30" s="43">
        <f>O30/P30</f>
      </c>
      <c r="O30" s="44">
        <f>SUM(Q30:U30)</f>
      </c>
      <c r="P30" s="44">
        <f>SUM(Q30:V30)</f>
      </c>
      <c r="Q30" s="44">
        <f>COUNTIF('Scopes'!$R$126:$R$128,Q$3)</f>
      </c>
      <c r="R30" s="44">
        <f>COUNTIF('Scopes'!$R$126:$R$128,R$3)</f>
      </c>
      <c r="S30" s="44">
        <f>COUNTIF('Scopes'!$R$126:$R$128,S$3)</f>
      </c>
      <c r="T30" s="44">
        <f>COUNTIF('Scopes'!$R$126:$R$128,T$3)</f>
      </c>
      <c r="U30" s="44">
        <f>COUNTIF('Scopes'!$R$126:$R$128,U$3)</f>
      </c>
      <c r="V30" s="44">
        <f>COUNTA('Scopes'!$G$126:$G$128)-SUM(Q30:U30)</f>
      </c>
    </row>
    <row r="31" ht="15.75" customHeight="1">
      <c r="A31"/>
      <c r="B31" s="45"/>
      <c r="C31" s="42" t="s">
        <v>99</v>
      </c>
      <c r="D31" s="42" t="s">
        <v>108</v>
      </c>
      <c r="E31" s="43">
        <f>F31/G31</f>
      </c>
      <c r="F31" s="44">
        <f>SUM(H31:L31)</f>
      </c>
      <c r="G31" s="44">
        <f>SUM(H31:M31)</f>
      </c>
      <c r="H31" s="44">
        <f>COUNTIF('Scopes'!$M$129:$M$136,H$3)</f>
      </c>
      <c r="I31" s="44">
        <f>COUNTIF('Scopes'!$M$129:$M$136,I$3)</f>
      </c>
      <c r="J31" s="44">
        <f>COUNTIF('Scopes'!$M$129:$M$136,J$3)</f>
      </c>
      <c r="K31" s="44">
        <f>COUNTIF('Scopes'!$M$129:$M$136,K$3)</f>
      </c>
      <c r="L31" s="44">
        <f>COUNTIF('Scopes'!$M$129:$M$136,L$3)</f>
      </c>
      <c r="M31" s="44">
        <f>COUNTA('Scopes'!$G$129:$G$136)-SUM(H31:L31)</f>
      </c>
      <c r="N31" s="43">
        <f>O31/P31</f>
      </c>
      <c r="O31" s="44">
        <f>SUM(Q31:U31)</f>
      </c>
      <c r="P31" s="44">
        <f>SUM(Q31:V31)</f>
      </c>
      <c r="Q31" s="44">
        <f>COUNTIF('Scopes'!$R$129:$R$136,Q$3)</f>
      </c>
      <c r="R31" s="44">
        <f>COUNTIF('Scopes'!$R$129:$R$136,R$3)</f>
      </c>
      <c r="S31" s="44">
        <f>COUNTIF('Scopes'!$R$129:$R$136,S$3)</f>
      </c>
      <c r="T31" s="44">
        <f>COUNTIF('Scopes'!$R$129:$R$136,T$3)</f>
      </c>
      <c r="U31" s="44">
        <f>COUNTIF('Scopes'!$R$129:$R$136,U$3)</f>
      </c>
      <c r="V31" s="44">
        <f>COUNTA('Scopes'!$G$129:$G$136)-SUM(Q31:U31)</f>
      </c>
    </row>
    <row r="32" ht="15.75" customHeight="1">
      <c r="A32"/>
      <c r="B32" s="45"/>
      <c r="C32" s="42" t="s">
        <v>99</v>
      </c>
      <c r="D32" s="42" t="s">
        <v>109</v>
      </c>
      <c r="E32" s="43">
        <f>F32/G32</f>
      </c>
      <c r="F32" s="44">
        <f>SUM(H32:L32)</f>
      </c>
      <c r="G32" s="44">
        <f>SUM(H32:M32)</f>
      </c>
      <c r="H32" s="44">
        <f>COUNTIF('Scopes'!$M$137:$M$137,H$3)</f>
      </c>
      <c r="I32" s="44">
        <f>COUNTIF('Scopes'!$M$137:$M$137,I$3)</f>
      </c>
      <c r="J32" s="44">
        <f>COUNTIF('Scopes'!$M$137:$M$137,J$3)</f>
      </c>
      <c r="K32" s="44">
        <f>COUNTIF('Scopes'!$M$137:$M$137,K$3)</f>
      </c>
      <c r="L32" s="44">
        <f>COUNTIF('Scopes'!$M$137:$M$137,L$3)</f>
      </c>
      <c r="M32" s="44">
        <f>COUNTA('Scopes'!$G$137:$G$137)-SUM(H32:L32)</f>
      </c>
      <c r="N32" s="43">
        <f>O32/P32</f>
      </c>
      <c r="O32" s="44">
        <f>SUM(Q32:U32)</f>
      </c>
      <c r="P32" s="44">
        <f>SUM(Q32:V32)</f>
      </c>
      <c r="Q32" s="44">
        <f>COUNTIF('Scopes'!$R$137:$R$137,Q$3)</f>
      </c>
      <c r="R32" s="44">
        <f>COUNTIF('Scopes'!$R$137:$R$137,R$3)</f>
      </c>
      <c r="S32" s="44">
        <f>COUNTIF('Scopes'!$R$137:$R$137,S$3)</f>
      </c>
      <c r="T32" s="44">
        <f>COUNTIF('Scopes'!$R$137:$R$137,T$3)</f>
      </c>
      <c r="U32" s="44">
        <f>COUNTIF('Scopes'!$R$137:$R$137,U$3)</f>
      </c>
      <c r="V32" s="44">
        <f>COUNTA('Scopes'!$G$137:$G$137)-SUM(Q32:U32)</f>
      </c>
    </row>
    <row r="33" ht="15.75" customHeight="1">
      <c r="A33"/>
      <c r="B33" s="45"/>
      <c r="C33" s="42" t="s">
        <v>110</v>
      </c>
      <c r="D33" s="42" t="s">
        <v>111</v>
      </c>
      <c r="E33" s="43">
        <f>F33/G33</f>
      </c>
      <c r="F33" s="44">
        <f>SUM(H33:L33)</f>
      </c>
      <c r="G33" s="44">
        <f>SUM(H33:M33)</f>
      </c>
      <c r="H33" s="44">
        <f>COUNTIF('Scopes'!$M$138:$M$141,H$3)</f>
      </c>
      <c r="I33" s="44">
        <f>COUNTIF('Scopes'!$M$138:$M$141,I$3)</f>
      </c>
      <c r="J33" s="44">
        <f>COUNTIF('Scopes'!$M$138:$M$141,J$3)</f>
      </c>
      <c r="K33" s="44">
        <f>COUNTIF('Scopes'!$M$138:$M$141,K$3)</f>
      </c>
      <c r="L33" s="44">
        <f>COUNTIF('Scopes'!$M$138:$M$141,L$3)</f>
      </c>
      <c r="M33" s="44">
        <f>COUNTA('Scopes'!$G$138:$G$141)-SUM(H33:L33)</f>
      </c>
      <c r="N33" s="43">
        <f>O33/P33</f>
      </c>
      <c r="O33" s="44">
        <f>SUM(Q33:U33)</f>
      </c>
      <c r="P33" s="44">
        <f>SUM(Q33:V33)</f>
      </c>
      <c r="Q33" s="44">
        <f>COUNTIF('Scopes'!$R$138:$R$141,Q$3)</f>
      </c>
      <c r="R33" s="44">
        <f>COUNTIF('Scopes'!$R$138:$R$141,R$3)</f>
      </c>
      <c r="S33" s="44">
        <f>COUNTIF('Scopes'!$R$138:$R$141,S$3)</f>
      </c>
      <c r="T33" s="44">
        <f>COUNTIF('Scopes'!$R$138:$R$141,T$3)</f>
      </c>
      <c r="U33" s="44">
        <f>COUNTIF('Scopes'!$R$138:$R$141,U$3)</f>
      </c>
      <c r="V33" s="44">
        <f>COUNTA('Scopes'!$G$138:$G$141)-SUM(Q33:U33)</f>
      </c>
    </row>
    <row r="34" ht="15.75" customHeight="1">
      <c r="A34"/>
      <c r="B34" s="45"/>
      <c r="C34" s="42" t="s">
        <v>110</v>
      </c>
      <c r="D34" s="42" t="s">
        <v>112</v>
      </c>
      <c r="E34" s="43">
        <f>F34/G34</f>
      </c>
      <c r="F34" s="44">
        <f>SUM(H34:L34)</f>
      </c>
      <c r="G34" s="44">
        <f>SUM(H34:M34)</f>
      </c>
      <c r="H34" s="44">
        <f>COUNTIF('Scopes'!$M$142:$M$142,H$3)</f>
      </c>
      <c r="I34" s="44">
        <f>COUNTIF('Scopes'!$M$142:$M$142,I$3)</f>
      </c>
      <c r="J34" s="44">
        <f>COUNTIF('Scopes'!$M$142:$M$142,J$3)</f>
      </c>
      <c r="K34" s="44">
        <f>COUNTIF('Scopes'!$M$142:$M$142,K$3)</f>
      </c>
      <c r="L34" s="44">
        <f>COUNTIF('Scopes'!$M$142:$M$142,L$3)</f>
      </c>
      <c r="M34" s="44">
        <f>COUNTA('Scopes'!$G$142:$G$142)-SUM(H34:L34)</f>
      </c>
      <c r="N34" s="43">
        <f>O34/P34</f>
      </c>
      <c r="O34" s="44">
        <f>SUM(Q34:U34)</f>
      </c>
      <c r="P34" s="44">
        <f>SUM(Q34:V34)</f>
      </c>
      <c r="Q34" s="44">
        <f>COUNTIF('Scopes'!$R$142:$R$142,Q$3)</f>
      </c>
      <c r="R34" s="44">
        <f>COUNTIF('Scopes'!$R$142:$R$142,R$3)</f>
      </c>
      <c r="S34" s="44">
        <f>COUNTIF('Scopes'!$R$142:$R$142,S$3)</f>
      </c>
      <c r="T34" s="44">
        <f>COUNTIF('Scopes'!$R$142:$R$142,T$3)</f>
      </c>
      <c r="U34" s="44">
        <f>COUNTIF('Scopes'!$R$142:$R$142,U$3)</f>
      </c>
      <c r="V34" s="44">
        <f>COUNTA('Scopes'!$G$142:$G$142)-SUM(Q34:U34)</f>
      </c>
    </row>
    <row r="35" ht="15.75" customHeight="1">
      <c r="A35"/>
      <c r="B35" s="45"/>
      <c r="C35" s="42" t="s">
        <v>110</v>
      </c>
      <c r="D35" s="42" t="s">
        <v>113</v>
      </c>
      <c r="E35" s="43">
        <f>F35/G35</f>
      </c>
      <c r="F35" s="44">
        <f>SUM(H35:L35)</f>
      </c>
      <c r="G35" s="44">
        <f>SUM(H35:M35)</f>
      </c>
      <c r="H35" s="44">
        <f>COUNTIF('Scopes'!$M$143:$M$144,H$3)</f>
      </c>
      <c r="I35" s="44">
        <f>COUNTIF('Scopes'!$M$143:$M$144,I$3)</f>
      </c>
      <c r="J35" s="44">
        <f>COUNTIF('Scopes'!$M$143:$M$144,J$3)</f>
      </c>
      <c r="K35" s="44">
        <f>COUNTIF('Scopes'!$M$143:$M$144,K$3)</f>
      </c>
      <c r="L35" s="44">
        <f>COUNTIF('Scopes'!$M$143:$M$144,L$3)</f>
      </c>
      <c r="M35" s="44">
        <f>COUNTA('Scopes'!$G$143:$G$144)-SUM(H35:L35)</f>
      </c>
      <c r="N35" s="43">
        <f>O35/P35</f>
      </c>
      <c r="O35" s="44">
        <f>SUM(Q35:U35)</f>
      </c>
      <c r="P35" s="44">
        <f>SUM(Q35:V35)</f>
      </c>
      <c r="Q35" s="44">
        <f>COUNTIF('Scopes'!$R$143:$R$144,Q$3)</f>
      </c>
      <c r="R35" s="44">
        <f>COUNTIF('Scopes'!$R$143:$R$144,R$3)</f>
      </c>
      <c r="S35" s="44">
        <f>COUNTIF('Scopes'!$R$143:$R$144,S$3)</f>
      </c>
      <c r="T35" s="44">
        <f>COUNTIF('Scopes'!$R$143:$R$144,T$3)</f>
      </c>
      <c r="U35" s="44">
        <f>COUNTIF('Scopes'!$R$143:$R$144,U$3)</f>
      </c>
      <c r="V35" s="44">
        <f>COUNTA('Scopes'!$G$143:$G$144)-SUM(Q35:U35)</f>
      </c>
    </row>
    <row r="36" ht="15.75" customHeight="1">
      <c r="A36"/>
      <c r="B36" s="45"/>
      <c r="C36" s="42" t="s">
        <v>89</v>
      </c>
      <c r="D36" s="42" t="s">
        <v>114</v>
      </c>
      <c r="E36" s="43">
        <f>F36/G36</f>
      </c>
      <c r="F36" s="44">
        <f>SUM(H36:L36)</f>
      </c>
      <c r="G36" s="44">
        <f>SUM(H36:M36)</f>
      </c>
      <c r="H36" s="44">
        <f>COUNTIF('Scopes'!$M$145:$M$146,H$3)</f>
      </c>
      <c r="I36" s="44">
        <f>COUNTIF('Scopes'!$M$145:$M$146,I$3)</f>
      </c>
      <c r="J36" s="44">
        <f>COUNTIF('Scopes'!$M$145:$M$146,J$3)</f>
      </c>
      <c r="K36" s="44">
        <f>COUNTIF('Scopes'!$M$145:$M$146,K$3)</f>
      </c>
      <c r="L36" s="44">
        <f>COUNTIF('Scopes'!$M$145:$M$146,L$3)</f>
      </c>
      <c r="M36" s="44">
        <f>COUNTA('Scopes'!$G$145:$G$146)-SUM(H36:L36)</f>
      </c>
      <c r="N36" s="43">
        <f>O36/P36</f>
      </c>
      <c r="O36" s="44">
        <f>SUM(Q36:U36)</f>
      </c>
      <c r="P36" s="44">
        <f>SUM(Q36:V36)</f>
      </c>
      <c r="Q36" s="44">
        <f>COUNTIF('Scopes'!$R$145:$R$146,Q$3)</f>
      </c>
      <c r="R36" s="44">
        <f>COUNTIF('Scopes'!$R$145:$R$146,R$3)</f>
      </c>
      <c r="S36" s="44">
        <f>COUNTIF('Scopes'!$R$145:$R$146,S$3)</f>
      </c>
      <c r="T36" s="44">
        <f>COUNTIF('Scopes'!$R$145:$R$146,T$3)</f>
      </c>
      <c r="U36" s="44">
        <f>COUNTIF('Scopes'!$R$145:$R$146,U$3)</f>
      </c>
      <c r="V36" s="44">
        <f>COUNTA('Scopes'!$G$145:$G$146)-SUM(Q36:U36)</f>
      </c>
    </row>
    <row r="37" ht="15.75" customHeight="1">
      <c r="A37"/>
      <c r="B37" s="45"/>
      <c r="C37" s="42" t="s">
        <v>89</v>
      </c>
      <c r="D37" s="42" t="s">
        <v>115</v>
      </c>
      <c r="E37" s="43">
        <f>F37/G37</f>
      </c>
      <c r="F37" s="44">
        <f>SUM(H37:L37)</f>
      </c>
      <c r="G37" s="44">
        <f>SUM(H37:M37)</f>
      </c>
      <c r="H37" s="44">
        <f>COUNTIF('Scopes'!$M$147:$M$147,H$3)</f>
      </c>
      <c r="I37" s="44">
        <f>COUNTIF('Scopes'!$M$147:$M$147,I$3)</f>
      </c>
      <c r="J37" s="44">
        <f>COUNTIF('Scopes'!$M$147:$M$147,J$3)</f>
      </c>
      <c r="K37" s="44">
        <f>COUNTIF('Scopes'!$M$147:$M$147,K$3)</f>
      </c>
      <c r="L37" s="44">
        <f>COUNTIF('Scopes'!$M$147:$M$147,L$3)</f>
      </c>
      <c r="M37" s="44">
        <f>COUNTA('Scopes'!$G$147:$G$147)-SUM(H37:L37)</f>
      </c>
      <c r="N37" s="43">
        <f>O37/P37</f>
      </c>
      <c r="O37" s="44">
        <f>SUM(Q37:U37)</f>
      </c>
      <c r="P37" s="44">
        <f>SUM(Q37:V37)</f>
      </c>
      <c r="Q37" s="44">
        <f>COUNTIF('Scopes'!$R$147:$R$147,Q$3)</f>
      </c>
      <c r="R37" s="44">
        <f>COUNTIF('Scopes'!$R$147:$R$147,R$3)</f>
      </c>
      <c r="S37" s="44">
        <f>COUNTIF('Scopes'!$R$147:$R$147,S$3)</f>
      </c>
      <c r="T37" s="44">
        <f>COUNTIF('Scopes'!$R$147:$R$147,T$3)</f>
      </c>
      <c r="U37" s="44">
        <f>COUNTIF('Scopes'!$R$147:$R$147,U$3)</f>
      </c>
      <c r="V37" s="44">
        <f>COUNTA('Scopes'!$G$147:$G$147)-SUM(Q37:U37)</f>
      </c>
    </row>
    <row r="38" ht="15.75" customHeight="1">
      <c r="A38"/>
      <c r="B38" s="45"/>
      <c r="C38" s="42" t="s">
        <v>89</v>
      </c>
      <c r="D38" s="42" t="s">
        <v>116</v>
      </c>
      <c r="E38" s="43">
        <f>F38/G38</f>
      </c>
      <c r="F38" s="44">
        <f>SUM(H38:L38)</f>
      </c>
      <c r="G38" s="44">
        <f>SUM(H38:M38)</f>
      </c>
      <c r="H38" s="44">
        <f>COUNTIF('Scopes'!$M$148:$M$148,H$3)</f>
      </c>
      <c r="I38" s="44">
        <f>COUNTIF('Scopes'!$M$148:$M$148,I$3)</f>
      </c>
      <c r="J38" s="44">
        <f>COUNTIF('Scopes'!$M$148:$M$148,J$3)</f>
      </c>
      <c r="K38" s="44">
        <f>COUNTIF('Scopes'!$M$148:$M$148,K$3)</f>
      </c>
      <c r="L38" s="44">
        <f>COUNTIF('Scopes'!$M$148:$M$148,L$3)</f>
      </c>
      <c r="M38" s="44">
        <f>COUNTA('Scopes'!$G$148:$G$148)-SUM(H38:L38)</f>
      </c>
      <c r="N38" s="43">
        <f>O38/P38</f>
      </c>
      <c r="O38" s="44">
        <f>SUM(Q38:U38)</f>
      </c>
      <c r="P38" s="44">
        <f>SUM(Q38:V38)</f>
      </c>
      <c r="Q38" s="44">
        <f>COUNTIF('Scopes'!$R$148:$R$148,Q$3)</f>
      </c>
      <c r="R38" s="44">
        <f>COUNTIF('Scopes'!$R$148:$R$148,R$3)</f>
      </c>
      <c r="S38" s="44">
        <f>COUNTIF('Scopes'!$R$148:$R$148,S$3)</f>
      </c>
      <c r="T38" s="44">
        <f>COUNTIF('Scopes'!$R$148:$R$148,T$3)</f>
      </c>
      <c r="U38" s="44">
        <f>COUNTIF('Scopes'!$R$148:$R$148,U$3)</f>
      </c>
      <c r="V38" s="44">
        <f>COUNTA('Scopes'!$G$148:$G$148)-SUM(Q38:U38)</f>
      </c>
    </row>
    <row r="39" ht="15.75" customHeight="1">
      <c r="A39"/>
      <c r="B39" s="12"/>
      <c r="C39" s="46" t="s">
        <v>71</v>
      </c>
      <c r="D39" s="46"/>
      <c r="E39" s="47">
        <f>F39/G39</f>
      </c>
      <c r="F39" s="48">
        <f>SUM(H39:L39)</f>
      </c>
      <c r="G39" s="48">
        <f>SUM(H39:M39)</f>
      </c>
      <c r="H39" s="48">
        <f>SUM(H15:H38)</f>
      </c>
      <c r="I39" s="48">
        <f>SUM(I15:I38)</f>
      </c>
      <c r="J39" s="48">
        <f>SUM(J15:J38)</f>
      </c>
      <c r="K39" s="48">
        <f>SUM(K15:K38)</f>
      </c>
      <c r="L39" s="48">
        <f>SUM(L15:L38)</f>
      </c>
      <c r="M39" s="48">
        <f>SUM(M15:M38)</f>
      </c>
      <c r="N39" s="47">
        <f>O39/P39</f>
      </c>
      <c r="O39" s="48">
        <f>SUM(Q39:U39)</f>
      </c>
      <c r="P39" s="48">
        <f>SUM(Q39:V39)</f>
      </c>
      <c r="Q39" s="48">
        <f>SUM(Q15:Q38)</f>
      </c>
      <c r="R39" s="48">
        <f>SUM(R15:R38)</f>
      </c>
      <c r="S39" s="48">
        <f>SUM(S15:S38)</f>
      </c>
      <c r="T39" s="48">
        <f>SUM(T15:T38)</f>
      </c>
      <c r="U39" s="48">
        <f>SUM(U15:U38)</f>
      </c>
      <c r="V39" s="48">
        <f>SUM(V15:V38)</f>
      </c>
    </row>
    <row r="40" ht="15.75" customHeight="1">
      <c r="A40"/>
      <c r="B40" s="41" t="s">
        <v>57</v>
      </c>
      <c r="C40" s="42" t="s">
        <v>80</v>
      </c>
      <c r="D40" s="42" t="s">
        <v>117</v>
      </c>
      <c r="E40" s="43">
        <f>F40/G40</f>
      </c>
      <c r="F40" s="44">
        <f>SUM(H40:L40)</f>
      </c>
      <c r="G40" s="44">
        <f>SUM(H40:M40)</f>
      </c>
      <c r="H40" s="44">
        <f>COUNTIF('Frameworks'!$M$13:$M$14,H$3)</f>
      </c>
      <c r="I40" s="44">
        <f>COUNTIF('Frameworks'!$M$13:$M$14,I$3)</f>
      </c>
      <c r="J40" s="44">
        <f>COUNTIF('Frameworks'!$M$13:$M$14,J$3)</f>
      </c>
      <c r="K40" s="44">
        <f>COUNTIF('Frameworks'!$M$13:$M$14,K$3)</f>
      </c>
      <c r="L40" s="44">
        <f>COUNTIF('Frameworks'!$M$13:$M$14,L$3)</f>
      </c>
      <c r="M40" s="44">
        <f>COUNTA('Frameworks'!$G$13:$G$14)-SUM(H40:L40)</f>
      </c>
      <c r="N40" s="43">
        <f>O40/P40</f>
      </c>
      <c r="O40" s="44">
        <f>SUM(Q40:U40)</f>
      </c>
      <c r="P40" s="44">
        <f>SUM(Q40:V40)</f>
      </c>
      <c r="Q40" s="44">
        <f>COUNTIF('Frameworks'!$R$13:$R$14,Q$3)</f>
      </c>
      <c r="R40" s="44">
        <f>COUNTIF('Frameworks'!$R$13:$R$14,R$3)</f>
      </c>
      <c r="S40" s="44">
        <f>COUNTIF('Frameworks'!$R$13:$R$14,S$3)</f>
      </c>
      <c r="T40" s="44">
        <f>COUNTIF('Frameworks'!$R$13:$R$14,T$3)</f>
      </c>
      <c r="U40" s="44">
        <f>COUNTIF('Frameworks'!$R$13:$R$14,U$3)</f>
      </c>
      <c r="V40" s="44">
        <f>COUNTA('Frameworks'!$G$13:$G$14)-SUM(Q40:U40)</f>
      </c>
    </row>
    <row r="41" ht="15.75" customHeight="1">
      <c r="A41"/>
      <c r="B41" s="45"/>
      <c r="C41" s="42" t="s">
        <v>80</v>
      </c>
      <c r="D41" s="42" t="s">
        <v>118</v>
      </c>
      <c r="E41" s="43">
        <f>F41/G41</f>
      </c>
      <c r="F41" s="44">
        <f>SUM(H41:L41)</f>
      </c>
      <c r="G41" s="44">
        <f>SUM(H41:M41)</f>
      </c>
      <c r="H41" s="44">
        <f>COUNTIF('Frameworks'!$M$15:$M$18,H$3)</f>
      </c>
      <c r="I41" s="44">
        <f>COUNTIF('Frameworks'!$M$15:$M$18,I$3)</f>
      </c>
      <c r="J41" s="44">
        <f>COUNTIF('Frameworks'!$M$15:$M$18,J$3)</f>
      </c>
      <c r="K41" s="44">
        <f>COUNTIF('Frameworks'!$M$15:$M$18,K$3)</f>
      </c>
      <c r="L41" s="44">
        <f>COUNTIF('Frameworks'!$M$15:$M$18,L$3)</f>
      </c>
      <c r="M41" s="44">
        <f>COUNTA('Frameworks'!$G$15:$G$18)-SUM(H41:L41)</f>
      </c>
      <c r="N41" s="43">
        <f>O41/P41</f>
      </c>
      <c r="O41" s="44">
        <f>SUM(Q41:U41)</f>
      </c>
      <c r="P41" s="44">
        <f>SUM(Q41:V41)</f>
      </c>
      <c r="Q41" s="44">
        <f>COUNTIF('Frameworks'!$R$15:$R$18,Q$3)</f>
      </c>
      <c r="R41" s="44">
        <f>COUNTIF('Frameworks'!$R$15:$R$18,R$3)</f>
      </c>
      <c r="S41" s="44">
        <f>COUNTIF('Frameworks'!$R$15:$R$18,S$3)</f>
      </c>
      <c r="T41" s="44">
        <f>COUNTIF('Frameworks'!$R$15:$R$18,T$3)</f>
      </c>
      <c r="U41" s="44">
        <f>COUNTIF('Frameworks'!$R$15:$R$18,U$3)</f>
      </c>
      <c r="V41" s="44">
        <f>COUNTA('Frameworks'!$G$15:$G$18)-SUM(Q41:U41)</f>
      </c>
    </row>
    <row r="42" ht="31.5" customHeight="1">
      <c r="A42"/>
      <c r="B42" s="45"/>
      <c r="C42" s="42" t="s">
        <v>120</v>
      </c>
      <c r="D42" s="42" t="s">
        <v>93</v>
      </c>
      <c r="E42" s="43">
        <f>F42/G42</f>
      </c>
      <c r="F42" s="44">
        <f>SUM(H42:L42)</f>
      </c>
      <c r="G42" s="44">
        <f>SUM(H42:M42)</f>
      </c>
      <c r="H42" s="44">
        <f>COUNTIF('Frameworks'!$M$19:$M$19,H$3)</f>
      </c>
      <c r="I42" s="44">
        <f>COUNTIF('Frameworks'!$M$19:$M$19,I$3)</f>
      </c>
      <c r="J42" s="44">
        <f>COUNTIF('Frameworks'!$M$19:$M$19,J$3)</f>
      </c>
      <c r="K42" s="44">
        <f>COUNTIF('Frameworks'!$M$19:$M$19,K$3)</f>
      </c>
      <c r="L42" s="44">
        <f>COUNTIF('Frameworks'!$M$19:$M$19,L$3)</f>
      </c>
      <c r="M42" s="44">
        <f>COUNTA('Frameworks'!$G$19:$G$19)-SUM(H42:L42)</f>
      </c>
      <c r="N42" s="43">
        <f>O42/P42</f>
      </c>
      <c r="O42" s="44">
        <f>SUM(Q42:U42)</f>
      </c>
      <c r="P42" s="44">
        <f>SUM(Q42:V42)</f>
      </c>
      <c r="Q42" s="44">
        <f>COUNTIF('Frameworks'!$R$19:$R$19,Q$3)</f>
      </c>
      <c r="R42" s="44">
        <f>COUNTIF('Frameworks'!$R$19:$R$19,R$3)</f>
      </c>
      <c r="S42" s="44">
        <f>COUNTIF('Frameworks'!$R$19:$R$19,S$3)</f>
      </c>
      <c r="T42" s="44">
        <f>COUNTIF('Frameworks'!$R$19:$R$19,T$3)</f>
      </c>
      <c r="U42" s="44">
        <f>COUNTIF('Frameworks'!$R$19:$R$19,U$3)</f>
      </c>
      <c r="V42" s="44">
        <f>COUNTA('Frameworks'!$G$19:$G$19)-SUM(Q42:U42)</f>
      </c>
    </row>
    <row r="43" ht="31.5" customHeight="1">
      <c r="A43"/>
      <c r="B43" s="45"/>
      <c r="C43" s="42" t="s">
        <v>120</v>
      </c>
      <c r="D43" s="42" t="s">
        <v>127</v>
      </c>
      <c r="E43" s="43">
        <f>F43/G43</f>
      </c>
      <c r="F43" s="44">
        <f>SUM(H43:L43)</f>
      </c>
      <c r="G43" s="44">
        <f>SUM(H43:M43)</f>
      </c>
      <c r="H43" s="44">
        <f>COUNTIF('Frameworks'!$M$20:$M$64,H$3)</f>
      </c>
      <c r="I43" s="44">
        <f>COUNTIF('Frameworks'!$M$20:$M$64,I$3)</f>
      </c>
      <c r="J43" s="44">
        <f>COUNTIF('Frameworks'!$M$20:$M$64,J$3)</f>
      </c>
      <c r="K43" s="44">
        <f>COUNTIF('Frameworks'!$M$20:$M$64,K$3)</f>
      </c>
      <c r="L43" s="44">
        <f>COUNTIF('Frameworks'!$M$20:$M$64,L$3)</f>
      </c>
      <c r="M43" s="44">
        <f>COUNTA('Frameworks'!$G$20:$G$64)-SUM(H43:L43)</f>
      </c>
      <c r="N43" s="43">
        <f>O43/P43</f>
      </c>
      <c r="O43" s="44">
        <f>SUM(Q43:U43)</f>
      </c>
      <c r="P43" s="44">
        <f>SUM(Q43:V43)</f>
      </c>
      <c r="Q43" s="44">
        <f>COUNTIF('Frameworks'!$R$20:$R$64,Q$3)</f>
      </c>
      <c r="R43" s="44">
        <f>COUNTIF('Frameworks'!$R$20:$R$64,R$3)</f>
      </c>
      <c r="S43" s="44">
        <f>COUNTIF('Frameworks'!$R$20:$R$64,S$3)</f>
      </c>
      <c r="T43" s="44">
        <f>COUNTIF('Frameworks'!$R$20:$R$64,T$3)</f>
      </c>
      <c r="U43" s="44">
        <f>COUNTIF('Frameworks'!$R$20:$R$64,U$3)</f>
      </c>
      <c r="V43" s="44">
        <f>COUNTA('Frameworks'!$G$20:$G$64)-SUM(Q43:U43)</f>
      </c>
    </row>
    <row r="44" ht="31.5" customHeight="1">
      <c r="A44"/>
      <c r="B44" s="45"/>
      <c r="C44" s="42" t="s">
        <v>120</v>
      </c>
      <c r="D44" s="42" t="s">
        <v>96</v>
      </c>
      <c r="E44" s="43">
        <f>F44/G44</f>
      </c>
      <c r="F44" s="44">
        <f>SUM(H44:L44)</f>
      </c>
      <c r="G44" s="44">
        <f>SUM(H44:M44)</f>
      </c>
      <c r="H44" s="44">
        <f>COUNTIF('Frameworks'!$M$65:$M$77,H$3)</f>
      </c>
      <c r="I44" s="44">
        <f>COUNTIF('Frameworks'!$M$65:$M$77,I$3)</f>
      </c>
      <c r="J44" s="44">
        <f>COUNTIF('Frameworks'!$M$65:$M$77,J$3)</f>
      </c>
      <c r="K44" s="44">
        <f>COUNTIF('Frameworks'!$M$65:$M$77,K$3)</f>
      </c>
      <c r="L44" s="44">
        <f>COUNTIF('Frameworks'!$M$65:$M$77,L$3)</f>
      </c>
      <c r="M44" s="44">
        <f>COUNTA('Frameworks'!$G$65:$G$77)-SUM(H44:L44)</f>
      </c>
      <c r="N44" s="43">
        <f>O44/P44</f>
      </c>
      <c r="O44" s="44">
        <f>SUM(Q44:U44)</f>
      </c>
      <c r="P44" s="44">
        <f>SUM(Q44:V44)</f>
      </c>
      <c r="Q44" s="44">
        <f>COUNTIF('Frameworks'!$R$65:$R$77,Q$3)</f>
      </c>
      <c r="R44" s="44">
        <f>COUNTIF('Frameworks'!$R$65:$R$77,R$3)</f>
      </c>
      <c r="S44" s="44">
        <f>COUNTIF('Frameworks'!$R$65:$R$77,S$3)</f>
      </c>
      <c r="T44" s="44">
        <f>COUNTIF('Frameworks'!$R$65:$R$77,T$3)</f>
      </c>
      <c r="U44" s="44">
        <f>COUNTIF('Frameworks'!$R$65:$R$77,U$3)</f>
      </c>
      <c r="V44" s="44">
        <f>COUNTA('Frameworks'!$G$65:$G$77)-SUM(Q44:U44)</f>
      </c>
    </row>
    <row r="45" ht="31.5" customHeight="1">
      <c r="A45"/>
      <c r="B45" s="45"/>
      <c r="C45" s="42" t="s">
        <v>120</v>
      </c>
      <c r="D45" s="42" t="s">
        <v>97</v>
      </c>
      <c r="E45" s="43">
        <f>F45/G45</f>
      </c>
      <c r="F45" s="44">
        <f>SUM(H45:L45)</f>
      </c>
      <c r="G45" s="44">
        <f>SUM(H45:M45)</f>
      </c>
      <c r="H45" s="44">
        <f>COUNTIF('Frameworks'!$M$78:$M$96,H$3)</f>
      </c>
      <c r="I45" s="44">
        <f>COUNTIF('Frameworks'!$M$78:$M$96,I$3)</f>
      </c>
      <c r="J45" s="44">
        <f>COUNTIF('Frameworks'!$M$78:$M$96,J$3)</f>
      </c>
      <c r="K45" s="44">
        <f>COUNTIF('Frameworks'!$M$78:$M$96,K$3)</f>
      </c>
      <c r="L45" s="44">
        <f>COUNTIF('Frameworks'!$M$78:$M$96,L$3)</f>
      </c>
      <c r="M45" s="44">
        <f>COUNTA('Frameworks'!$G$78:$G$96)-SUM(H45:L45)</f>
      </c>
      <c r="N45" s="43">
        <f>O45/P45</f>
      </c>
      <c r="O45" s="44">
        <f>SUM(Q45:U45)</f>
      </c>
      <c r="P45" s="44">
        <f>SUM(Q45:V45)</f>
      </c>
      <c r="Q45" s="44">
        <f>COUNTIF('Frameworks'!$R$78:$R$96,Q$3)</f>
      </c>
      <c r="R45" s="44">
        <f>COUNTIF('Frameworks'!$R$78:$R$96,R$3)</f>
      </c>
      <c r="S45" s="44">
        <f>COUNTIF('Frameworks'!$R$78:$R$96,S$3)</f>
      </c>
      <c r="T45" s="44">
        <f>COUNTIF('Frameworks'!$R$78:$R$96,T$3)</f>
      </c>
      <c r="U45" s="44">
        <f>COUNTIF('Frameworks'!$R$78:$R$96,U$3)</f>
      </c>
      <c r="V45" s="44">
        <f>COUNTA('Frameworks'!$G$78:$G$96)-SUM(Q45:U45)</f>
      </c>
    </row>
    <row r="46" ht="31.5" customHeight="1">
      <c r="A46"/>
      <c r="B46" s="45"/>
      <c r="C46" s="42" t="s">
        <v>120</v>
      </c>
      <c r="D46" s="42" t="s">
        <v>98</v>
      </c>
      <c r="E46" s="43">
        <f>F46/G46</f>
      </c>
      <c r="F46" s="44">
        <f>SUM(H46:L46)</f>
      </c>
      <c r="G46" s="44">
        <f>SUM(H46:M46)</f>
      </c>
      <c r="H46" s="44">
        <f>COUNTIF('Frameworks'!$M$97:$M$101,H$3)</f>
      </c>
      <c r="I46" s="44">
        <f>COUNTIF('Frameworks'!$M$97:$M$101,I$3)</f>
      </c>
      <c r="J46" s="44">
        <f>COUNTIF('Frameworks'!$M$97:$M$101,J$3)</f>
      </c>
      <c r="K46" s="44">
        <f>COUNTIF('Frameworks'!$M$97:$M$101,K$3)</f>
      </c>
      <c r="L46" s="44">
        <f>COUNTIF('Frameworks'!$M$97:$M$101,L$3)</f>
      </c>
      <c r="M46" s="44">
        <f>COUNTA('Frameworks'!$G$97:$G$101)-SUM(H46:L46)</f>
      </c>
      <c r="N46" s="43">
        <f>O46/P46</f>
      </c>
      <c r="O46" s="44">
        <f>SUM(Q46:U46)</f>
      </c>
      <c r="P46" s="44">
        <f>SUM(Q46:V46)</f>
      </c>
      <c r="Q46" s="44">
        <f>COUNTIF('Frameworks'!$R$97:$R$101,Q$3)</f>
      </c>
      <c r="R46" s="44">
        <f>COUNTIF('Frameworks'!$R$97:$R$101,R$3)</f>
      </c>
      <c r="S46" s="44">
        <f>COUNTIF('Frameworks'!$R$97:$R$101,S$3)</f>
      </c>
      <c r="T46" s="44">
        <f>COUNTIF('Frameworks'!$R$97:$R$101,T$3)</f>
      </c>
      <c r="U46" s="44">
        <f>COUNTIF('Frameworks'!$R$97:$R$101,U$3)</f>
      </c>
      <c r="V46" s="44">
        <f>COUNTA('Frameworks'!$G$97:$G$101)-SUM(Q46:U46)</f>
      </c>
    </row>
    <row r="47" ht="15.75" customHeight="1">
      <c r="A47"/>
      <c r="B47" s="45"/>
      <c r="C47" s="42" t="s">
        <v>131</v>
      </c>
      <c r="D47" s="42" t="s">
        <v>100</v>
      </c>
      <c r="E47" s="43">
        <f>F47/G47</f>
      </c>
      <c r="F47" s="44">
        <f>SUM(H47:L47)</f>
      </c>
      <c r="G47" s="44">
        <f>SUM(H47:M47)</f>
      </c>
      <c r="H47" s="44">
        <f>COUNTIF('Frameworks'!$M$102:$M$103,H$3)</f>
      </c>
      <c r="I47" s="44">
        <f>COUNTIF('Frameworks'!$M$102:$M$103,I$3)</f>
      </c>
      <c r="J47" s="44">
        <f>COUNTIF('Frameworks'!$M$102:$M$103,J$3)</f>
      </c>
      <c r="K47" s="44">
        <f>COUNTIF('Frameworks'!$M$102:$M$103,K$3)</f>
      </c>
      <c r="L47" s="44">
        <f>COUNTIF('Frameworks'!$M$102:$M$103,L$3)</f>
      </c>
      <c r="M47" s="44">
        <f>COUNTA('Frameworks'!$G$102:$G$103)-SUM(H47:L47)</f>
      </c>
      <c r="N47" s="43">
        <f>O47/P47</f>
      </c>
      <c r="O47" s="44">
        <f>SUM(Q47:U47)</f>
      </c>
      <c r="P47" s="44">
        <f>SUM(Q47:V47)</f>
      </c>
      <c r="Q47" s="44">
        <f>COUNTIF('Frameworks'!$R$102:$R$103,Q$3)</f>
      </c>
      <c r="R47" s="44">
        <f>COUNTIF('Frameworks'!$R$102:$R$103,R$3)</f>
      </c>
      <c r="S47" s="44">
        <f>COUNTIF('Frameworks'!$R$102:$R$103,S$3)</f>
      </c>
      <c r="T47" s="44">
        <f>COUNTIF('Frameworks'!$R$102:$R$103,T$3)</f>
      </c>
      <c r="U47" s="44">
        <f>COUNTIF('Frameworks'!$R$102:$R$103,U$3)</f>
      </c>
      <c r="V47" s="44">
        <f>COUNTA('Frameworks'!$G$102:$G$103)-SUM(Q47:U47)</f>
      </c>
    </row>
    <row r="48" ht="15.75" customHeight="1">
      <c r="A48"/>
      <c r="B48" s="45"/>
      <c r="C48" s="42" t="s">
        <v>131</v>
      </c>
      <c r="D48" s="42" t="s">
        <v>101</v>
      </c>
      <c r="E48" s="43">
        <f>F48/G48</f>
      </c>
      <c r="F48" s="44">
        <f>SUM(H48:L48)</f>
      </c>
      <c r="G48" s="44">
        <f>SUM(H48:M48)</f>
      </c>
      <c r="H48" s="44">
        <f>COUNTIF('Frameworks'!$M$104:$M$106,H$3)</f>
      </c>
      <c r="I48" s="44">
        <f>COUNTIF('Frameworks'!$M$104:$M$106,I$3)</f>
      </c>
      <c r="J48" s="44">
        <f>COUNTIF('Frameworks'!$M$104:$M$106,J$3)</f>
      </c>
      <c r="K48" s="44">
        <f>COUNTIF('Frameworks'!$M$104:$M$106,K$3)</f>
      </c>
      <c r="L48" s="44">
        <f>COUNTIF('Frameworks'!$M$104:$M$106,L$3)</f>
      </c>
      <c r="M48" s="44">
        <f>COUNTA('Frameworks'!$G$104:$G$106)-SUM(H48:L48)</f>
      </c>
      <c r="N48" s="43">
        <f>O48/P48</f>
      </c>
      <c r="O48" s="44">
        <f>SUM(Q48:U48)</f>
      </c>
      <c r="P48" s="44">
        <f>SUM(Q48:V48)</f>
      </c>
      <c r="Q48" s="44">
        <f>COUNTIF('Frameworks'!$R$104:$R$106,Q$3)</f>
      </c>
      <c r="R48" s="44">
        <f>COUNTIF('Frameworks'!$R$104:$R$106,R$3)</f>
      </c>
      <c r="S48" s="44">
        <f>COUNTIF('Frameworks'!$R$104:$R$106,S$3)</f>
      </c>
      <c r="T48" s="44">
        <f>COUNTIF('Frameworks'!$R$104:$R$106,T$3)</f>
      </c>
      <c r="U48" s="44">
        <f>COUNTIF('Frameworks'!$R$104:$R$106,U$3)</f>
      </c>
      <c r="V48" s="44">
        <f>COUNTA('Frameworks'!$G$104:$G$106)-SUM(Q48:U48)</f>
      </c>
    </row>
    <row r="49" ht="15.75" customHeight="1">
      <c r="A49"/>
      <c r="B49" s="45"/>
      <c r="C49" s="42" t="s">
        <v>131</v>
      </c>
      <c r="D49" s="42" t="s">
        <v>132</v>
      </c>
      <c r="E49" s="43">
        <f>F49/G49</f>
      </c>
      <c r="F49" s="44">
        <f>SUM(H49:L49)</f>
      </c>
      <c r="G49" s="44">
        <f>SUM(H49:M49)</f>
      </c>
      <c r="H49" s="44">
        <f>COUNTIF('Frameworks'!$M$107:$M$111,H$3)</f>
      </c>
      <c r="I49" s="44">
        <f>COUNTIF('Frameworks'!$M$107:$M$111,I$3)</f>
      </c>
      <c r="J49" s="44">
        <f>COUNTIF('Frameworks'!$M$107:$M$111,J$3)</f>
      </c>
      <c r="K49" s="44">
        <f>COUNTIF('Frameworks'!$M$107:$M$111,K$3)</f>
      </c>
      <c r="L49" s="44">
        <f>COUNTIF('Frameworks'!$M$107:$M$111,L$3)</f>
      </c>
      <c r="M49" s="44">
        <f>COUNTA('Frameworks'!$G$107:$G$111)-SUM(H49:L49)</f>
      </c>
      <c r="N49" s="43">
        <f>O49/P49</f>
      </c>
      <c r="O49" s="44">
        <f>SUM(Q49:U49)</f>
      </c>
      <c r="P49" s="44">
        <f>SUM(Q49:V49)</f>
      </c>
      <c r="Q49" s="44">
        <f>COUNTIF('Frameworks'!$R$107:$R$111,Q$3)</f>
      </c>
      <c r="R49" s="44">
        <f>COUNTIF('Frameworks'!$R$107:$R$111,R$3)</f>
      </c>
      <c r="S49" s="44">
        <f>COUNTIF('Frameworks'!$R$107:$R$111,S$3)</f>
      </c>
      <c r="T49" s="44">
        <f>COUNTIF('Frameworks'!$R$107:$R$111,T$3)</f>
      </c>
      <c r="U49" s="44">
        <f>COUNTIF('Frameworks'!$R$107:$R$111,U$3)</f>
      </c>
      <c r="V49" s="44">
        <f>COUNTA('Frameworks'!$G$107:$G$111)-SUM(Q49:U49)</f>
      </c>
    </row>
    <row r="50" ht="15.75" customHeight="1">
      <c r="A50"/>
      <c r="B50" s="45"/>
      <c r="C50" s="42" t="s">
        <v>131</v>
      </c>
      <c r="D50" s="42" t="s">
        <v>2730</v>
      </c>
      <c r="E50" s="43">
        <f>F50/G50</f>
      </c>
      <c r="F50" s="44">
        <f>SUM(H50:L50)</f>
      </c>
      <c r="G50" s="44">
        <f>SUM(H50:M50)</f>
      </c>
      <c r="H50" s="44">
        <f>COUNTIF('Frameworks'!$M$112:$M$113,H$3)</f>
      </c>
      <c r="I50" s="44">
        <f>COUNTIF('Frameworks'!$M$112:$M$113,I$3)</f>
      </c>
      <c r="J50" s="44">
        <f>COUNTIF('Frameworks'!$M$112:$M$113,J$3)</f>
      </c>
      <c r="K50" s="44">
        <f>COUNTIF('Frameworks'!$M$112:$M$113,K$3)</f>
      </c>
      <c r="L50" s="44">
        <f>COUNTIF('Frameworks'!$M$112:$M$113,L$3)</f>
      </c>
      <c r="M50" s="44">
        <f>COUNTA('Frameworks'!$G$112:$G$113)-SUM(H50:L50)</f>
      </c>
      <c r="N50" s="43">
        <f>O50/P50</f>
      </c>
      <c r="O50" s="44">
        <f>SUM(Q50:U50)</f>
      </c>
      <c r="P50" s="44">
        <f>SUM(Q50:V50)</f>
      </c>
      <c r="Q50" s="44">
        <f>COUNTIF('Frameworks'!$R$112:$R$113,Q$3)</f>
      </c>
      <c r="R50" s="44">
        <f>COUNTIF('Frameworks'!$R$112:$R$113,R$3)</f>
      </c>
      <c r="S50" s="44">
        <f>COUNTIF('Frameworks'!$R$112:$R$113,S$3)</f>
      </c>
      <c r="T50" s="44">
        <f>COUNTIF('Frameworks'!$R$112:$R$113,T$3)</f>
      </c>
      <c r="U50" s="44">
        <f>COUNTIF('Frameworks'!$R$112:$R$113,U$3)</f>
      </c>
      <c r="V50" s="44">
        <f>COUNTA('Frameworks'!$G$112:$G$113)-SUM(Q50:U50)</f>
      </c>
    </row>
    <row r="51" ht="15.75" customHeight="1">
      <c r="A51"/>
      <c r="B51" s="45"/>
      <c r="C51" s="42" t="s">
        <v>131</v>
      </c>
      <c r="D51" s="42" t="s">
        <v>134</v>
      </c>
      <c r="E51" s="43">
        <f>F51/G51</f>
      </c>
      <c r="F51" s="44">
        <f>SUM(H51:L51)</f>
      </c>
      <c r="G51" s="44">
        <f>SUM(H51:M51)</f>
      </c>
      <c r="H51" s="44">
        <f>COUNTIF('Frameworks'!$M$114:$M$118,H$3)</f>
      </c>
      <c r="I51" s="44">
        <f>COUNTIF('Frameworks'!$M$114:$M$118,I$3)</f>
      </c>
      <c r="J51" s="44">
        <f>COUNTIF('Frameworks'!$M$114:$M$118,J$3)</f>
      </c>
      <c r="K51" s="44">
        <f>COUNTIF('Frameworks'!$M$114:$M$118,K$3)</f>
      </c>
      <c r="L51" s="44">
        <f>COUNTIF('Frameworks'!$M$114:$M$118,L$3)</f>
      </c>
      <c r="M51" s="44">
        <f>COUNTA('Frameworks'!$G$114:$G$118)-SUM(H51:L51)</f>
      </c>
      <c r="N51" s="43">
        <f>O51/P51</f>
      </c>
      <c r="O51" s="44">
        <f>SUM(Q51:U51)</f>
      </c>
      <c r="P51" s="44">
        <f>SUM(Q51:V51)</f>
      </c>
      <c r="Q51" s="44">
        <f>COUNTIF('Frameworks'!$R$114:$R$118,Q$3)</f>
      </c>
      <c r="R51" s="44">
        <f>COUNTIF('Frameworks'!$R$114:$R$118,R$3)</f>
      </c>
      <c r="S51" s="44">
        <f>COUNTIF('Frameworks'!$R$114:$R$118,S$3)</f>
      </c>
      <c r="T51" s="44">
        <f>COUNTIF('Frameworks'!$R$114:$R$118,T$3)</f>
      </c>
      <c r="U51" s="44">
        <f>COUNTIF('Frameworks'!$R$114:$R$118,U$3)</f>
      </c>
      <c r="V51" s="44">
        <f>COUNTA('Frameworks'!$G$114:$G$118)-SUM(Q51:U51)</f>
      </c>
    </row>
    <row r="52" ht="15.75" customHeight="1">
      <c r="A52"/>
      <c r="B52" s="45"/>
      <c r="C52" s="42" t="s">
        <v>131</v>
      </c>
      <c r="D52" s="42" t="s">
        <v>2757</v>
      </c>
      <c r="E52" s="43">
        <f>F52/G52</f>
      </c>
      <c r="F52" s="44">
        <f>SUM(H52:L52)</f>
      </c>
      <c r="G52" s="44">
        <f>SUM(H52:M52)</f>
      </c>
      <c r="H52" s="44">
        <f>COUNTIF('Frameworks'!$M$119:$M$128,H$3)</f>
      </c>
      <c r="I52" s="44">
        <f>COUNTIF('Frameworks'!$M$119:$M$128,I$3)</f>
      </c>
      <c r="J52" s="44">
        <f>COUNTIF('Frameworks'!$M$119:$M$128,J$3)</f>
      </c>
      <c r="K52" s="44">
        <f>COUNTIF('Frameworks'!$M$119:$M$128,K$3)</f>
      </c>
      <c r="L52" s="44">
        <f>COUNTIF('Frameworks'!$M$119:$M$128,L$3)</f>
      </c>
      <c r="M52" s="44">
        <f>COUNTA('Frameworks'!$G$119:$G$128)-SUM(H52:L52)</f>
      </c>
      <c r="N52" s="43">
        <f>O52/P52</f>
      </c>
      <c r="O52" s="44">
        <f>SUM(Q52:U52)</f>
      </c>
      <c r="P52" s="44">
        <f>SUM(Q52:V52)</f>
      </c>
      <c r="Q52" s="44">
        <f>COUNTIF('Frameworks'!$R$119:$R$128,Q$3)</f>
      </c>
      <c r="R52" s="44">
        <f>COUNTIF('Frameworks'!$R$119:$R$128,R$3)</f>
      </c>
      <c r="S52" s="44">
        <f>COUNTIF('Frameworks'!$R$119:$R$128,S$3)</f>
      </c>
      <c r="T52" s="44">
        <f>COUNTIF('Frameworks'!$R$119:$R$128,T$3)</f>
      </c>
      <c r="U52" s="44">
        <f>COUNTIF('Frameworks'!$R$119:$R$128,U$3)</f>
      </c>
      <c r="V52" s="44">
        <f>COUNTA('Frameworks'!$G$119:$G$128)-SUM(Q52:U52)</f>
      </c>
    </row>
    <row r="53" ht="31.5" customHeight="1">
      <c r="A53"/>
      <c r="B53" s="45"/>
      <c r="C53" s="42" t="s">
        <v>123</v>
      </c>
      <c r="D53" s="42" t="s">
        <v>100</v>
      </c>
      <c r="E53" s="43">
        <f>F53/G53</f>
      </c>
      <c r="F53" s="44">
        <f>SUM(H53:L53)</f>
      </c>
      <c r="G53" s="44">
        <f>SUM(H53:M53)</f>
      </c>
      <c r="H53" s="44">
        <f>COUNTIF('Frameworks'!$M$129:$M$132,H$3)</f>
      </c>
      <c r="I53" s="44">
        <f>COUNTIF('Frameworks'!$M$129:$M$132,I$3)</f>
      </c>
      <c r="J53" s="44">
        <f>COUNTIF('Frameworks'!$M$129:$M$132,J$3)</f>
      </c>
      <c r="K53" s="44">
        <f>COUNTIF('Frameworks'!$M$129:$M$132,K$3)</f>
      </c>
      <c r="L53" s="44">
        <f>COUNTIF('Frameworks'!$M$129:$M$132,L$3)</f>
      </c>
      <c r="M53" s="44">
        <f>COUNTA('Frameworks'!$G$129:$G$132)-SUM(H53:L53)</f>
      </c>
      <c r="N53" s="43">
        <f>O53/P53</f>
      </c>
      <c r="O53" s="44">
        <f>SUM(Q53:U53)</f>
      </c>
      <c r="P53" s="44">
        <f>SUM(Q53:V53)</f>
      </c>
      <c r="Q53" s="44">
        <f>COUNTIF('Frameworks'!$R$129:$R$132,Q$3)</f>
      </c>
      <c r="R53" s="44">
        <f>COUNTIF('Frameworks'!$R$129:$R$132,R$3)</f>
      </c>
      <c r="S53" s="44">
        <f>COUNTIF('Frameworks'!$R$129:$R$132,S$3)</f>
      </c>
      <c r="T53" s="44">
        <f>COUNTIF('Frameworks'!$R$129:$R$132,T$3)</f>
      </c>
      <c r="U53" s="44">
        <f>COUNTIF('Frameworks'!$R$129:$R$132,U$3)</f>
      </c>
      <c r="V53" s="44">
        <f>COUNTA('Frameworks'!$G$129:$G$132)-SUM(Q53:U53)</f>
      </c>
    </row>
    <row r="54" ht="31.5" customHeight="1">
      <c r="A54"/>
      <c r="B54" s="45"/>
      <c r="C54" s="42" t="s">
        <v>123</v>
      </c>
      <c r="D54" s="42" t="s">
        <v>101</v>
      </c>
      <c r="E54" s="43">
        <f>F54/G54</f>
      </c>
      <c r="F54" s="44">
        <f>SUM(H54:L54)</f>
      </c>
      <c r="G54" s="44">
        <f>SUM(H54:M54)</f>
      </c>
      <c r="H54" s="44">
        <f>COUNTIF('Frameworks'!$M$133:$M$134,H$3)</f>
      </c>
      <c r="I54" s="44">
        <f>COUNTIF('Frameworks'!$M$133:$M$134,I$3)</f>
      </c>
      <c r="J54" s="44">
        <f>COUNTIF('Frameworks'!$M$133:$M$134,J$3)</f>
      </c>
      <c r="K54" s="44">
        <f>COUNTIF('Frameworks'!$M$133:$M$134,K$3)</f>
      </c>
      <c r="L54" s="44">
        <f>COUNTIF('Frameworks'!$M$133:$M$134,L$3)</f>
      </c>
      <c r="M54" s="44">
        <f>COUNTA('Frameworks'!$G$133:$G$134)-SUM(H54:L54)</f>
      </c>
      <c r="N54" s="43">
        <f>O54/P54</f>
      </c>
      <c r="O54" s="44">
        <f>SUM(Q54:U54)</f>
      </c>
      <c r="P54" s="44">
        <f>SUM(Q54:V54)</f>
      </c>
      <c r="Q54" s="44">
        <f>COUNTIF('Frameworks'!$R$133:$R$134,Q$3)</f>
      </c>
      <c r="R54" s="44">
        <f>COUNTIF('Frameworks'!$R$133:$R$134,R$3)</f>
      </c>
      <c r="S54" s="44">
        <f>COUNTIF('Frameworks'!$R$133:$R$134,S$3)</f>
      </c>
      <c r="T54" s="44">
        <f>COUNTIF('Frameworks'!$R$133:$R$134,T$3)</f>
      </c>
      <c r="U54" s="44">
        <f>COUNTIF('Frameworks'!$R$133:$R$134,U$3)</f>
      </c>
      <c r="V54" s="44">
        <f>COUNTA('Frameworks'!$G$133:$G$134)-SUM(Q54:U54)</f>
      </c>
    </row>
    <row r="55" ht="31.5" customHeight="1">
      <c r="A55"/>
      <c r="B55" s="45"/>
      <c r="C55" s="42" t="s">
        <v>123</v>
      </c>
      <c r="D55" s="42" t="s">
        <v>102</v>
      </c>
      <c r="E55" s="43">
        <f>F55/G55</f>
      </c>
      <c r="F55" s="44">
        <f>SUM(H55:L55)</f>
      </c>
      <c r="G55" s="44">
        <f>SUM(H55:M55)</f>
      </c>
      <c r="H55" s="44">
        <f>COUNTIF('Frameworks'!$M$135:$M$147,H$3)</f>
      </c>
      <c r="I55" s="44">
        <f>COUNTIF('Frameworks'!$M$135:$M$147,I$3)</f>
      </c>
      <c r="J55" s="44">
        <f>COUNTIF('Frameworks'!$M$135:$M$147,J$3)</f>
      </c>
      <c r="K55" s="44">
        <f>COUNTIF('Frameworks'!$M$135:$M$147,K$3)</f>
      </c>
      <c r="L55" s="44">
        <f>COUNTIF('Frameworks'!$M$135:$M$147,L$3)</f>
      </c>
      <c r="M55" s="44">
        <f>COUNTA('Frameworks'!$G$135:$G$147)-SUM(H55:L55)</f>
      </c>
      <c r="N55" s="43">
        <f>O55/P55</f>
      </c>
      <c r="O55" s="44">
        <f>SUM(Q55:U55)</f>
      </c>
      <c r="P55" s="44">
        <f>SUM(Q55:V55)</f>
      </c>
      <c r="Q55" s="44">
        <f>COUNTIF('Frameworks'!$R$135:$R$147,Q$3)</f>
      </c>
      <c r="R55" s="44">
        <f>COUNTIF('Frameworks'!$R$135:$R$147,R$3)</f>
      </c>
      <c r="S55" s="44">
        <f>COUNTIF('Frameworks'!$R$135:$R$147,S$3)</f>
      </c>
      <c r="T55" s="44">
        <f>COUNTIF('Frameworks'!$R$135:$R$147,T$3)</f>
      </c>
      <c r="U55" s="44">
        <f>COUNTIF('Frameworks'!$R$135:$R$147,U$3)</f>
      </c>
      <c r="V55" s="44">
        <f>COUNTA('Frameworks'!$G$135:$G$147)-SUM(Q55:U55)</f>
      </c>
    </row>
    <row r="56" ht="31.5" customHeight="1">
      <c r="A56"/>
      <c r="B56" s="45"/>
      <c r="C56" s="42" t="s">
        <v>123</v>
      </c>
      <c r="D56" s="42" t="s">
        <v>126</v>
      </c>
      <c r="E56" s="43">
        <f>F56/G56</f>
      </c>
      <c r="F56" s="44">
        <f>SUM(H56:L56)</f>
      </c>
      <c r="G56" s="44">
        <f>SUM(H56:M56)</f>
      </c>
      <c r="H56" s="44">
        <f>COUNTIF('Frameworks'!$M$148:$M$164,H$3)</f>
      </c>
      <c r="I56" s="44">
        <f>COUNTIF('Frameworks'!$M$148:$M$164,I$3)</f>
      </c>
      <c r="J56" s="44">
        <f>COUNTIF('Frameworks'!$M$148:$M$164,J$3)</f>
      </c>
      <c r="K56" s="44">
        <f>COUNTIF('Frameworks'!$M$148:$M$164,K$3)</f>
      </c>
      <c r="L56" s="44">
        <f>COUNTIF('Frameworks'!$M$148:$M$164,L$3)</f>
      </c>
      <c r="M56" s="44">
        <f>COUNTA('Frameworks'!$G$148:$G$164)-SUM(H56:L56)</f>
      </c>
      <c r="N56" s="43">
        <f>O56/P56</f>
      </c>
      <c r="O56" s="44">
        <f>SUM(Q56:U56)</f>
      </c>
      <c r="P56" s="44">
        <f>SUM(Q56:V56)</f>
      </c>
      <c r="Q56" s="44">
        <f>COUNTIF('Frameworks'!$R$148:$R$164,Q$3)</f>
      </c>
      <c r="R56" s="44">
        <f>COUNTIF('Frameworks'!$R$148:$R$164,R$3)</f>
      </c>
      <c r="S56" s="44">
        <f>COUNTIF('Frameworks'!$R$148:$R$164,S$3)</f>
      </c>
      <c r="T56" s="44">
        <f>COUNTIF('Frameworks'!$R$148:$R$164,T$3)</f>
      </c>
      <c r="U56" s="44">
        <f>COUNTIF('Frameworks'!$R$148:$R$164,U$3)</f>
      </c>
      <c r="V56" s="44">
        <f>COUNTA('Frameworks'!$G$148:$G$164)-SUM(Q56:U56)</f>
      </c>
    </row>
    <row r="57" ht="15.75" customHeight="1">
      <c r="A57"/>
      <c r="B57" s="45"/>
      <c r="C57" s="42" t="s">
        <v>110</v>
      </c>
      <c r="D57" s="42" t="s">
        <v>139</v>
      </c>
      <c r="E57" s="43">
        <f>F57/G57</f>
      </c>
      <c r="F57" s="44">
        <f>SUM(H57:L57)</f>
      </c>
      <c r="G57" s="44">
        <f>SUM(H57:M57)</f>
      </c>
      <c r="H57" s="44">
        <f>COUNTIF('Frameworks'!$M$165:$M$167,H$3)</f>
      </c>
      <c r="I57" s="44">
        <f>COUNTIF('Frameworks'!$M$165:$M$167,I$3)</f>
      </c>
      <c r="J57" s="44">
        <f>COUNTIF('Frameworks'!$M$165:$M$167,J$3)</f>
      </c>
      <c r="K57" s="44">
        <f>COUNTIF('Frameworks'!$M$165:$M$167,K$3)</f>
      </c>
      <c r="L57" s="44">
        <f>COUNTIF('Frameworks'!$M$165:$M$167,L$3)</f>
      </c>
      <c r="M57" s="44">
        <f>COUNTA('Frameworks'!$G$165:$G$167)-SUM(H57:L57)</f>
      </c>
      <c r="N57" s="43">
        <f>O57/P57</f>
      </c>
      <c r="O57" s="44">
        <f>SUM(Q57:U57)</f>
      </c>
      <c r="P57" s="44">
        <f>SUM(Q57:V57)</f>
      </c>
      <c r="Q57" s="44">
        <f>COUNTIF('Frameworks'!$R$165:$R$167,Q$3)</f>
      </c>
      <c r="R57" s="44">
        <f>COUNTIF('Frameworks'!$R$165:$R$167,R$3)</f>
      </c>
      <c r="S57" s="44">
        <f>COUNTIF('Frameworks'!$R$165:$R$167,S$3)</f>
      </c>
      <c r="T57" s="44">
        <f>COUNTIF('Frameworks'!$R$165:$R$167,T$3)</f>
      </c>
      <c r="U57" s="44">
        <f>COUNTIF('Frameworks'!$R$165:$R$167,U$3)</f>
      </c>
      <c r="V57" s="44">
        <f>COUNTA('Frameworks'!$G$165:$G$167)-SUM(Q57:U57)</f>
      </c>
    </row>
    <row r="58" ht="15.75" customHeight="1">
      <c r="A58"/>
      <c r="B58" s="45"/>
      <c r="C58" s="42" t="s">
        <v>110</v>
      </c>
      <c r="D58" s="42" t="s">
        <v>140</v>
      </c>
      <c r="E58" s="43">
        <f>F58/G58</f>
      </c>
      <c r="F58" s="44">
        <f>SUM(H58:L58)</f>
      </c>
      <c r="G58" s="44">
        <f>SUM(H58:M58)</f>
      </c>
      <c r="H58" s="44">
        <f>COUNTIF('Frameworks'!$M$168:$M$169,H$3)</f>
      </c>
      <c r="I58" s="44">
        <f>COUNTIF('Frameworks'!$M$168:$M$169,I$3)</f>
      </c>
      <c r="J58" s="44">
        <f>COUNTIF('Frameworks'!$M$168:$M$169,J$3)</f>
      </c>
      <c r="K58" s="44">
        <f>COUNTIF('Frameworks'!$M$168:$M$169,K$3)</f>
      </c>
      <c r="L58" s="44">
        <f>COUNTIF('Frameworks'!$M$168:$M$169,L$3)</f>
      </c>
      <c r="M58" s="44">
        <f>COUNTA('Frameworks'!$G$168:$G$169)-SUM(H58:L58)</f>
      </c>
      <c r="N58" s="43">
        <f>O58/P58</f>
      </c>
      <c r="O58" s="44">
        <f>SUM(Q58:U58)</f>
      </c>
      <c r="P58" s="44">
        <f>SUM(Q58:V58)</f>
      </c>
      <c r="Q58" s="44">
        <f>COUNTIF('Frameworks'!$R$168:$R$169,Q$3)</f>
      </c>
      <c r="R58" s="44">
        <f>COUNTIF('Frameworks'!$R$168:$R$169,R$3)</f>
      </c>
      <c r="S58" s="44">
        <f>COUNTIF('Frameworks'!$R$168:$R$169,S$3)</f>
      </c>
      <c r="T58" s="44">
        <f>COUNTIF('Frameworks'!$R$168:$R$169,T$3)</f>
      </c>
      <c r="U58" s="44">
        <f>COUNTIF('Frameworks'!$R$168:$R$169,U$3)</f>
      </c>
      <c r="V58" s="44">
        <f>COUNTA('Frameworks'!$G$168:$G$169)-SUM(Q58:U58)</f>
      </c>
    </row>
    <row r="59" ht="15.75" customHeight="1">
      <c r="A59"/>
      <c r="B59" s="45"/>
      <c r="C59" s="42" t="s">
        <v>110</v>
      </c>
      <c r="D59" s="42" t="s">
        <v>141</v>
      </c>
      <c r="E59" s="43">
        <f>F59/G59</f>
      </c>
      <c r="F59" s="44">
        <f>SUM(H59:L59)</f>
      </c>
      <c r="G59" s="44">
        <f>SUM(H59:M59)</f>
      </c>
      <c r="H59" s="44">
        <f>COUNTIF('Frameworks'!$M$170:$M$171,H$3)</f>
      </c>
      <c r="I59" s="44">
        <f>COUNTIF('Frameworks'!$M$170:$M$171,I$3)</f>
      </c>
      <c r="J59" s="44">
        <f>COUNTIF('Frameworks'!$M$170:$M$171,J$3)</f>
      </c>
      <c r="K59" s="44">
        <f>COUNTIF('Frameworks'!$M$170:$M$171,K$3)</f>
      </c>
      <c r="L59" s="44">
        <f>COUNTIF('Frameworks'!$M$170:$M$171,L$3)</f>
      </c>
      <c r="M59" s="44">
        <f>COUNTA('Frameworks'!$G$170:$G$171)-SUM(H59:L59)</f>
      </c>
      <c r="N59" s="43">
        <f>O59/P59</f>
      </c>
      <c r="O59" s="44">
        <f>SUM(Q59:U59)</f>
      </c>
      <c r="P59" s="44">
        <f>SUM(Q59:V59)</f>
      </c>
      <c r="Q59" s="44">
        <f>COUNTIF('Frameworks'!$R$170:$R$171,Q$3)</f>
      </c>
      <c r="R59" s="44">
        <f>COUNTIF('Frameworks'!$R$170:$R$171,R$3)</f>
      </c>
      <c r="S59" s="44">
        <f>COUNTIF('Frameworks'!$R$170:$R$171,S$3)</f>
      </c>
      <c r="T59" s="44">
        <f>COUNTIF('Frameworks'!$R$170:$R$171,T$3)</f>
      </c>
      <c r="U59" s="44">
        <f>COUNTIF('Frameworks'!$R$170:$R$171,U$3)</f>
      </c>
      <c r="V59" s="44">
        <f>COUNTA('Frameworks'!$G$170:$G$171)-SUM(Q59:U59)</f>
      </c>
    </row>
    <row r="60" ht="15.75" customHeight="1">
      <c r="A60"/>
      <c r="B60" s="45"/>
      <c r="C60" s="42" t="s">
        <v>110</v>
      </c>
      <c r="D60" s="42" t="s">
        <v>3020</v>
      </c>
      <c r="E60" s="43">
        <f>F60/G60</f>
      </c>
      <c r="F60" s="44">
        <f>SUM(H60:L60)</f>
      </c>
      <c r="G60" s="44">
        <f>SUM(H60:M60)</f>
      </c>
      <c r="H60" s="44">
        <f>COUNTIF('Frameworks'!$M$172:$M$175,H$3)</f>
      </c>
      <c r="I60" s="44">
        <f>COUNTIF('Frameworks'!$M$172:$M$175,I$3)</f>
      </c>
      <c r="J60" s="44">
        <f>COUNTIF('Frameworks'!$M$172:$M$175,J$3)</f>
      </c>
      <c r="K60" s="44">
        <f>COUNTIF('Frameworks'!$M$172:$M$175,K$3)</f>
      </c>
      <c r="L60" s="44">
        <f>COUNTIF('Frameworks'!$M$172:$M$175,L$3)</f>
      </c>
      <c r="M60" s="44">
        <f>COUNTA('Frameworks'!$G$172:$G$175)-SUM(H60:L60)</f>
      </c>
      <c r="N60" s="43">
        <f>O60/P60</f>
      </c>
      <c r="O60" s="44">
        <f>SUM(Q60:U60)</f>
      </c>
      <c r="P60" s="44">
        <f>SUM(Q60:V60)</f>
      </c>
      <c r="Q60" s="44">
        <f>COUNTIF('Frameworks'!$R$172:$R$175,Q$3)</f>
      </c>
      <c r="R60" s="44">
        <f>COUNTIF('Frameworks'!$R$172:$R$175,R$3)</f>
      </c>
      <c r="S60" s="44">
        <f>COUNTIF('Frameworks'!$R$172:$R$175,S$3)</f>
      </c>
      <c r="T60" s="44">
        <f>COUNTIF('Frameworks'!$R$172:$R$175,T$3)</f>
      </c>
      <c r="U60" s="44">
        <f>COUNTIF('Frameworks'!$R$172:$R$175,U$3)</f>
      </c>
      <c r="V60" s="44">
        <f>COUNTA('Frameworks'!$G$172:$G$175)-SUM(Q60:U60)</f>
      </c>
    </row>
    <row r="61" ht="15.75" customHeight="1">
      <c r="A61"/>
      <c r="B61" s="45"/>
      <c r="C61" s="42" t="s">
        <v>89</v>
      </c>
      <c r="D61" s="42" t="s">
        <v>3034</v>
      </c>
      <c r="E61" s="43">
        <f>F61/G61</f>
      </c>
      <c r="F61" s="44">
        <f>SUM(H61:L61)</f>
      </c>
      <c r="G61" s="44">
        <f>SUM(H61:M61)</f>
      </c>
      <c r="H61" s="44">
        <f>COUNTIF('Frameworks'!$M$176:$M$177,H$3)</f>
      </c>
      <c r="I61" s="44">
        <f>COUNTIF('Frameworks'!$M$176:$M$177,I$3)</f>
      </c>
      <c r="J61" s="44">
        <f>COUNTIF('Frameworks'!$M$176:$M$177,J$3)</f>
      </c>
      <c r="K61" s="44">
        <f>COUNTIF('Frameworks'!$M$176:$M$177,K$3)</f>
      </c>
      <c r="L61" s="44">
        <f>COUNTIF('Frameworks'!$M$176:$M$177,L$3)</f>
      </c>
      <c r="M61" s="44">
        <f>COUNTA('Frameworks'!$G$176:$G$177)-SUM(H61:L61)</f>
      </c>
      <c r="N61" s="43">
        <f>O61/P61</f>
      </c>
      <c r="O61" s="44">
        <f>SUM(Q61:U61)</f>
      </c>
      <c r="P61" s="44">
        <f>SUM(Q61:V61)</f>
      </c>
      <c r="Q61" s="44">
        <f>COUNTIF('Frameworks'!$R$176:$R$177,Q$3)</f>
      </c>
      <c r="R61" s="44">
        <f>COUNTIF('Frameworks'!$R$176:$R$177,R$3)</f>
      </c>
      <c r="S61" s="44">
        <f>COUNTIF('Frameworks'!$R$176:$R$177,S$3)</f>
      </c>
      <c r="T61" s="44">
        <f>COUNTIF('Frameworks'!$R$176:$R$177,T$3)</f>
      </c>
      <c r="U61" s="44">
        <f>COUNTIF('Frameworks'!$R$176:$R$177,U$3)</f>
      </c>
      <c r="V61" s="44">
        <f>COUNTA('Frameworks'!$G$176:$G$177)-SUM(Q61:U61)</f>
      </c>
    </row>
    <row r="62" ht="15.75" customHeight="1">
      <c r="A62"/>
      <c r="B62" s="45"/>
      <c r="C62" s="42" t="s">
        <v>89</v>
      </c>
      <c r="D62" s="42" t="s">
        <v>116</v>
      </c>
      <c r="E62" s="43">
        <f>F62/G62</f>
      </c>
      <c r="F62" s="44">
        <f>SUM(H62:L62)</f>
      </c>
      <c r="G62" s="44">
        <f>SUM(H62:M62)</f>
      </c>
      <c r="H62" s="44">
        <f>COUNTIF('Frameworks'!$M$178:$M$178,H$3)</f>
      </c>
      <c r="I62" s="44">
        <f>COUNTIF('Frameworks'!$M$178:$M$178,I$3)</f>
      </c>
      <c r="J62" s="44">
        <f>COUNTIF('Frameworks'!$M$178:$M$178,J$3)</f>
      </c>
      <c r="K62" s="44">
        <f>COUNTIF('Frameworks'!$M$178:$M$178,K$3)</f>
      </c>
      <c r="L62" s="44">
        <f>COUNTIF('Frameworks'!$M$178:$M$178,L$3)</f>
      </c>
      <c r="M62" s="44">
        <f>COUNTA('Frameworks'!$G$178:$G$178)-SUM(H62:L62)</f>
      </c>
      <c r="N62" s="43">
        <f>O62/P62</f>
      </c>
      <c r="O62" s="44">
        <f>SUM(Q62:U62)</f>
      </c>
      <c r="P62" s="44">
        <f>SUM(Q62:V62)</f>
      </c>
      <c r="Q62" s="44">
        <f>COUNTIF('Frameworks'!$R$178:$R$178,Q$3)</f>
      </c>
      <c r="R62" s="44">
        <f>COUNTIF('Frameworks'!$R$178:$R$178,R$3)</f>
      </c>
      <c r="S62" s="44">
        <f>COUNTIF('Frameworks'!$R$178:$R$178,S$3)</f>
      </c>
      <c r="T62" s="44">
        <f>COUNTIF('Frameworks'!$R$178:$R$178,T$3)</f>
      </c>
      <c r="U62" s="44">
        <f>COUNTIF('Frameworks'!$R$178:$R$178,U$3)</f>
      </c>
      <c r="V62" s="44">
        <f>COUNTA('Frameworks'!$G$178:$G$178)-SUM(Q62:U62)</f>
      </c>
    </row>
    <row r="63" ht="15.75" customHeight="1">
      <c r="A63"/>
      <c r="B63" s="12"/>
      <c r="C63" s="46" t="s">
        <v>71</v>
      </c>
      <c r="D63" s="46"/>
      <c r="E63" s="47">
        <f>F63/G63</f>
      </c>
      <c r="F63" s="48">
        <f>SUM(H63:L63)</f>
      </c>
      <c r="G63" s="48">
        <f>SUM(H63:M63)</f>
      </c>
      <c r="H63" s="48">
        <f>SUM(H40:H62)</f>
      </c>
      <c r="I63" s="48">
        <f>SUM(I40:I62)</f>
      </c>
      <c r="J63" s="48">
        <f>SUM(J40:J62)</f>
      </c>
      <c r="K63" s="48">
        <f>SUM(K40:K62)</f>
      </c>
      <c r="L63" s="48">
        <f>SUM(L40:L62)</f>
      </c>
      <c r="M63" s="48">
        <f>SUM(M40:M62)</f>
      </c>
      <c r="N63" s="47">
        <f>O63/P63</f>
      </c>
      <c r="O63" s="48">
        <f>SUM(Q63:U63)</f>
      </c>
      <c r="P63" s="48">
        <f>SUM(Q63:V63)</f>
      </c>
      <c r="Q63" s="48">
        <f>SUM(Q40:Q62)</f>
      </c>
      <c r="R63" s="48">
        <f>SUM(R40:R62)</f>
      </c>
      <c r="S63" s="48">
        <f>SUM(S40:S62)</f>
      </c>
      <c r="T63" s="48">
        <f>SUM(T40:T62)</f>
      </c>
      <c r="U63" s="48">
        <f>SUM(U40:U62)</f>
      </c>
      <c r="V63" s="48">
        <f>SUM(V40:V62)</f>
      </c>
    </row>
    <row r="64" ht="15.75" customHeight="1">
      <c r="A64"/>
      <c r="B64" s="41" t="s">
        <v>3332</v>
      </c>
      <c r="C64" s="42" t="s">
        <v>80</v>
      </c>
      <c r="D64" s="42" t="s">
        <v>3164</v>
      </c>
      <c r="E64" s="43">
        <f>F64/G64</f>
      </c>
      <c r="F64" s="44">
        <f>SUM(H64:L64)</f>
      </c>
      <c r="G64" s="44">
        <f>SUM(H64:M64)</f>
      </c>
      <c r="H64" s="44">
        <f>COUNTIF('Workspaces'!$M$13:$M$14,H$3)</f>
      </c>
      <c r="I64" s="44">
        <f>COUNTIF('Workspaces'!$M$13:$M$14,I$3)</f>
      </c>
      <c r="J64" s="44">
        <f>COUNTIF('Workspaces'!$M$13:$M$14,J$3)</f>
      </c>
      <c r="K64" s="44">
        <f>COUNTIF('Workspaces'!$M$13:$M$14,K$3)</f>
      </c>
      <c r="L64" s="44">
        <f>COUNTIF('Workspaces'!$M$13:$M$14,L$3)</f>
      </c>
      <c r="M64" s="44">
        <f>COUNTA('Workspaces'!$G$13:$G$14)-SUM(H64:L64)</f>
      </c>
      <c r="N64" s="43">
        <f>O64/P64</f>
      </c>
      <c r="O64" s="44">
        <f>SUM(Q64:U64)</f>
      </c>
      <c r="P64" s="44">
        <f>SUM(Q64:V64)</f>
      </c>
      <c r="Q64" s="44">
        <f>COUNTIF('Workspaces'!$R$13:$R$14,Q$3)</f>
      </c>
      <c r="R64" s="44">
        <f>COUNTIF('Workspaces'!$R$13:$R$14,R$3)</f>
      </c>
      <c r="S64" s="44">
        <f>COUNTIF('Workspaces'!$R$13:$R$14,S$3)</f>
      </c>
      <c r="T64" s="44">
        <f>COUNTIF('Workspaces'!$R$13:$R$14,T$3)</f>
      </c>
      <c r="U64" s="44">
        <f>COUNTIF('Workspaces'!$R$13:$R$14,U$3)</f>
      </c>
      <c r="V64" s="44">
        <f>COUNTA('Workspaces'!$G$13:$G$14)-SUM(Q64:U64)</f>
      </c>
    </row>
    <row r="65" ht="15.75" customHeight="1">
      <c r="A65"/>
      <c r="B65" s="45"/>
      <c r="C65" s="42" t="s">
        <v>80</v>
      </c>
      <c r="D65" s="42" t="s">
        <v>3175</v>
      </c>
      <c r="E65" s="43">
        <f>F65/G65</f>
      </c>
      <c r="F65" s="44">
        <f>SUM(H65:L65)</f>
      </c>
      <c r="G65" s="44">
        <f>SUM(H65:M65)</f>
      </c>
      <c r="H65" s="44">
        <f>COUNTIF('Workspaces'!$M$15:$M$15,H$3)</f>
      </c>
      <c r="I65" s="44">
        <f>COUNTIF('Workspaces'!$M$15:$M$15,I$3)</f>
      </c>
      <c r="J65" s="44">
        <f>COUNTIF('Workspaces'!$M$15:$M$15,J$3)</f>
      </c>
      <c r="K65" s="44">
        <f>COUNTIF('Workspaces'!$M$15:$M$15,K$3)</f>
      </c>
      <c r="L65" s="44">
        <f>COUNTIF('Workspaces'!$M$15:$M$15,L$3)</f>
      </c>
      <c r="M65" s="44">
        <f>COUNTA('Workspaces'!$G$15:$G$15)-SUM(H65:L65)</f>
      </c>
      <c r="N65" s="43">
        <f>O65/P65</f>
      </c>
      <c r="O65" s="44">
        <f>SUM(Q65:U65)</f>
      </c>
      <c r="P65" s="44">
        <f>SUM(Q65:V65)</f>
      </c>
      <c r="Q65" s="44">
        <f>COUNTIF('Workspaces'!$R$15:$R$15,Q$3)</f>
      </c>
      <c r="R65" s="44">
        <f>COUNTIF('Workspaces'!$R$15:$R$15,R$3)</f>
      </c>
      <c r="S65" s="44">
        <f>COUNTIF('Workspaces'!$R$15:$R$15,S$3)</f>
      </c>
      <c r="T65" s="44">
        <f>COUNTIF('Workspaces'!$R$15:$R$15,T$3)</f>
      </c>
      <c r="U65" s="44">
        <f>COUNTIF('Workspaces'!$R$15:$R$15,U$3)</f>
      </c>
      <c r="V65" s="44">
        <f>COUNTA('Workspaces'!$G$15:$G$15)-SUM(Q65:U65)</f>
      </c>
    </row>
    <row r="66" ht="31.5" customHeight="1">
      <c r="A66"/>
      <c r="B66" s="45"/>
      <c r="C66" s="42" t="s">
        <v>3183</v>
      </c>
      <c r="D66" s="42" t="s">
        <v>121</v>
      </c>
      <c r="E66" s="43">
        <f>F66/G66</f>
      </c>
      <c r="F66" s="44">
        <f>SUM(H66:L66)</f>
      </c>
      <c r="G66" s="44">
        <f>SUM(H66:M66)</f>
      </c>
      <c r="H66" s="44">
        <f>COUNTIF('Workspaces'!$M$16:$M$17,H$3)</f>
      </c>
      <c r="I66" s="44">
        <f>COUNTIF('Workspaces'!$M$16:$M$17,I$3)</f>
      </c>
      <c r="J66" s="44">
        <f>COUNTIF('Workspaces'!$M$16:$M$17,J$3)</f>
      </c>
      <c r="K66" s="44">
        <f>COUNTIF('Workspaces'!$M$16:$M$17,K$3)</f>
      </c>
      <c r="L66" s="44">
        <f>COUNTIF('Workspaces'!$M$16:$M$17,L$3)</f>
      </c>
      <c r="M66" s="44">
        <f>COUNTA('Workspaces'!$G$16:$G$17)-SUM(H66:L66)</f>
      </c>
      <c r="N66" s="43">
        <f>O66/P66</f>
      </c>
      <c r="O66" s="44">
        <f>SUM(Q66:U66)</f>
      </c>
      <c r="P66" s="44">
        <f>SUM(Q66:V66)</f>
      </c>
      <c r="Q66" s="44">
        <f>COUNTIF('Workspaces'!$R$16:$R$17,Q$3)</f>
      </c>
      <c r="R66" s="44">
        <f>COUNTIF('Workspaces'!$R$16:$R$17,R$3)</f>
      </c>
      <c r="S66" s="44">
        <f>COUNTIF('Workspaces'!$R$16:$R$17,S$3)</f>
      </c>
      <c r="T66" s="44">
        <f>COUNTIF('Workspaces'!$R$16:$R$17,T$3)</f>
      </c>
      <c r="U66" s="44">
        <f>COUNTIF('Workspaces'!$R$16:$R$17,U$3)</f>
      </c>
      <c r="V66" s="44">
        <f>COUNTA('Workspaces'!$G$16:$G$17)-SUM(Q66:U66)</f>
      </c>
    </row>
    <row r="67" ht="31.5" customHeight="1">
      <c r="A67"/>
      <c r="B67" s="45"/>
      <c r="C67" s="42" t="s">
        <v>3183</v>
      </c>
      <c r="D67" s="42" t="s">
        <v>96</v>
      </c>
      <c r="E67" s="43">
        <f>F67/G67</f>
      </c>
      <c r="F67" s="44">
        <f>SUM(H67:L67)</f>
      </c>
      <c r="G67" s="44">
        <f>SUM(H67:M67)</f>
      </c>
      <c r="H67" s="44">
        <f>COUNTIF('Workspaces'!$M$18:$M$26,H$3)</f>
      </c>
      <c r="I67" s="44">
        <f>COUNTIF('Workspaces'!$M$18:$M$26,I$3)</f>
      </c>
      <c r="J67" s="44">
        <f>COUNTIF('Workspaces'!$M$18:$M$26,J$3)</f>
      </c>
      <c r="K67" s="44">
        <f>COUNTIF('Workspaces'!$M$18:$M$26,K$3)</f>
      </c>
      <c r="L67" s="44">
        <f>COUNTIF('Workspaces'!$M$18:$M$26,L$3)</f>
      </c>
      <c r="M67" s="44">
        <f>COUNTA('Workspaces'!$G$18:$G$26)-SUM(H67:L67)</f>
      </c>
      <c r="N67" s="43">
        <f>O67/P67</f>
      </c>
      <c r="O67" s="44">
        <f>SUM(Q67:U67)</f>
      </c>
      <c r="P67" s="44">
        <f>SUM(Q67:V67)</f>
      </c>
      <c r="Q67" s="44">
        <f>COUNTIF('Workspaces'!$R$18:$R$26,Q$3)</f>
      </c>
      <c r="R67" s="44">
        <f>COUNTIF('Workspaces'!$R$18:$R$26,R$3)</f>
      </c>
      <c r="S67" s="44">
        <f>COUNTIF('Workspaces'!$R$18:$R$26,S$3)</f>
      </c>
      <c r="T67" s="44">
        <f>COUNTIF('Workspaces'!$R$18:$R$26,T$3)</f>
      </c>
      <c r="U67" s="44">
        <f>COUNTIF('Workspaces'!$R$18:$R$26,U$3)</f>
      </c>
      <c r="V67" s="44">
        <f>COUNTA('Workspaces'!$G$18:$G$26)-SUM(Q67:U67)</f>
      </c>
    </row>
    <row r="68" ht="31.5" customHeight="1">
      <c r="A68"/>
      <c r="B68" s="45"/>
      <c r="C68" s="42" t="s">
        <v>3183</v>
      </c>
      <c r="D68" s="42" t="s">
        <v>3229</v>
      </c>
      <c r="E68" s="43">
        <f>F68/G68</f>
      </c>
      <c r="F68" s="44">
        <f>SUM(H68:L68)</f>
      </c>
      <c r="G68" s="44">
        <f>SUM(H68:M68)</f>
      </c>
      <c r="H68" s="44">
        <f>COUNTIF('Workspaces'!$M$27:$M$39,H$3)</f>
      </c>
      <c r="I68" s="44">
        <f>COUNTIF('Workspaces'!$M$27:$M$39,I$3)</f>
      </c>
      <c r="J68" s="44">
        <f>COUNTIF('Workspaces'!$M$27:$M$39,J$3)</f>
      </c>
      <c r="K68" s="44">
        <f>COUNTIF('Workspaces'!$M$27:$M$39,K$3)</f>
      </c>
      <c r="L68" s="44">
        <f>COUNTIF('Workspaces'!$M$27:$M$39,L$3)</f>
      </c>
      <c r="M68" s="44">
        <f>COUNTA('Workspaces'!$G$27:$G$39)-SUM(H68:L68)</f>
      </c>
      <c r="N68" s="43">
        <f>O68/P68</f>
      </c>
      <c r="O68" s="44">
        <f>SUM(Q68:U68)</f>
      </c>
      <c r="P68" s="44">
        <f>SUM(Q68:V68)</f>
      </c>
      <c r="Q68" s="44">
        <f>COUNTIF('Workspaces'!$R$27:$R$39,Q$3)</f>
      </c>
      <c r="R68" s="44">
        <f>COUNTIF('Workspaces'!$R$27:$R$39,R$3)</f>
      </c>
      <c r="S68" s="44">
        <f>COUNTIF('Workspaces'!$R$27:$R$39,S$3)</f>
      </c>
      <c r="T68" s="44">
        <f>COUNTIF('Workspaces'!$R$27:$R$39,T$3)</f>
      </c>
      <c r="U68" s="44">
        <f>COUNTIF('Workspaces'!$R$27:$R$39,U$3)</f>
      </c>
      <c r="V68" s="44">
        <f>COUNTA('Workspaces'!$G$27:$G$39)-SUM(Q68:U68)</f>
      </c>
    </row>
    <row r="69" ht="31.5" customHeight="1">
      <c r="A69"/>
      <c r="B69" s="45"/>
      <c r="C69" s="42" t="s">
        <v>3183</v>
      </c>
      <c r="D69" s="42" t="s">
        <v>98</v>
      </c>
      <c r="E69" s="43">
        <f>F69/G69</f>
      </c>
      <c r="F69" s="44">
        <f>SUM(H69:L69)</f>
      </c>
      <c r="G69" s="44">
        <f>SUM(H69:M69)</f>
      </c>
      <c r="H69" s="44">
        <f>COUNTIF('Workspaces'!$M$40:$M$43,H$3)</f>
      </c>
      <c r="I69" s="44">
        <f>COUNTIF('Workspaces'!$M$40:$M$43,I$3)</f>
      </c>
      <c r="J69" s="44">
        <f>COUNTIF('Workspaces'!$M$40:$M$43,J$3)</f>
      </c>
      <c r="K69" s="44">
        <f>COUNTIF('Workspaces'!$M$40:$M$43,K$3)</f>
      </c>
      <c r="L69" s="44">
        <f>COUNTIF('Workspaces'!$M$40:$M$43,L$3)</f>
      </c>
      <c r="M69" s="44">
        <f>COUNTA('Workspaces'!$G$40:$G$43)-SUM(H69:L69)</f>
      </c>
      <c r="N69" s="43">
        <f>O69/P69</f>
      </c>
      <c r="O69" s="44">
        <f>SUM(Q69:U69)</f>
      </c>
      <c r="P69" s="44">
        <f>SUM(Q69:V69)</f>
      </c>
      <c r="Q69" s="44">
        <f>COUNTIF('Workspaces'!$R$40:$R$43,Q$3)</f>
      </c>
      <c r="R69" s="44">
        <f>COUNTIF('Workspaces'!$R$40:$R$43,R$3)</f>
      </c>
      <c r="S69" s="44">
        <f>COUNTIF('Workspaces'!$R$40:$R$43,S$3)</f>
      </c>
      <c r="T69" s="44">
        <f>COUNTIF('Workspaces'!$R$40:$R$43,T$3)</f>
      </c>
      <c r="U69" s="44">
        <f>COUNTIF('Workspaces'!$R$40:$R$43,U$3)</f>
      </c>
      <c r="V69" s="44">
        <f>COUNTA('Workspaces'!$G$40:$G$43)-SUM(Q69:U69)</f>
      </c>
    </row>
    <row r="70" ht="15.75" customHeight="1">
      <c r="A70"/>
      <c r="B70" s="45"/>
      <c r="C70" s="42" t="s">
        <v>110</v>
      </c>
      <c r="D70" s="42" t="s">
        <v>538</v>
      </c>
      <c r="E70" s="43">
        <f>F70/G70</f>
      </c>
      <c r="F70" s="44">
        <f>SUM(H70:L70)</f>
      </c>
      <c r="G70" s="44">
        <f>SUM(H70:M70)</f>
      </c>
      <c r="H70" s="44">
        <f>COUNTIF('Workspaces'!$M$44:$M$44,H$3)</f>
      </c>
      <c r="I70" s="44">
        <f>COUNTIF('Workspaces'!$M$44:$M$44,I$3)</f>
      </c>
      <c r="J70" s="44">
        <f>COUNTIF('Workspaces'!$M$44:$M$44,J$3)</f>
      </c>
      <c r="K70" s="44">
        <f>COUNTIF('Workspaces'!$M$44:$M$44,K$3)</f>
      </c>
      <c r="L70" s="44">
        <f>COUNTIF('Workspaces'!$M$44:$M$44,L$3)</f>
      </c>
      <c r="M70" s="44">
        <f>COUNTA('Workspaces'!$G$44:$G$44)-SUM(H70:L70)</f>
      </c>
      <c r="N70" s="43">
        <f>O70/P70</f>
      </c>
      <c r="O70" s="44">
        <f>SUM(Q70:U70)</f>
      </c>
      <c r="P70" s="44">
        <f>SUM(Q70:V70)</f>
      </c>
      <c r="Q70" s="44">
        <f>COUNTIF('Workspaces'!$R$44:$R$44,Q$3)</f>
      </c>
      <c r="R70" s="44">
        <f>COUNTIF('Workspaces'!$R$44:$R$44,R$3)</f>
      </c>
      <c r="S70" s="44">
        <f>COUNTIF('Workspaces'!$R$44:$R$44,S$3)</f>
      </c>
      <c r="T70" s="44">
        <f>COUNTIF('Workspaces'!$R$44:$R$44,T$3)</f>
      </c>
      <c r="U70" s="44">
        <f>COUNTIF('Workspaces'!$R$44:$R$44,U$3)</f>
      </c>
      <c r="V70" s="44">
        <f>COUNTA('Workspaces'!$G$44:$G$44)-SUM(Q70:U70)</f>
      </c>
    </row>
    <row r="71" ht="15.75" customHeight="1">
      <c r="A71"/>
      <c r="B71" s="45"/>
      <c r="C71" s="42" t="s">
        <v>110</v>
      </c>
      <c r="D71" s="42" t="s">
        <v>111</v>
      </c>
      <c r="E71" s="43">
        <f>F71/G71</f>
      </c>
      <c r="F71" s="44">
        <f>SUM(H71:L71)</f>
      </c>
      <c r="G71" s="44">
        <f>SUM(H71:M71)</f>
      </c>
      <c r="H71" s="44">
        <f>COUNTIF('Workspaces'!$M$45:$M$45,H$3)</f>
      </c>
      <c r="I71" s="44">
        <f>COUNTIF('Workspaces'!$M$45:$M$45,I$3)</f>
      </c>
      <c r="J71" s="44">
        <f>COUNTIF('Workspaces'!$M$45:$M$45,J$3)</f>
      </c>
      <c r="K71" s="44">
        <f>COUNTIF('Workspaces'!$M$45:$M$45,K$3)</f>
      </c>
      <c r="L71" s="44">
        <f>COUNTIF('Workspaces'!$M$45:$M$45,L$3)</f>
      </c>
      <c r="M71" s="44">
        <f>COUNTA('Workspaces'!$G$45:$G$45)-SUM(H71:L71)</f>
      </c>
      <c r="N71" s="43">
        <f>O71/P71</f>
      </c>
      <c r="O71" s="44">
        <f>SUM(Q71:U71)</f>
      </c>
      <c r="P71" s="44">
        <f>SUM(Q71:V71)</f>
      </c>
      <c r="Q71" s="44">
        <f>COUNTIF('Workspaces'!$R$45:$R$45,Q$3)</f>
      </c>
      <c r="R71" s="44">
        <f>COUNTIF('Workspaces'!$R$45:$R$45,R$3)</f>
      </c>
      <c r="S71" s="44">
        <f>COUNTIF('Workspaces'!$R$45:$R$45,S$3)</f>
      </c>
      <c r="T71" s="44">
        <f>COUNTIF('Workspaces'!$R$45:$R$45,T$3)</f>
      </c>
      <c r="U71" s="44">
        <f>COUNTIF('Workspaces'!$R$45:$R$45,U$3)</f>
      </c>
      <c r="V71" s="44">
        <f>COUNTA('Workspaces'!$G$45:$G$45)-SUM(Q71:U71)</f>
      </c>
    </row>
    <row r="72" ht="15.75" customHeight="1">
      <c r="A72"/>
      <c r="B72" s="45"/>
      <c r="C72" s="42" t="s">
        <v>89</v>
      </c>
      <c r="D72" s="42" t="s">
        <v>114</v>
      </c>
      <c r="E72" s="43">
        <f>F72/G72</f>
      </c>
      <c r="F72" s="44">
        <f>SUM(H72:L72)</f>
      </c>
      <c r="G72" s="44">
        <f>SUM(H72:M72)</f>
      </c>
      <c r="H72" s="44">
        <f>COUNTIF('Workspaces'!$M$46:$M$47,H$3)</f>
      </c>
      <c r="I72" s="44">
        <f>COUNTIF('Workspaces'!$M$46:$M$47,I$3)</f>
      </c>
      <c r="J72" s="44">
        <f>COUNTIF('Workspaces'!$M$46:$M$47,J$3)</f>
      </c>
      <c r="K72" s="44">
        <f>COUNTIF('Workspaces'!$M$46:$M$47,K$3)</f>
      </c>
      <c r="L72" s="44">
        <f>COUNTIF('Workspaces'!$M$46:$M$47,L$3)</f>
      </c>
      <c r="M72" s="44">
        <f>COUNTA('Workspaces'!$G$46:$G$47)-SUM(H72:L72)</f>
      </c>
      <c r="N72" s="43">
        <f>O72/P72</f>
      </c>
      <c r="O72" s="44">
        <f>SUM(Q72:U72)</f>
      </c>
      <c r="P72" s="44">
        <f>SUM(Q72:V72)</f>
      </c>
      <c r="Q72" s="44">
        <f>COUNTIF('Workspaces'!$R$46:$R$47,Q$3)</f>
      </c>
      <c r="R72" s="44">
        <f>COUNTIF('Workspaces'!$R$46:$R$47,R$3)</f>
      </c>
      <c r="S72" s="44">
        <f>COUNTIF('Workspaces'!$R$46:$R$47,S$3)</f>
      </c>
      <c r="T72" s="44">
        <f>COUNTIF('Workspaces'!$R$46:$R$47,T$3)</f>
      </c>
      <c r="U72" s="44">
        <f>COUNTIF('Workspaces'!$R$46:$R$47,U$3)</f>
      </c>
      <c r="V72" s="44">
        <f>COUNTA('Workspaces'!$G$46:$G$47)-SUM(Q72:U72)</f>
      </c>
    </row>
    <row r="73" ht="15.75" customHeight="1">
      <c r="A73"/>
      <c r="B73" s="12"/>
      <c r="C73" s="46" t="s">
        <v>71</v>
      </c>
      <c r="D73" s="46"/>
      <c r="E73" s="47">
        <f>F73/G73</f>
      </c>
      <c r="F73" s="48">
        <f>SUM(H73:L73)</f>
      </c>
      <c r="G73" s="48">
        <f>SUM(H73:M73)</f>
      </c>
      <c r="H73" s="48">
        <f>SUM(H64:H72)</f>
      </c>
      <c r="I73" s="48">
        <f>SUM(I64:I72)</f>
      </c>
      <c r="J73" s="48">
        <f>SUM(J64:J72)</f>
      </c>
      <c r="K73" s="48">
        <f>SUM(K64:K72)</f>
      </c>
      <c r="L73" s="48">
        <f>SUM(L64:L72)</f>
      </c>
      <c r="M73" s="48">
        <f>SUM(M64:M72)</f>
      </c>
      <c r="N73" s="47">
        <f>O73/P73</f>
      </c>
      <c r="O73" s="48">
        <f>SUM(Q73:U73)</f>
      </c>
      <c r="P73" s="48">
        <f>SUM(Q73:V73)</f>
      </c>
      <c r="Q73" s="48">
        <f>SUM(Q64:Q72)</f>
      </c>
      <c r="R73" s="48">
        <f>SUM(R64:R72)</f>
      </c>
      <c r="S73" s="48">
        <f>SUM(S64:S72)</f>
      </c>
      <c r="T73" s="48">
        <f>SUM(T64:T72)</f>
      </c>
      <c r="U73" s="48">
        <f>SUM(U64:U72)</f>
      </c>
      <c r="V73" s="48">
        <f>SUM(V64:V72)</f>
      </c>
    </row>
    <row r="74" ht="15.75" customHeight="1">
      <c r="A74"/>
      <c r="B74" s="41" t="s">
        <v>144</v>
      </c>
      <c r="C74" s="42" t="s">
        <v>80</v>
      </c>
      <c r="D74" s="42" t="s">
        <v>145</v>
      </c>
      <c r="E74" s="43">
        <f>F74/G74</f>
      </c>
      <c r="F74" s="44">
        <f>SUM(H74:L74)</f>
      </c>
      <c r="G74" s="44">
        <f>SUM(H74:M74)</f>
      </c>
      <c r="H74" s="44">
        <f>COUNTIF('Users'!$M$13:$M$14,H$3)</f>
      </c>
      <c r="I74" s="44">
        <f>COUNTIF('Users'!$M$13:$M$14,I$3)</f>
      </c>
      <c r="J74" s="44">
        <f>COUNTIF('Users'!$M$13:$M$14,J$3)</f>
      </c>
      <c r="K74" s="44">
        <f>COUNTIF('Users'!$M$13:$M$14,K$3)</f>
      </c>
      <c r="L74" s="44">
        <f>COUNTIF('Users'!$M$13:$M$14,L$3)</f>
      </c>
      <c r="M74" s="44">
        <f>COUNTA('Users'!$G$13:$G$14)-SUM(H74:L74)</f>
      </c>
      <c r="N74" s="43">
        <f>O74/P74</f>
      </c>
      <c r="O74" s="44">
        <f>SUM(Q74:U74)</f>
      </c>
      <c r="P74" s="44">
        <f>SUM(Q74:V74)</f>
      </c>
      <c r="Q74" s="44">
        <f>COUNTIF('Users'!$R$13:$R$14,Q$3)</f>
      </c>
      <c r="R74" s="44">
        <f>COUNTIF('Users'!$R$13:$R$14,R$3)</f>
      </c>
      <c r="S74" s="44">
        <f>COUNTIF('Users'!$R$13:$R$14,S$3)</f>
      </c>
      <c r="T74" s="44">
        <f>COUNTIF('Users'!$R$13:$R$14,T$3)</f>
      </c>
      <c r="U74" s="44">
        <f>COUNTIF('Users'!$R$13:$R$14,U$3)</f>
      </c>
      <c r="V74" s="44">
        <f>COUNTA('Users'!$G$13:$G$14)-SUM(Q74:U74)</f>
      </c>
    </row>
    <row r="75" ht="15.75" customHeight="1">
      <c r="A75"/>
      <c r="B75" s="45"/>
      <c r="C75" s="42" t="s">
        <v>80</v>
      </c>
      <c r="D75" s="42" t="s">
        <v>146</v>
      </c>
      <c r="E75" s="43">
        <f>F75/G75</f>
      </c>
      <c r="F75" s="44">
        <f>SUM(H75:L75)</f>
      </c>
      <c r="G75" s="44">
        <f>SUM(H75:M75)</f>
      </c>
      <c r="H75" s="44">
        <f>COUNTIF('Users'!$M$15:$M$15,H$3)</f>
      </c>
      <c r="I75" s="44">
        <f>COUNTIF('Users'!$M$15:$M$15,I$3)</f>
      </c>
      <c r="J75" s="44">
        <f>COUNTIF('Users'!$M$15:$M$15,J$3)</f>
      </c>
      <c r="K75" s="44">
        <f>COUNTIF('Users'!$M$15:$M$15,K$3)</f>
      </c>
      <c r="L75" s="44">
        <f>COUNTIF('Users'!$M$15:$M$15,L$3)</f>
      </c>
      <c r="M75" s="44">
        <f>COUNTA('Users'!$G$15:$G$15)-SUM(H75:L75)</f>
      </c>
      <c r="N75" s="43">
        <f>O75/P75</f>
      </c>
      <c r="O75" s="44">
        <f>SUM(Q75:U75)</f>
      </c>
      <c r="P75" s="44">
        <f>SUM(Q75:V75)</f>
      </c>
      <c r="Q75" s="44">
        <f>COUNTIF('Users'!$R$15:$R$15,Q$3)</f>
      </c>
      <c r="R75" s="44">
        <f>COUNTIF('Users'!$R$15:$R$15,R$3)</f>
      </c>
      <c r="S75" s="44">
        <f>COUNTIF('Users'!$R$15:$R$15,S$3)</f>
      </c>
      <c r="T75" s="44">
        <f>COUNTIF('Users'!$R$15:$R$15,T$3)</f>
      </c>
      <c r="U75" s="44">
        <f>COUNTIF('Users'!$R$15:$R$15,U$3)</f>
      </c>
      <c r="V75" s="44">
        <f>COUNTA('Users'!$G$15:$G$15)-SUM(Q75:U75)</f>
      </c>
    </row>
    <row r="76" ht="15.75" customHeight="1">
      <c r="A76"/>
      <c r="B76" s="45"/>
      <c r="C76" s="42" t="s">
        <v>147</v>
      </c>
      <c r="D76" s="42" t="s">
        <v>148</v>
      </c>
      <c r="E76" s="43">
        <f>F76/G76</f>
      </c>
      <c r="F76" s="44">
        <f>SUM(H76:L76)</f>
      </c>
      <c r="G76" s="44">
        <f>SUM(H76:M76)</f>
      </c>
      <c r="H76" s="44">
        <f>COUNTIF('Users'!$M$16:$M$17,H$3)</f>
      </c>
      <c r="I76" s="44">
        <f>COUNTIF('Users'!$M$16:$M$17,I$3)</f>
      </c>
      <c r="J76" s="44">
        <f>COUNTIF('Users'!$M$16:$M$17,J$3)</f>
      </c>
      <c r="K76" s="44">
        <f>COUNTIF('Users'!$M$16:$M$17,K$3)</f>
      </c>
      <c r="L76" s="44">
        <f>COUNTIF('Users'!$M$16:$M$17,L$3)</f>
      </c>
      <c r="M76" s="44">
        <f>COUNTA('Users'!$G$16:$G$17)-SUM(H76:L76)</f>
      </c>
      <c r="N76" s="43">
        <f>O76/P76</f>
      </c>
      <c r="O76" s="44">
        <f>SUM(Q76:U76)</f>
      </c>
      <c r="P76" s="44">
        <f>SUM(Q76:V76)</f>
      </c>
      <c r="Q76" s="44">
        <f>COUNTIF('Users'!$R$16:$R$17,Q$3)</f>
      </c>
      <c r="R76" s="44">
        <f>COUNTIF('Users'!$R$16:$R$17,R$3)</f>
      </c>
      <c r="S76" s="44">
        <f>COUNTIF('Users'!$R$16:$R$17,S$3)</f>
      </c>
      <c r="T76" s="44">
        <f>COUNTIF('Users'!$R$16:$R$17,T$3)</f>
      </c>
      <c r="U76" s="44">
        <f>COUNTIF('Users'!$R$16:$R$17,U$3)</f>
      </c>
      <c r="V76" s="44">
        <f>COUNTA('Users'!$G$16:$G$17)-SUM(Q76:U76)</f>
      </c>
    </row>
    <row r="77" ht="15.75" customHeight="1">
      <c r="A77"/>
      <c r="B77" s="45"/>
      <c r="C77" s="42" t="s">
        <v>147</v>
      </c>
      <c r="D77" s="42" t="s">
        <v>149</v>
      </c>
      <c r="E77" s="43">
        <f>F77/G77</f>
      </c>
      <c r="F77" s="44">
        <f>SUM(H77:L77)</f>
      </c>
      <c r="G77" s="44">
        <f>SUM(H77:M77)</f>
      </c>
      <c r="H77" s="44">
        <f>COUNTIF('Users'!$M$18:$M$18,H$3)</f>
      </c>
      <c r="I77" s="44">
        <f>COUNTIF('Users'!$M$18:$M$18,I$3)</f>
      </c>
      <c r="J77" s="44">
        <f>COUNTIF('Users'!$M$18:$M$18,J$3)</f>
      </c>
      <c r="K77" s="44">
        <f>COUNTIF('Users'!$M$18:$M$18,K$3)</f>
      </c>
      <c r="L77" s="44">
        <f>COUNTIF('Users'!$M$18:$M$18,L$3)</f>
      </c>
      <c r="M77" s="44">
        <f>COUNTA('Users'!$G$18:$G$18)-SUM(H77:L77)</f>
      </c>
      <c r="N77" s="43">
        <f>O77/P77</f>
      </c>
      <c r="O77" s="44">
        <f>SUM(Q77:U77)</f>
      </c>
      <c r="P77" s="44">
        <f>SUM(Q77:V77)</f>
      </c>
      <c r="Q77" s="44">
        <f>COUNTIF('Users'!$R$18:$R$18,Q$3)</f>
      </c>
      <c r="R77" s="44">
        <f>COUNTIF('Users'!$R$18:$R$18,R$3)</f>
      </c>
      <c r="S77" s="44">
        <f>COUNTIF('Users'!$R$18:$R$18,S$3)</f>
      </c>
      <c r="T77" s="44">
        <f>COUNTIF('Users'!$R$18:$R$18,T$3)</f>
      </c>
      <c r="U77" s="44">
        <f>COUNTIF('Users'!$R$18:$R$18,U$3)</f>
      </c>
      <c r="V77" s="44">
        <f>COUNTA('Users'!$G$18:$G$18)-SUM(Q77:U77)</f>
      </c>
    </row>
    <row r="78" ht="31.5" customHeight="1">
      <c r="A78"/>
      <c r="B78" s="45"/>
      <c r="C78" s="42" t="s">
        <v>150</v>
      </c>
      <c r="D78" s="42" t="s">
        <v>151</v>
      </c>
      <c r="E78" s="43">
        <f>F78/G78</f>
      </c>
      <c r="F78" s="44">
        <f>SUM(H78:L78)</f>
      </c>
      <c r="G78" s="44">
        <f>SUM(H78:M78)</f>
      </c>
      <c r="H78" s="44">
        <f>COUNTIF('Users'!$M$19:$M$20,H$3)</f>
      </c>
      <c r="I78" s="44">
        <f>COUNTIF('Users'!$M$19:$M$20,I$3)</f>
      </c>
      <c r="J78" s="44">
        <f>COUNTIF('Users'!$M$19:$M$20,J$3)</f>
      </c>
      <c r="K78" s="44">
        <f>COUNTIF('Users'!$M$19:$M$20,K$3)</f>
      </c>
      <c r="L78" s="44">
        <f>COUNTIF('Users'!$M$19:$M$20,L$3)</f>
      </c>
      <c r="M78" s="44">
        <f>COUNTA('Users'!$G$19:$G$20)-SUM(H78:L78)</f>
      </c>
      <c r="N78" s="43">
        <f>O78/P78</f>
      </c>
      <c r="O78" s="44">
        <f>SUM(Q78:U78)</f>
      </c>
      <c r="P78" s="44">
        <f>SUM(Q78:V78)</f>
      </c>
      <c r="Q78" s="44">
        <f>COUNTIF('Users'!$R$19:$R$20,Q$3)</f>
      </c>
      <c r="R78" s="44">
        <f>COUNTIF('Users'!$R$19:$R$20,R$3)</f>
      </c>
      <c r="S78" s="44">
        <f>COUNTIF('Users'!$R$19:$R$20,S$3)</f>
      </c>
      <c r="T78" s="44">
        <f>COUNTIF('Users'!$R$19:$R$20,T$3)</f>
      </c>
      <c r="U78" s="44">
        <f>COUNTIF('Users'!$R$19:$R$20,U$3)</f>
      </c>
      <c r="V78" s="44">
        <f>COUNTA('Users'!$G$19:$G$20)-SUM(Q78:U78)</f>
      </c>
    </row>
    <row r="79" ht="15.75" customHeight="1">
      <c r="A79"/>
      <c r="B79" s="45"/>
      <c r="C79" s="42" t="s">
        <v>152</v>
      </c>
      <c r="D79" s="42" t="s">
        <v>153</v>
      </c>
      <c r="E79" s="43">
        <f>F79/G79</f>
      </c>
      <c r="F79" s="44">
        <f>SUM(H79:L79)</f>
      </c>
      <c r="G79" s="44">
        <f>SUM(H79:M79)</f>
      </c>
      <c r="H79" s="44">
        <f>COUNTIF('Users'!$M$21:$M$22,H$3)</f>
      </c>
      <c r="I79" s="44">
        <f>COUNTIF('Users'!$M$21:$M$22,I$3)</f>
      </c>
      <c r="J79" s="44">
        <f>COUNTIF('Users'!$M$21:$M$22,J$3)</f>
      </c>
      <c r="K79" s="44">
        <f>COUNTIF('Users'!$M$21:$M$22,K$3)</f>
      </c>
      <c r="L79" s="44">
        <f>COUNTIF('Users'!$M$21:$M$22,L$3)</f>
      </c>
      <c r="M79" s="44">
        <f>COUNTA('Users'!$G$21:$G$22)-SUM(H79:L79)</f>
      </c>
      <c r="N79" s="43">
        <f>O79/P79</f>
      </c>
      <c r="O79" s="44">
        <f>SUM(Q79:U79)</f>
      </c>
      <c r="P79" s="44">
        <f>SUM(Q79:V79)</f>
      </c>
      <c r="Q79" s="44">
        <f>COUNTIF('Users'!$R$21:$R$22,Q$3)</f>
      </c>
      <c r="R79" s="44">
        <f>COUNTIF('Users'!$R$21:$R$22,R$3)</f>
      </c>
      <c r="S79" s="44">
        <f>COUNTIF('Users'!$R$21:$R$22,S$3)</f>
      </c>
      <c r="T79" s="44">
        <f>COUNTIF('Users'!$R$21:$R$22,T$3)</f>
      </c>
      <c r="U79" s="44">
        <f>COUNTIF('Users'!$R$21:$R$22,U$3)</f>
      </c>
      <c r="V79" s="44">
        <f>COUNTA('Users'!$G$21:$G$22)-SUM(Q79:U79)</f>
      </c>
    </row>
    <row r="80" ht="15.75" customHeight="1">
      <c r="A80"/>
      <c r="B80" s="45"/>
      <c r="C80" s="42" t="s">
        <v>152</v>
      </c>
      <c r="D80" s="42" t="s">
        <v>154</v>
      </c>
      <c r="E80" s="43">
        <f>F80/G80</f>
      </c>
      <c r="F80" s="44">
        <f>SUM(H80:L80)</f>
      </c>
      <c r="G80" s="44">
        <f>SUM(H80:M80)</f>
      </c>
      <c r="H80" s="44">
        <f>COUNTIF('Users'!$M$23:$M$36,H$3)</f>
      </c>
      <c r="I80" s="44">
        <f>COUNTIF('Users'!$M$23:$M$36,I$3)</f>
      </c>
      <c r="J80" s="44">
        <f>COUNTIF('Users'!$M$23:$M$36,J$3)</f>
      </c>
      <c r="K80" s="44">
        <f>COUNTIF('Users'!$M$23:$M$36,K$3)</f>
      </c>
      <c r="L80" s="44">
        <f>COUNTIF('Users'!$M$23:$M$36,L$3)</f>
      </c>
      <c r="M80" s="44">
        <f>COUNTA('Users'!$G$23:$G$36)-SUM(H80:L80)</f>
      </c>
      <c r="N80" s="43">
        <f>O80/P80</f>
      </c>
      <c r="O80" s="44">
        <f>SUM(Q80:U80)</f>
      </c>
      <c r="P80" s="44">
        <f>SUM(Q80:V80)</f>
      </c>
      <c r="Q80" s="44">
        <f>COUNTIF('Users'!$R$23:$R$36,Q$3)</f>
      </c>
      <c r="R80" s="44">
        <f>COUNTIF('Users'!$R$23:$R$36,R$3)</f>
      </c>
      <c r="S80" s="44">
        <f>COUNTIF('Users'!$R$23:$R$36,S$3)</f>
      </c>
      <c r="T80" s="44">
        <f>COUNTIF('Users'!$R$23:$R$36,T$3)</f>
      </c>
      <c r="U80" s="44">
        <f>COUNTIF('Users'!$R$23:$R$36,U$3)</f>
      </c>
      <c r="V80" s="44">
        <f>COUNTA('Users'!$G$23:$G$36)-SUM(Q80:U80)</f>
      </c>
    </row>
    <row r="81" ht="15.75" customHeight="1">
      <c r="A81"/>
      <c r="B81" s="45"/>
      <c r="C81" s="42" t="s">
        <v>152</v>
      </c>
      <c r="D81" s="42" t="s">
        <v>155</v>
      </c>
      <c r="E81" s="43">
        <f>F81/G81</f>
      </c>
      <c r="F81" s="44">
        <f>SUM(H81:L81)</f>
      </c>
      <c r="G81" s="44">
        <f>SUM(H81:M81)</f>
      </c>
      <c r="H81" s="44">
        <f>COUNTIF('Users'!$M$37:$M$40,H$3)</f>
      </c>
      <c r="I81" s="44">
        <f>COUNTIF('Users'!$M$37:$M$40,I$3)</f>
      </c>
      <c r="J81" s="44">
        <f>COUNTIF('Users'!$M$37:$M$40,J$3)</f>
      </c>
      <c r="K81" s="44">
        <f>COUNTIF('Users'!$M$37:$M$40,K$3)</f>
      </c>
      <c r="L81" s="44">
        <f>COUNTIF('Users'!$M$37:$M$40,L$3)</f>
      </c>
      <c r="M81" s="44">
        <f>COUNTA('Users'!$G$37:$G$40)-SUM(H81:L81)</f>
      </c>
      <c r="N81" s="43">
        <f>O81/P81</f>
      </c>
      <c r="O81" s="44">
        <f>SUM(Q81:U81)</f>
      </c>
      <c r="P81" s="44">
        <f>SUM(Q81:V81)</f>
      </c>
      <c r="Q81" s="44">
        <f>COUNTIF('Users'!$R$37:$R$40,Q$3)</f>
      </c>
      <c r="R81" s="44">
        <f>COUNTIF('Users'!$R$37:$R$40,R$3)</f>
      </c>
      <c r="S81" s="44">
        <f>COUNTIF('Users'!$R$37:$R$40,S$3)</f>
      </c>
      <c r="T81" s="44">
        <f>COUNTIF('Users'!$R$37:$R$40,T$3)</f>
      </c>
      <c r="U81" s="44">
        <f>COUNTIF('Users'!$R$37:$R$40,U$3)</f>
      </c>
      <c r="V81" s="44">
        <f>COUNTA('Users'!$G$37:$G$40)-SUM(Q81:U81)</f>
      </c>
    </row>
    <row r="82" ht="15.75" customHeight="1">
      <c r="A82"/>
      <c r="B82" s="45"/>
      <c r="C82" s="42" t="s">
        <v>156</v>
      </c>
      <c r="D82" s="42" t="s">
        <v>156</v>
      </c>
      <c r="E82" s="43">
        <f>F82/G82</f>
      </c>
      <c r="F82" s="44">
        <f>SUM(H82:L82)</f>
      </c>
      <c r="G82" s="44">
        <f>SUM(H82:M82)</f>
      </c>
      <c r="H82" s="44">
        <f>COUNTIF('Users'!$M$41:$M$49,H$3)</f>
      </c>
      <c r="I82" s="44">
        <f>COUNTIF('Users'!$M$41:$M$49,I$3)</f>
      </c>
      <c r="J82" s="44">
        <f>COUNTIF('Users'!$M$41:$M$49,J$3)</f>
      </c>
      <c r="K82" s="44">
        <f>COUNTIF('Users'!$M$41:$M$49,K$3)</f>
      </c>
      <c r="L82" s="44">
        <f>COUNTIF('Users'!$M$41:$M$49,L$3)</f>
      </c>
      <c r="M82" s="44">
        <f>COUNTA('Users'!$G$41:$G$49)-SUM(H82:L82)</f>
      </c>
      <c r="N82" s="43">
        <f>O82/P82</f>
      </c>
      <c r="O82" s="44">
        <f>SUM(Q82:U82)</f>
      </c>
      <c r="P82" s="44">
        <f>SUM(Q82:V82)</f>
      </c>
      <c r="Q82" s="44">
        <f>COUNTIF('Users'!$R$41:$R$49,Q$3)</f>
      </c>
      <c r="R82" s="44">
        <f>COUNTIF('Users'!$R$41:$R$49,R$3)</f>
      </c>
      <c r="S82" s="44">
        <f>COUNTIF('Users'!$R$41:$R$49,S$3)</f>
      </c>
      <c r="T82" s="44">
        <f>COUNTIF('Users'!$R$41:$R$49,T$3)</f>
      </c>
      <c r="U82" s="44">
        <f>COUNTIF('Users'!$R$41:$R$49,U$3)</f>
      </c>
      <c r="V82" s="44">
        <f>COUNTA('Users'!$G$41:$G$49)-SUM(Q82:U82)</f>
      </c>
    </row>
    <row r="83" ht="15.75" customHeight="1">
      <c r="A83"/>
      <c r="B83" s="45"/>
      <c r="C83" s="42" t="s">
        <v>157</v>
      </c>
      <c r="D83" s="42" t="s">
        <v>158</v>
      </c>
      <c r="E83" s="43">
        <f>F83/G83</f>
      </c>
      <c r="F83" s="44">
        <f>SUM(H83:L83)</f>
      </c>
      <c r="G83" s="44">
        <f>SUM(H83:M83)</f>
      </c>
      <c r="H83" s="44">
        <f>COUNTIF('Users'!$M$50:$M$55,H$3)</f>
      </c>
      <c r="I83" s="44">
        <f>COUNTIF('Users'!$M$50:$M$55,I$3)</f>
      </c>
      <c r="J83" s="44">
        <f>COUNTIF('Users'!$M$50:$M$55,J$3)</f>
      </c>
      <c r="K83" s="44">
        <f>COUNTIF('Users'!$M$50:$M$55,K$3)</f>
      </c>
      <c r="L83" s="44">
        <f>COUNTIF('Users'!$M$50:$M$55,L$3)</f>
      </c>
      <c r="M83" s="44">
        <f>COUNTA('Users'!$G$50:$G$55)-SUM(H83:L83)</f>
      </c>
      <c r="N83" s="43">
        <f>O83/P83</f>
      </c>
      <c r="O83" s="44">
        <f>SUM(Q83:U83)</f>
      </c>
      <c r="P83" s="44">
        <f>SUM(Q83:V83)</f>
      </c>
      <c r="Q83" s="44">
        <f>COUNTIF('Users'!$R$50:$R$55,Q$3)</f>
      </c>
      <c r="R83" s="44">
        <f>COUNTIF('Users'!$R$50:$R$55,R$3)</f>
      </c>
      <c r="S83" s="44">
        <f>COUNTIF('Users'!$R$50:$R$55,S$3)</f>
      </c>
      <c r="T83" s="44">
        <f>COUNTIF('Users'!$R$50:$R$55,T$3)</f>
      </c>
      <c r="U83" s="44">
        <f>COUNTIF('Users'!$R$50:$R$55,U$3)</f>
      </c>
      <c r="V83" s="44">
        <f>COUNTA('Users'!$G$50:$G$55)-SUM(Q83:U83)</f>
      </c>
    </row>
    <row r="84" ht="15.75" customHeight="1">
      <c r="A84"/>
      <c r="B84" s="45"/>
      <c r="C84" s="42" t="s">
        <v>157</v>
      </c>
      <c r="D84" s="42" t="s">
        <v>159</v>
      </c>
      <c r="E84" s="43">
        <f>F84/G84</f>
      </c>
      <c r="F84" s="44">
        <f>SUM(H84:L84)</f>
      </c>
      <c r="G84" s="44">
        <f>SUM(H84:M84)</f>
      </c>
      <c r="H84" s="44">
        <f>COUNTIF('Users'!$M$56:$M$59,H$3)</f>
      </c>
      <c r="I84" s="44">
        <f>COUNTIF('Users'!$M$56:$M$59,I$3)</f>
      </c>
      <c r="J84" s="44">
        <f>COUNTIF('Users'!$M$56:$M$59,J$3)</f>
      </c>
      <c r="K84" s="44">
        <f>COUNTIF('Users'!$M$56:$M$59,K$3)</f>
      </c>
      <c r="L84" s="44">
        <f>COUNTIF('Users'!$M$56:$M$59,L$3)</f>
      </c>
      <c r="M84" s="44">
        <f>COUNTA('Users'!$G$56:$G$59)-SUM(H84:L84)</f>
      </c>
      <c r="N84" s="43">
        <f>O84/P84</f>
      </c>
      <c r="O84" s="44">
        <f>SUM(Q84:U84)</f>
      </c>
      <c r="P84" s="44">
        <f>SUM(Q84:V84)</f>
      </c>
      <c r="Q84" s="44">
        <f>COUNTIF('Users'!$R$56:$R$59,Q$3)</f>
      </c>
      <c r="R84" s="44">
        <f>COUNTIF('Users'!$R$56:$R$59,R$3)</f>
      </c>
      <c r="S84" s="44">
        <f>COUNTIF('Users'!$R$56:$R$59,S$3)</f>
      </c>
      <c r="T84" s="44">
        <f>COUNTIF('Users'!$R$56:$R$59,T$3)</f>
      </c>
      <c r="U84" s="44">
        <f>COUNTIF('Users'!$R$56:$R$59,U$3)</f>
      </c>
      <c r="V84" s="44">
        <f>COUNTA('Users'!$G$56:$G$59)-SUM(Q84:U84)</f>
      </c>
    </row>
    <row r="85" ht="15.75" customHeight="1">
      <c r="A85"/>
      <c r="B85" s="45"/>
      <c r="C85" s="42" t="s">
        <v>157</v>
      </c>
      <c r="D85" s="42" t="s">
        <v>160</v>
      </c>
      <c r="E85" s="43">
        <f>F85/G85</f>
      </c>
      <c r="F85" s="44">
        <f>SUM(H85:L85)</f>
      </c>
      <c r="G85" s="44">
        <f>SUM(H85:M85)</f>
      </c>
      <c r="H85" s="44">
        <f>COUNTIF('Users'!$M$60:$M$61,H$3)</f>
      </c>
      <c r="I85" s="44">
        <f>COUNTIF('Users'!$M$60:$M$61,I$3)</f>
      </c>
      <c r="J85" s="44">
        <f>COUNTIF('Users'!$M$60:$M$61,J$3)</f>
      </c>
      <c r="K85" s="44">
        <f>COUNTIF('Users'!$M$60:$M$61,K$3)</f>
      </c>
      <c r="L85" s="44">
        <f>COUNTIF('Users'!$M$60:$M$61,L$3)</f>
      </c>
      <c r="M85" s="44">
        <f>COUNTA('Users'!$G$60:$G$61)-SUM(H85:L85)</f>
      </c>
      <c r="N85" s="43">
        <f>O85/P85</f>
      </c>
      <c r="O85" s="44">
        <f>SUM(Q85:U85)</f>
      </c>
      <c r="P85" s="44">
        <f>SUM(Q85:V85)</f>
      </c>
      <c r="Q85" s="44">
        <f>COUNTIF('Users'!$R$60:$R$61,Q$3)</f>
      </c>
      <c r="R85" s="44">
        <f>COUNTIF('Users'!$R$60:$R$61,R$3)</f>
      </c>
      <c r="S85" s="44">
        <f>COUNTIF('Users'!$R$60:$R$61,S$3)</f>
      </c>
      <c r="T85" s="44">
        <f>COUNTIF('Users'!$R$60:$R$61,T$3)</f>
      </c>
      <c r="U85" s="44">
        <f>COUNTIF('Users'!$R$60:$R$61,U$3)</f>
      </c>
      <c r="V85" s="44">
        <f>COUNTA('Users'!$G$60:$G$61)-SUM(Q85:U85)</f>
      </c>
    </row>
    <row r="86" ht="15.75" customHeight="1">
      <c r="A86"/>
      <c r="B86" s="45"/>
      <c r="C86" s="42" t="s">
        <v>161</v>
      </c>
      <c r="D86" s="42" t="s">
        <v>162</v>
      </c>
      <c r="E86" s="43">
        <f>F86/G86</f>
      </c>
      <c r="F86" s="44">
        <f>SUM(H86:L86)</f>
      </c>
      <c r="G86" s="44">
        <f>SUM(H86:M86)</f>
      </c>
      <c r="H86" s="44">
        <f>COUNTIF('Users'!$M$62:$M$63,H$3)</f>
      </c>
      <c r="I86" s="44">
        <f>COUNTIF('Users'!$M$62:$M$63,I$3)</f>
      </c>
      <c r="J86" s="44">
        <f>COUNTIF('Users'!$M$62:$M$63,J$3)</f>
      </c>
      <c r="K86" s="44">
        <f>COUNTIF('Users'!$M$62:$M$63,K$3)</f>
      </c>
      <c r="L86" s="44">
        <f>COUNTIF('Users'!$M$62:$M$63,L$3)</f>
      </c>
      <c r="M86" s="44">
        <f>COUNTA('Users'!$G$62:$G$63)-SUM(H86:L86)</f>
      </c>
      <c r="N86" s="43">
        <f>O86/P86</f>
      </c>
      <c r="O86" s="44">
        <f>SUM(Q86:U86)</f>
      </c>
      <c r="P86" s="44">
        <f>SUM(Q86:V86)</f>
      </c>
      <c r="Q86" s="44">
        <f>COUNTIF('Users'!$R$62:$R$63,Q$3)</f>
      </c>
      <c r="R86" s="44">
        <f>COUNTIF('Users'!$R$62:$R$63,R$3)</f>
      </c>
      <c r="S86" s="44">
        <f>COUNTIF('Users'!$R$62:$R$63,S$3)</f>
      </c>
      <c r="T86" s="44">
        <f>COUNTIF('Users'!$R$62:$R$63,T$3)</f>
      </c>
      <c r="U86" s="44">
        <f>COUNTIF('Users'!$R$62:$R$63,U$3)</f>
      </c>
      <c r="V86" s="44">
        <f>COUNTA('Users'!$G$62:$G$63)-SUM(Q86:U86)</f>
      </c>
    </row>
    <row r="87" ht="15.75" customHeight="1">
      <c r="A87"/>
      <c r="B87" s="45"/>
      <c r="C87" s="42" t="s">
        <v>110</v>
      </c>
      <c r="D87" s="42" t="s">
        <v>111</v>
      </c>
      <c r="E87" s="43">
        <f>F87/G87</f>
      </c>
      <c r="F87" s="44">
        <f>SUM(H87:L87)</f>
      </c>
      <c r="G87" s="44">
        <f>SUM(H87:M87)</f>
      </c>
      <c r="H87" s="44">
        <f>COUNTIF('Users'!$M$64:$M$66,H$3)</f>
      </c>
      <c r="I87" s="44">
        <f>COUNTIF('Users'!$M$64:$M$66,I$3)</f>
      </c>
      <c r="J87" s="44">
        <f>COUNTIF('Users'!$M$64:$M$66,J$3)</f>
      </c>
      <c r="K87" s="44">
        <f>COUNTIF('Users'!$M$64:$M$66,K$3)</f>
      </c>
      <c r="L87" s="44">
        <f>COUNTIF('Users'!$M$64:$M$66,L$3)</f>
      </c>
      <c r="M87" s="44">
        <f>COUNTA('Users'!$G$64:$G$66)-SUM(H87:L87)</f>
      </c>
      <c r="N87" s="43">
        <f>O87/P87</f>
      </c>
      <c r="O87" s="44">
        <f>SUM(Q87:U87)</f>
      </c>
      <c r="P87" s="44">
        <f>SUM(Q87:V87)</f>
      </c>
      <c r="Q87" s="44">
        <f>COUNTIF('Users'!$R$64:$R$66,Q$3)</f>
      </c>
      <c r="R87" s="44">
        <f>COUNTIF('Users'!$R$64:$R$66,R$3)</f>
      </c>
      <c r="S87" s="44">
        <f>COUNTIF('Users'!$R$64:$R$66,S$3)</f>
      </c>
      <c r="T87" s="44">
        <f>COUNTIF('Users'!$R$64:$R$66,T$3)</f>
      </c>
      <c r="U87" s="44">
        <f>COUNTIF('Users'!$R$64:$R$66,U$3)</f>
      </c>
      <c r="V87" s="44">
        <f>COUNTA('Users'!$G$64:$G$66)-SUM(Q87:U87)</f>
      </c>
    </row>
    <row r="88" ht="15.75" customHeight="1">
      <c r="A88"/>
      <c r="B88" s="45"/>
      <c r="C88" s="42" t="s">
        <v>110</v>
      </c>
      <c r="D88" s="42" t="s">
        <v>112</v>
      </c>
      <c r="E88" s="43">
        <f>F88/G88</f>
      </c>
      <c r="F88" s="44">
        <f>SUM(H88:L88)</f>
      </c>
      <c r="G88" s="44">
        <f>SUM(H88:M88)</f>
      </c>
      <c r="H88" s="44">
        <f>COUNTIF('Users'!$M$67:$M$67,H$3)</f>
      </c>
      <c r="I88" s="44">
        <f>COUNTIF('Users'!$M$67:$M$67,I$3)</f>
      </c>
      <c r="J88" s="44">
        <f>COUNTIF('Users'!$M$67:$M$67,J$3)</f>
      </c>
      <c r="K88" s="44">
        <f>COUNTIF('Users'!$M$67:$M$67,K$3)</f>
      </c>
      <c r="L88" s="44">
        <f>COUNTIF('Users'!$M$67:$M$67,L$3)</f>
      </c>
      <c r="M88" s="44">
        <f>COUNTA('Users'!$G$67:$G$67)-SUM(H88:L88)</f>
      </c>
      <c r="N88" s="43">
        <f>O88/P88</f>
      </c>
      <c r="O88" s="44">
        <f>SUM(Q88:U88)</f>
      </c>
      <c r="P88" s="44">
        <f>SUM(Q88:V88)</f>
      </c>
      <c r="Q88" s="44">
        <f>COUNTIF('Users'!$R$67:$R$67,Q$3)</f>
      </c>
      <c r="R88" s="44">
        <f>COUNTIF('Users'!$R$67:$R$67,R$3)</f>
      </c>
      <c r="S88" s="44">
        <f>COUNTIF('Users'!$R$67:$R$67,S$3)</f>
      </c>
      <c r="T88" s="44">
        <f>COUNTIF('Users'!$R$67:$R$67,T$3)</f>
      </c>
      <c r="U88" s="44">
        <f>COUNTIF('Users'!$R$67:$R$67,U$3)</f>
      </c>
      <c r="V88" s="44">
        <f>COUNTA('Users'!$G$67:$G$67)-SUM(Q88:U88)</f>
      </c>
    </row>
    <row r="89" ht="15.75" customHeight="1">
      <c r="A89"/>
      <c r="B89" s="45"/>
      <c r="C89" s="42" t="s">
        <v>110</v>
      </c>
      <c r="D89" s="42" t="s">
        <v>113</v>
      </c>
      <c r="E89" s="43">
        <f>F89/G89</f>
      </c>
      <c r="F89" s="44">
        <f>SUM(H89:L89)</f>
      </c>
      <c r="G89" s="44">
        <f>SUM(H89:M89)</f>
      </c>
      <c r="H89" s="44">
        <f>COUNTIF('Users'!$M$68:$M$68,H$3)</f>
      </c>
      <c r="I89" s="44">
        <f>COUNTIF('Users'!$M$68:$M$68,I$3)</f>
      </c>
      <c r="J89" s="44">
        <f>COUNTIF('Users'!$M$68:$M$68,J$3)</f>
      </c>
      <c r="K89" s="44">
        <f>COUNTIF('Users'!$M$68:$M$68,K$3)</f>
      </c>
      <c r="L89" s="44">
        <f>COUNTIF('Users'!$M$68:$M$68,L$3)</f>
      </c>
      <c r="M89" s="44">
        <f>COUNTA('Users'!$G$68:$G$68)-SUM(H89:L89)</f>
      </c>
      <c r="N89" s="43">
        <f>O89/P89</f>
      </c>
      <c r="O89" s="44">
        <f>SUM(Q89:U89)</f>
      </c>
      <c r="P89" s="44">
        <f>SUM(Q89:V89)</f>
      </c>
      <c r="Q89" s="44">
        <f>COUNTIF('Users'!$R$68:$R$68,Q$3)</f>
      </c>
      <c r="R89" s="44">
        <f>COUNTIF('Users'!$R$68:$R$68,R$3)</f>
      </c>
      <c r="S89" s="44">
        <f>COUNTIF('Users'!$R$68:$R$68,S$3)</f>
      </c>
      <c r="T89" s="44">
        <f>COUNTIF('Users'!$R$68:$R$68,T$3)</f>
      </c>
      <c r="U89" s="44">
        <f>COUNTIF('Users'!$R$68:$R$68,U$3)</f>
      </c>
      <c r="V89" s="44">
        <f>COUNTA('Users'!$G$68:$G$68)-SUM(Q89:U89)</f>
      </c>
    </row>
    <row r="90" ht="15.75" customHeight="1">
      <c r="A90"/>
      <c r="B90" s="45"/>
      <c r="C90" s="42" t="s">
        <v>89</v>
      </c>
      <c r="D90" s="42" t="s">
        <v>114</v>
      </c>
      <c r="E90" s="43">
        <f>F90/G90</f>
      </c>
      <c r="F90" s="44">
        <f>SUM(H90:L90)</f>
      </c>
      <c r="G90" s="44">
        <f>SUM(H90:M90)</f>
      </c>
      <c r="H90" s="44">
        <f>COUNTIF('Users'!$M$69:$M$71,H$3)</f>
      </c>
      <c r="I90" s="44">
        <f>COUNTIF('Users'!$M$69:$M$71,I$3)</f>
      </c>
      <c r="J90" s="44">
        <f>COUNTIF('Users'!$M$69:$M$71,J$3)</f>
      </c>
      <c r="K90" s="44">
        <f>COUNTIF('Users'!$M$69:$M$71,K$3)</f>
      </c>
      <c r="L90" s="44">
        <f>COUNTIF('Users'!$M$69:$M$71,L$3)</f>
      </c>
      <c r="M90" s="44">
        <f>COUNTA('Users'!$G$69:$G$71)-SUM(H90:L90)</f>
      </c>
      <c r="N90" s="43">
        <f>O90/P90</f>
      </c>
      <c r="O90" s="44">
        <f>SUM(Q90:U90)</f>
      </c>
      <c r="P90" s="44">
        <f>SUM(Q90:V90)</f>
      </c>
      <c r="Q90" s="44">
        <f>COUNTIF('Users'!$R$69:$R$71,Q$3)</f>
      </c>
      <c r="R90" s="44">
        <f>COUNTIF('Users'!$R$69:$R$71,R$3)</f>
      </c>
      <c r="S90" s="44">
        <f>COUNTIF('Users'!$R$69:$R$71,S$3)</f>
      </c>
      <c r="T90" s="44">
        <f>COUNTIF('Users'!$R$69:$R$71,T$3)</f>
      </c>
      <c r="U90" s="44">
        <f>COUNTIF('Users'!$R$69:$R$71,U$3)</f>
      </c>
      <c r="V90" s="44">
        <f>COUNTA('Users'!$G$69:$G$71)-SUM(Q90:U90)</f>
      </c>
    </row>
    <row r="91" ht="15.75" customHeight="1">
      <c r="A91"/>
      <c r="B91" s="45"/>
      <c r="C91" s="42" t="s">
        <v>89</v>
      </c>
      <c r="D91" s="42" t="s">
        <v>163</v>
      </c>
      <c r="E91" s="43">
        <f>F91/G91</f>
      </c>
      <c r="F91" s="44">
        <f>SUM(H91:L91)</f>
      </c>
      <c r="G91" s="44">
        <f>SUM(H91:M91)</f>
      </c>
      <c r="H91" s="44">
        <f>COUNTIF('Users'!$M$72:$M$72,H$3)</f>
      </c>
      <c r="I91" s="44">
        <f>COUNTIF('Users'!$M$72:$M$72,I$3)</f>
      </c>
      <c r="J91" s="44">
        <f>COUNTIF('Users'!$M$72:$M$72,J$3)</f>
      </c>
      <c r="K91" s="44">
        <f>COUNTIF('Users'!$M$72:$M$72,K$3)</f>
      </c>
      <c r="L91" s="44">
        <f>COUNTIF('Users'!$M$72:$M$72,L$3)</f>
      </c>
      <c r="M91" s="44">
        <f>COUNTA('Users'!$G$72:$G$72)-SUM(H91:L91)</f>
      </c>
      <c r="N91" s="43">
        <f>O91/P91</f>
      </c>
      <c r="O91" s="44">
        <f>SUM(Q91:U91)</f>
      </c>
      <c r="P91" s="44">
        <f>SUM(Q91:V91)</f>
      </c>
      <c r="Q91" s="44">
        <f>COUNTIF('Users'!$R$72:$R$72,Q$3)</f>
      </c>
      <c r="R91" s="44">
        <f>COUNTIF('Users'!$R$72:$R$72,R$3)</f>
      </c>
      <c r="S91" s="44">
        <f>COUNTIF('Users'!$R$72:$R$72,S$3)</f>
      </c>
      <c r="T91" s="44">
        <f>COUNTIF('Users'!$R$72:$R$72,T$3)</f>
      </c>
      <c r="U91" s="44">
        <f>COUNTIF('Users'!$R$72:$R$72,U$3)</f>
      </c>
      <c r="V91" s="44">
        <f>COUNTA('Users'!$G$72:$G$72)-SUM(Q91:U91)</f>
      </c>
    </row>
    <row r="92" ht="15.75" customHeight="1">
      <c r="A92"/>
      <c r="B92" s="45"/>
      <c r="C92" s="42" t="s">
        <v>89</v>
      </c>
      <c r="D92" s="42" t="s">
        <v>115</v>
      </c>
      <c r="E92" s="43">
        <f>F92/G92</f>
      </c>
      <c r="F92" s="44">
        <f>SUM(H92:L92)</f>
      </c>
      <c r="G92" s="44">
        <f>SUM(H92:M92)</f>
      </c>
      <c r="H92" s="44">
        <f>COUNTIF('Users'!$M$73:$M$73,H$3)</f>
      </c>
      <c r="I92" s="44">
        <f>COUNTIF('Users'!$M$73:$M$73,I$3)</f>
      </c>
      <c r="J92" s="44">
        <f>COUNTIF('Users'!$M$73:$M$73,J$3)</f>
      </c>
      <c r="K92" s="44">
        <f>COUNTIF('Users'!$M$73:$M$73,K$3)</f>
      </c>
      <c r="L92" s="44">
        <f>COUNTIF('Users'!$M$73:$M$73,L$3)</f>
      </c>
      <c r="M92" s="44">
        <f>COUNTA('Users'!$G$73:$G$73)-SUM(H92:L92)</f>
      </c>
      <c r="N92" s="43">
        <f>O92/P92</f>
      </c>
      <c r="O92" s="44">
        <f>SUM(Q92:U92)</f>
      </c>
      <c r="P92" s="44">
        <f>SUM(Q92:V92)</f>
      </c>
      <c r="Q92" s="44">
        <f>COUNTIF('Users'!$R$73:$R$73,Q$3)</f>
      </c>
      <c r="R92" s="44">
        <f>COUNTIF('Users'!$R$73:$R$73,R$3)</f>
      </c>
      <c r="S92" s="44">
        <f>COUNTIF('Users'!$R$73:$R$73,S$3)</f>
      </c>
      <c r="T92" s="44">
        <f>COUNTIF('Users'!$R$73:$R$73,T$3)</f>
      </c>
      <c r="U92" s="44">
        <f>COUNTIF('Users'!$R$73:$R$73,U$3)</f>
      </c>
      <c r="V92" s="44">
        <f>COUNTA('Users'!$G$73:$G$73)-SUM(Q92:U92)</f>
      </c>
    </row>
    <row r="93" ht="15.75" customHeight="1">
      <c r="A93"/>
      <c r="B93" s="45"/>
      <c r="C93" s="42" t="s">
        <v>89</v>
      </c>
      <c r="D93" s="42" t="s">
        <v>116</v>
      </c>
      <c r="E93" s="43">
        <f>F93/G93</f>
      </c>
      <c r="F93" s="44">
        <f>SUM(H93:L93)</f>
      </c>
      <c r="G93" s="44">
        <f>SUM(H93:M93)</f>
      </c>
      <c r="H93" s="44">
        <f>COUNTIF('Users'!$M$74:$M$74,H$3)</f>
      </c>
      <c r="I93" s="44">
        <f>COUNTIF('Users'!$M$74:$M$74,I$3)</f>
      </c>
      <c r="J93" s="44">
        <f>COUNTIF('Users'!$M$74:$M$74,J$3)</f>
      </c>
      <c r="K93" s="44">
        <f>COUNTIF('Users'!$M$74:$M$74,K$3)</f>
      </c>
      <c r="L93" s="44">
        <f>COUNTIF('Users'!$M$74:$M$74,L$3)</f>
      </c>
      <c r="M93" s="44">
        <f>COUNTA('Users'!$G$74:$G$74)-SUM(H93:L93)</f>
      </c>
      <c r="N93" s="43">
        <f>O93/P93</f>
      </c>
      <c r="O93" s="44">
        <f>SUM(Q93:U93)</f>
      </c>
      <c r="P93" s="44">
        <f>SUM(Q93:V93)</f>
      </c>
      <c r="Q93" s="44">
        <f>COUNTIF('Users'!$R$74:$R$74,Q$3)</f>
      </c>
      <c r="R93" s="44">
        <f>COUNTIF('Users'!$R$74:$R$74,R$3)</f>
      </c>
      <c r="S93" s="44">
        <f>COUNTIF('Users'!$R$74:$R$74,S$3)</f>
      </c>
      <c r="T93" s="44">
        <f>COUNTIF('Users'!$R$74:$R$74,T$3)</f>
      </c>
      <c r="U93" s="44">
        <f>COUNTIF('Users'!$R$74:$R$74,U$3)</f>
      </c>
      <c r="V93" s="44">
        <f>COUNTA('Users'!$G$74:$G$74)-SUM(Q93:U93)</f>
      </c>
    </row>
    <row r="94" ht="15.75" customHeight="1">
      <c r="A94"/>
      <c r="B94" s="12"/>
      <c r="C94" s="46" t="s">
        <v>71</v>
      </c>
      <c r="D94" s="46"/>
      <c r="E94" s="47">
        <f>F94/G94</f>
      </c>
      <c r="F94" s="48">
        <f>SUM(H94:L94)</f>
      </c>
      <c r="G94" s="48">
        <f>SUM(H94:M94)</f>
      </c>
      <c r="H94" s="48">
        <f>SUM(H74:H93)</f>
      </c>
      <c r="I94" s="48">
        <f>SUM(I74:I93)</f>
      </c>
      <c r="J94" s="48">
        <f>SUM(J74:J93)</f>
      </c>
      <c r="K94" s="48">
        <f>SUM(K74:K93)</f>
      </c>
      <c r="L94" s="48">
        <f>SUM(L74:L93)</f>
      </c>
      <c r="M94" s="48">
        <f>SUM(M74:M93)</f>
      </c>
      <c r="N94" s="47">
        <f>O94/P94</f>
      </c>
      <c r="O94" s="48">
        <f>SUM(Q94:U94)</f>
      </c>
      <c r="P94" s="48">
        <f>SUM(Q94:V94)</f>
      </c>
      <c r="Q94" s="48">
        <f>SUM(Q74:Q93)</f>
      </c>
      <c r="R94" s="48">
        <f>SUM(R74:R93)</f>
      </c>
      <c r="S94" s="48">
        <f>SUM(S74:S93)</f>
      </c>
      <c r="T94" s="48">
        <f>SUM(T74:T93)</f>
      </c>
      <c r="U94" s="48">
        <f>SUM(U74:U93)</f>
      </c>
      <c r="V94" s="48">
        <f>SUM(V74:V93)</f>
      </c>
    </row>
    <row r="95" ht="15.75" customHeight="1">
      <c r="A95"/>
      <c r="B95" s="41" t="s">
        <v>164</v>
      </c>
      <c r="C95" s="42" t="s">
        <v>80</v>
      </c>
      <c r="D95" s="42" t="s">
        <v>165</v>
      </c>
      <c r="E95" s="43">
        <f>F95/G95</f>
      </c>
      <c r="F95" s="44">
        <f>SUM(H95:L95)</f>
      </c>
      <c r="G95" s="44">
        <f>SUM(H95:M95)</f>
      </c>
      <c r="H95" s="44">
        <f>COUNTIF('Profile'!$M$13:$M$13,H$3)</f>
      </c>
      <c r="I95" s="44">
        <f>COUNTIF('Profile'!$M$13:$M$13,I$3)</f>
      </c>
      <c r="J95" s="44">
        <f>COUNTIF('Profile'!$M$13:$M$13,J$3)</f>
      </c>
      <c r="K95" s="44">
        <f>COUNTIF('Profile'!$M$13:$M$13,K$3)</f>
      </c>
      <c r="L95" s="44">
        <f>COUNTIF('Profile'!$M$13:$M$13,L$3)</f>
      </c>
      <c r="M95" s="44">
        <f>COUNTA('Profile'!$G$13:$G$13)-SUM(H95:L95)</f>
      </c>
      <c r="N95" s="43">
        <f>O95/P95</f>
      </c>
      <c r="O95" s="44">
        <f>SUM(Q95:U95)</f>
      </c>
      <c r="P95" s="44">
        <f>SUM(Q95:V95)</f>
      </c>
      <c r="Q95" s="44">
        <f>COUNTIF('Profile'!$R$13:$R$13,Q$3)</f>
      </c>
      <c r="R95" s="44">
        <f>COUNTIF('Profile'!$R$13:$R$13,R$3)</f>
      </c>
      <c r="S95" s="44">
        <f>COUNTIF('Profile'!$R$13:$R$13,S$3)</f>
      </c>
      <c r="T95" s="44">
        <f>COUNTIF('Profile'!$R$13:$R$13,T$3)</f>
      </c>
      <c r="U95" s="44">
        <f>COUNTIF('Profile'!$R$13:$R$13,U$3)</f>
      </c>
      <c r="V95" s="44">
        <f>COUNTA('Profile'!$G$13:$G$13)-SUM(Q95:U95)</f>
      </c>
    </row>
    <row r="96" ht="15.75" customHeight="1">
      <c r="A96"/>
      <c r="B96" s="45"/>
      <c r="C96" s="42" t="s">
        <v>166</v>
      </c>
      <c r="D96" s="42" t="s">
        <v>167</v>
      </c>
      <c r="E96" s="43">
        <f>F96/G96</f>
      </c>
      <c r="F96" s="44">
        <f>SUM(H96:L96)</f>
      </c>
      <c r="G96" s="44">
        <f>SUM(H96:M96)</f>
      </c>
      <c r="H96" s="44">
        <f>COUNTIF('Profile'!$M$14:$M$15,H$3)</f>
      </c>
      <c r="I96" s="44">
        <f>COUNTIF('Profile'!$M$14:$M$15,I$3)</f>
      </c>
      <c r="J96" s="44">
        <f>COUNTIF('Profile'!$M$14:$M$15,J$3)</f>
      </c>
      <c r="K96" s="44">
        <f>COUNTIF('Profile'!$M$14:$M$15,K$3)</f>
      </c>
      <c r="L96" s="44">
        <f>COUNTIF('Profile'!$M$14:$M$15,L$3)</f>
      </c>
      <c r="M96" s="44">
        <f>COUNTA('Profile'!$G$14:$G$15)-SUM(H96:L96)</f>
      </c>
      <c r="N96" s="43">
        <f>O96/P96</f>
      </c>
      <c r="O96" s="44">
        <f>SUM(Q96:U96)</f>
      </c>
      <c r="P96" s="44">
        <f>SUM(Q96:V96)</f>
      </c>
      <c r="Q96" s="44">
        <f>COUNTIF('Profile'!$R$14:$R$15,Q$3)</f>
      </c>
      <c r="R96" s="44">
        <f>COUNTIF('Profile'!$R$14:$R$15,R$3)</f>
      </c>
      <c r="S96" s="44">
        <f>COUNTIF('Profile'!$R$14:$R$15,S$3)</f>
      </c>
      <c r="T96" s="44">
        <f>COUNTIF('Profile'!$R$14:$R$15,T$3)</f>
      </c>
      <c r="U96" s="44">
        <f>COUNTIF('Profile'!$R$14:$R$15,U$3)</f>
      </c>
      <c r="V96" s="44">
        <f>COUNTA('Profile'!$G$14:$G$15)-SUM(Q96:U96)</f>
      </c>
    </row>
    <row r="97" ht="15.75" customHeight="1">
      <c r="A97"/>
      <c r="B97" s="45"/>
      <c r="C97" s="42" t="s">
        <v>166</v>
      </c>
      <c r="D97" s="42" t="s">
        <v>168</v>
      </c>
      <c r="E97" s="43">
        <f>F97/G97</f>
      </c>
      <c r="F97" s="44">
        <f>SUM(H97:L97)</f>
      </c>
      <c r="G97" s="44">
        <f>SUM(H97:M97)</f>
      </c>
      <c r="H97" s="44">
        <f>COUNTIF('Profile'!$M$16:$M$18,H$3)</f>
      </c>
      <c r="I97" s="44">
        <f>COUNTIF('Profile'!$M$16:$M$18,I$3)</f>
      </c>
      <c r="J97" s="44">
        <f>COUNTIF('Profile'!$M$16:$M$18,J$3)</f>
      </c>
      <c r="K97" s="44">
        <f>COUNTIF('Profile'!$M$16:$M$18,K$3)</f>
      </c>
      <c r="L97" s="44">
        <f>COUNTIF('Profile'!$M$16:$M$18,L$3)</f>
      </c>
      <c r="M97" s="44">
        <f>COUNTA('Profile'!$G$16:$G$18)-SUM(H97:L97)</f>
      </c>
      <c r="N97" s="43">
        <f>O97/P97</f>
      </c>
      <c r="O97" s="44">
        <f>SUM(Q97:U97)</f>
      </c>
      <c r="P97" s="44">
        <f>SUM(Q97:V97)</f>
      </c>
      <c r="Q97" s="44">
        <f>COUNTIF('Profile'!$R$16:$R$18,Q$3)</f>
      </c>
      <c r="R97" s="44">
        <f>COUNTIF('Profile'!$R$16:$R$18,R$3)</f>
      </c>
      <c r="S97" s="44">
        <f>COUNTIF('Profile'!$R$16:$R$18,S$3)</f>
      </c>
      <c r="T97" s="44">
        <f>COUNTIF('Profile'!$R$16:$R$18,T$3)</f>
      </c>
      <c r="U97" s="44">
        <f>COUNTIF('Profile'!$R$16:$R$18,U$3)</f>
      </c>
      <c r="V97" s="44">
        <f>COUNTA('Profile'!$G$16:$G$18)-SUM(Q97:U97)</f>
      </c>
    </row>
    <row r="98" ht="15.75" customHeight="1">
      <c r="A98"/>
      <c r="B98" s="45"/>
      <c r="C98" s="42" t="s">
        <v>169</v>
      </c>
      <c r="D98" s="42" t="s">
        <v>170</v>
      </c>
      <c r="E98" s="43">
        <f>F98/G98</f>
      </c>
      <c r="F98" s="44">
        <f>SUM(H98:L98)</f>
      </c>
      <c r="G98" s="44">
        <f>SUM(H98:M98)</f>
      </c>
      <c r="H98" s="44">
        <f>COUNTIF('Profile'!$M$19:$M$23,H$3)</f>
      </c>
      <c r="I98" s="44">
        <f>COUNTIF('Profile'!$M$19:$M$23,I$3)</f>
      </c>
      <c r="J98" s="44">
        <f>COUNTIF('Profile'!$M$19:$M$23,J$3)</f>
      </c>
      <c r="K98" s="44">
        <f>COUNTIF('Profile'!$M$19:$M$23,K$3)</f>
      </c>
      <c r="L98" s="44">
        <f>COUNTIF('Profile'!$M$19:$M$23,L$3)</f>
      </c>
      <c r="M98" s="44">
        <f>COUNTA('Profile'!$G$19:$G$23)-SUM(H98:L98)</f>
      </c>
      <c r="N98" s="43">
        <f>O98/P98</f>
      </c>
      <c r="O98" s="44">
        <f>SUM(Q98:U98)</f>
      </c>
      <c r="P98" s="44">
        <f>SUM(Q98:V98)</f>
      </c>
      <c r="Q98" s="44">
        <f>COUNTIF('Profile'!$R$19:$R$23,Q$3)</f>
      </c>
      <c r="R98" s="44">
        <f>COUNTIF('Profile'!$R$19:$R$23,R$3)</f>
      </c>
      <c r="S98" s="44">
        <f>COUNTIF('Profile'!$R$19:$R$23,S$3)</f>
      </c>
      <c r="T98" s="44">
        <f>COUNTIF('Profile'!$R$19:$R$23,T$3)</f>
      </c>
      <c r="U98" s="44">
        <f>COUNTIF('Profile'!$R$19:$R$23,U$3)</f>
      </c>
      <c r="V98" s="44">
        <f>COUNTA('Profile'!$G$19:$G$23)-SUM(Q98:U98)</f>
      </c>
    </row>
    <row r="99" ht="15.75" customHeight="1">
      <c r="A99"/>
      <c r="B99" s="45"/>
      <c r="C99" s="42" t="s">
        <v>110</v>
      </c>
      <c r="D99" s="42" t="s">
        <v>113</v>
      </c>
      <c r="E99" s="43">
        <f>F99/G99</f>
      </c>
      <c r="F99" s="44">
        <f>SUM(H99:L99)</f>
      </c>
      <c r="G99" s="44">
        <f>SUM(H99:M99)</f>
      </c>
      <c r="H99" s="44">
        <f>COUNTIF('Profile'!$M$24:$M$24,H$3)</f>
      </c>
      <c r="I99" s="44">
        <f>COUNTIF('Profile'!$M$24:$M$24,I$3)</f>
      </c>
      <c r="J99" s="44">
        <f>COUNTIF('Profile'!$M$24:$M$24,J$3)</f>
      </c>
      <c r="K99" s="44">
        <f>COUNTIF('Profile'!$M$24:$M$24,K$3)</f>
      </c>
      <c r="L99" s="44">
        <f>COUNTIF('Profile'!$M$24:$M$24,L$3)</f>
      </c>
      <c r="M99" s="44">
        <f>COUNTA('Profile'!$G$24:$G$24)-SUM(H99:L99)</f>
      </c>
      <c r="N99" s="43">
        <f>O99/P99</f>
      </c>
      <c r="O99" s="44">
        <f>SUM(Q99:U99)</f>
      </c>
      <c r="P99" s="44">
        <f>SUM(Q99:V99)</f>
      </c>
      <c r="Q99" s="44">
        <f>COUNTIF('Profile'!$R$24:$R$24,Q$3)</f>
      </c>
      <c r="R99" s="44">
        <f>COUNTIF('Profile'!$R$24:$R$24,R$3)</f>
      </c>
      <c r="S99" s="44">
        <f>COUNTIF('Profile'!$R$24:$R$24,S$3)</f>
      </c>
      <c r="T99" s="44">
        <f>COUNTIF('Profile'!$R$24:$R$24,T$3)</f>
      </c>
      <c r="U99" s="44">
        <f>COUNTIF('Profile'!$R$24:$R$24,U$3)</f>
      </c>
      <c r="V99" s="44">
        <f>COUNTA('Profile'!$G$24:$G$24)-SUM(Q99:U99)</f>
      </c>
    </row>
    <row r="100" ht="15.75" customHeight="1">
      <c r="A100"/>
      <c r="B100" s="45"/>
      <c r="C100" s="42" t="s">
        <v>110</v>
      </c>
      <c r="D100" s="42" t="s">
        <v>112</v>
      </c>
      <c r="E100" s="43">
        <f>F100/G100</f>
      </c>
      <c r="F100" s="44">
        <f>SUM(H100:L100)</f>
      </c>
      <c r="G100" s="44">
        <f>SUM(H100:M100)</f>
      </c>
      <c r="H100" s="44">
        <f>COUNTIF('Profile'!$M$25:$M$25,H$3)</f>
      </c>
      <c r="I100" s="44">
        <f>COUNTIF('Profile'!$M$25:$M$25,I$3)</f>
      </c>
      <c r="J100" s="44">
        <f>COUNTIF('Profile'!$M$25:$M$25,J$3)</f>
      </c>
      <c r="K100" s="44">
        <f>COUNTIF('Profile'!$M$25:$M$25,K$3)</f>
      </c>
      <c r="L100" s="44">
        <f>COUNTIF('Profile'!$M$25:$M$25,L$3)</f>
      </c>
      <c r="M100" s="44">
        <f>COUNTA('Profile'!$G$25:$G$25)-SUM(H100:L100)</f>
      </c>
      <c r="N100" s="43">
        <f>O100/P100</f>
      </c>
      <c r="O100" s="44">
        <f>SUM(Q100:U100)</f>
      </c>
      <c r="P100" s="44">
        <f>SUM(Q100:V100)</f>
      </c>
      <c r="Q100" s="44">
        <f>COUNTIF('Profile'!$R$25:$R$25,Q$3)</f>
      </c>
      <c r="R100" s="44">
        <f>COUNTIF('Profile'!$R$25:$R$25,R$3)</f>
      </c>
      <c r="S100" s="44">
        <f>COUNTIF('Profile'!$R$25:$R$25,S$3)</f>
      </c>
      <c r="T100" s="44">
        <f>COUNTIF('Profile'!$R$25:$R$25,T$3)</f>
      </c>
      <c r="U100" s="44">
        <f>COUNTIF('Profile'!$R$25:$R$25,U$3)</f>
      </c>
      <c r="V100" s="44">
        <f>COUNTA('Profile'!$G$25:$G$25)-SUM(Q100:U100)</f>
      </c>
    </row>
    <row r="101" ht="15.75" customHeight="1">
      <c r="A101"/>
      <c r="B101" s="12"/>
      <c r="C101" s="46" t="s">
        <v>71</v>
      </c>
      <c r="D101" s="46"/>
      <c r="E101" s="47">
        <f>F101/G101</f>
      </c>
      <c r="F101" s="48">
        <f>SUM(H101:L101)</f>
      </c>
      <c r="G101" s="48">
        <f>SUM(H101:M101)</f>
      </c>
      <c r="H101" s="48">
        <f>SUM(H95:H100)</f>
      </c>
      <c r="I101" s="48">
        <f>SUM(I95:I100)</f>
      </c>
      <c r="J101" s="48">
        <f>SUM(J95:J100)</f>
      </c>
      <c r="K101" s="48">
        <f>SUM(K95:K100)</f>
      </c>
      <c r="L101" s="48">
        <f>SUM(L95:L100)</f>
      </c>
      <c r="M101" s="48">
        <f>SUM(M95:M100)</f>
      </c>
      <c r="N101" s="47">
        <f>O101/P101</f>
      </c>
      <c r="O101" s="48">
        <f>SUM(Q101:U101)</f>
      </c>
      <c r="P101" s="48">
        <f>SUM(Q101:V101)</f>
      </c>
      <c r="Q101" s="48">
        <f>SUM(Q95:Q100)</f>
      </c>
      <c r="R101" s="48">
        <f>SUM(R95:R100)</f>
      </c>
      <c r="S101" s="48">
        <f>SUM(S95:S100)</f>
      </c>
      <c r="T101" s="48">
        <f>SUM(T95:T100)</f>
      </c>
      <c r="U101" s="48">
        <f>SUM(U95:U100)</f>
      </c>
      <c r="V101" s="48">
        <f>SUM(V95:V100)</f>
      </c>
    </row>
    <row r="102" ht="15.75" customHeight="1">
      <c r="A102"/>
      <c r="B102" s="39" t="s">
        <v>71</v>
      </c>
      <c r="C102" s="46"/>
      <c r="D102" s="46"/>
      <c r="E102" s="47">
        <f>F102/G102</f>
      </c>
      <c r="F102" s="48">
        <f>SUM(F14,F39,F63,F73,F94,F101)</f>
      </c>
      <c r="G102" s="48">
        <f>SUM(G14,G39,G63,G73,G94,G101)</f>
      </c>
      <c r="H102" s="48">
        <f>SUM(H14,H39,H63,H73,H94,H101)</f>
      </c>
      <c r="I102" s="48">
        <f>SUM(I14,I39,I63,I73,I94,I101)</f>
      </c>
      <c r="J102" s="48">
        <f>SUM(J14,J39,J63,J73,J94,J101)</f>
      </c>
      <c r="K102" s="48">
        <f>SUM(K14,K39,K63,K73,K94,K101)</f>
      </c>
      <c r="L102" s="48">
        <f>SUM(L14,L39,L63,L73,L94,L101)</f>
      </c>
      <c r="M102" s="48">
        <f>SUM(M14,M39,M63,M73,M94,M101)</f>
      </c>
      <c r="N102" s="47">
        <f>O102/P102</f>
      </c>
      <c r="O102" s="48">
        <f>SUM(O14,O39,O63,O73,O94,O101)</f>
      </c>
      <c r="P102" s="48">
        <f>SUM(P14,P39,P63,P73,P94,P101)</f>
      </c>
      <c r="Q102" s="48">
        <f>SUM(Q14,Q39,Q63,Q73,Q94,Q101)</f>
      </c>
      <c r="R102" s="48">
        <f>SUM(R14,R39,R63,R73,R94,R101)</f>
      </c>
      <c r="S102" s="48">
        <f>SUM(S14,S39,S63,S73,S94,S101)</f>
      </c>
      <c r="T102" s="48">
        <f>SUM(T14,T39,T63,T73,T94,T101)</f>
      </c>
      <c r="U102" s="48">
        <f>SUM(U14,U39,U63,U73,U94,U101)</f>
      </c>
      <c r="V102" s="48">
        <f>SUM(V14,V39,V63,V73,V94,V101)</f>
      </c>
    </row>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8">
    <mergeCell ref="E2:M2"/>
    <mergeCell ref="N2:V2"/>
    <mergeCell ref="B4:B14"/>
    <mergeCell ref="B15:B39"/>
    <mergeCell ref="B40:B63"/>
    <mergeCell ref="B64:B73"/>
    <mergeCell ref="B74:B94"/>
    <mergeCell ref="B95:B101"/>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D76" activeCellId="0" sqref="D76"/>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9" style="49" width="9.5703125"/>
    <col customWidth="1" min="20" max="20" style="49" width="11.7109375"/>
    <col customWidth="1" min="21" max="21" style="49" width="9.5703125"/>
    <col customWidth="1" min="22" max="22" style="49" width="17.710937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172</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175</v>
      </c>
      <c r="D4" s="59"/>
      <c r="E4" s="52"/>
      <c r="F4" s="52"/>
      <c r="G4" s="52"/>
      <c r="H4" s="52"/>
      <c r="I4" s="52"/>
      <c r="J4" s="52"/>
      <c r="K4" s="54" t="s">
        <v>176</v>
      </c>
      <c r="L4" s="60">
        <f>COUNTA($G$13:$G$112)</f>
        <v>52</v>
      </c>
      <c r="M4" s="61">
        <f>COUNTIF($M$13:$M941,M3)</f>
        <v>0</v>
      </c>
      <c r="N4" s="61">
        <f>COUNTIF($M$13:$M941,N3)</f>
        <v>0</v>
      </c>
      <c r="O4" s="61">
        <f>COUNTIF($M$13:$M941,O3)</f>
        <v>0</v>
      </c>
      <c r="P4" s="62">
        <f>COUNTIF($M$13:$M941,P3)</f>
        <v>0</v>
      </c>
      <c r="Q4" s="61">
        <f>COUNTIF($M$13:$M941,Q3)</f>
        <v>0</v>
      </c>
      <c r="R4" s="61">
        <f>L4-SUM(M4:Q4)</f>
        <v>52</v>
      </c>
      <c r="S4" s="63"/>
      <c r="T4" s="52"/>
      <c r="U4" s="52"/>
      <c r="V4" s="52"/>
      <c r="W4" s="52"/>
      <c r="X4" s="52"/>
      <c r="Y4" s="52"/>
      <c r="Z4" s="52"/>
      <c r="AA4" s="52"/>
      <c r="AB4" s="52"/>
      <c r="AC4" s="52"/>
    </row>
    <row r="5" ht="15.75" customHeight="1">
      <c r="A5" s="51"/>
      <c r="B5" s="54" t="s">
        <v>3</v>
      </c>
      <c r="C5" s="58" t="s">
        <v>177</v>
      </c>
      <c r="D5" s="59"/>
      <c r="E5" s="52"/>
      <c r="F5" s="52"/>
      <c r="G5" s="52"/>
      <c r="H5" s="52"/>
      <c r="I5" s="52"/>
      <c r="J5" s="52"/>
      <c r="K5" s="12"/>
      <c r="L5" s="12"/>
      <c r="M5" s="64">
        <f t="shared" ref="M5:R5" si="18">M4/$L$4</f>
        <v>0</v>
      </c>
      <c r="N5" s="64">
        <f t="shared" si="18"/>
        <v>0</v>
      </c>
      <c r="O5" s="64">
        <f t="shared" si="18"/>
        <v>0</v>
      </c>
      <c r="P5" s="65">
        <f t="shared" si="18"/>
        <v>0</v>
      </c>
      <c r="Q5" s="64">
        <f t="shared" si="18"/>
        <v>0</v>
      </c>
      <c r="R5" s="64">
        <f t="shared" si="18"/>
        <v>1</v>
      </c>
      <c r="S5" s="52"/>
      <c r="T5" s="52"/>
      <c r="U5" s="52"/>
      <c r="V5" s="52"/>
      <c r="W5" s="52"/>
      <c r="X5" s="52"/>
      <c r="Y5" s="52"/>
      <c r="Z5" s="52"/>
      <c r="AA5" s="52"/>
      <c r="AB5" s="52"/>
      <c r="AC5" s="52"/>
    </row>
    <row r="6" ht="15.75" customHeight="1">
      <c r="A6" s="51"/>
      <c r="B6" s="54" t="s">
        <v>178</v>
      </c>
      <c r="C6" s="66" t="s">
        <v>18</v>
      </c>
      <c r="D6" s="59"/>
      <c r="E6" s="52"/>
      <c r="F6" s="52"/>
      <c r="G6" s="52"/>
      <c r="H6" s="52"/>
      <c r="I6" s="52"/>
      <c r="J6" s="52"/>
      <c r="K6" s="54" t="s">
        <v>179</v>
      </c>
      <c r="L6" s="60">
        <f>COUNTA($G$13:$G$112)</f>
        <v>52</v>
      </c>
      <c r="M6" s="61">
        <f>COUNTIF($R$13:$R$115,M3)</f>
        <v>0</v>
      </c>
      <c r="N6" s="61">
        <f>COUNTIF($R$13:$R$115,N3)</f>
        <v>0</v>
      </c>
      <c r="O6" s="61">
        <f>COUNTIF($R$13:$R$115,O3)</f>
        <v>0</v>
      </c>
      <c r="P6" s="62">
        <f>COUNTIF($R$13:$R$115,P3)</f>
        <v>0</v>
      </c>
      <c r="Q6" s="61">
        <f>COUNTIF($R$13:$R$115,Q3)</f>
        <v>0</v>
      </c>
      <c r="R6" s="61">
        <f>L6-SUM(M6:Q6)</f>
        <v>52</v>
      </c>
      <c r="S6" s="63"/>
      <c r="T6" s="52"/>
      <c r="U6" s="52"/>
      <c r="V6" s="52"/>
      <c r="W6" s="52"/>
      <c r="X6" s="52"/>
      <c r="Y6" s="52"/>
      <c r="Z6" s="52"/>
      <c r="AA6" s="52"/>
      <c r="AB6" s="52"/>
      <c r="AC6" s="52"/>
    </row>
    <row r="7" ht="36" customHeight="1">
      <c r="A7" s="51"/>
      <c r="B7" s="54" t="s">
        <v>17</v>
      </c>
      <c r="C7" s="67" t="s">
        <v>180</v>
      </c>
      <c r="D7" s="68"/>
      <c r="E7" s="52"/>
      <c r="F7" s="52"/>
      <c r="G7" s="52"/>
      <c r="H7" s="52"/>
      <c r="I7" s="52"/>
      <c r="J7" s="52"/>
      <c r="K7" s="12"/>
      <c r="L7" s="12"/>
      <c r="M7" s="64">
        <f t="shared" ref="M7:R7" si="19">M6/$L$6</f>
        <v>0</v>
      </c>
      <c r="N7" s="64">
        <f t="shared" si="19"/>
        <v>0</v>
      </c>
      <c r="O7" s="64">
        <f t="shared" si="19"/>
        <v>0</v>
      </c>
      <c r="P7" s="65">
        <f t="shared" si="19"/>
        <v>0</v>
      </c>
      <c r="Q7" s="64">
        <f t="shared" si="19"/>
        <v>0</v>
      </c>
      <c r="R7" s="64">
        <f t="shared" si="19"/>
        <v>1</v>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ht="62.100000000000001" customHeight="1">
      <c r="A13" s="73">
        <v>1</v>
      </c>
      <c r="B13" s="58" t="s">
        <v>79</v>
      </c>
      <c r="C13" s="58" t="s">
        <v>80</v>
      </c>
      <c r="D13" s="58" t="s">
        <v>201</v>
      </c>
      <c r="E13" s="58" t="s">
        <v>202</v>
      </c>
      <c r="F13" s="58" t="s">
        <v>203</v>
      </c>
      <c r="G13" s="58" t="s">
        <v>204</v>
      </c>
      <c r="H13" s="58" t="s">
        <v>205</v>
      </c>
      <c r="I13" s="58" t="s">
        <v>202</v>
      </c>
      <c r="J13" s="58" t="s">
        <v>206</v>
      </c>
      <c r="K13" s="74" t="s">
        <v>207</v>
      </c>
      <c r="L13" s="58"/>
      <c r="M13" s="58"/>
      <c r="N13" s="58"/>
      <c r="O13" s="58"/>
      <c r="P13" s="58"/>
      <c r="Q13" s="58"/>
      <c r="R13" s="58"/>
      <c r="S13" s="58"/>
      <c r="T13" s="58"/>
      <c r="U13" s="58"/>
      <c r="V13" s="58"/>
      <c r="W13" s="58"/>
      <c r="X13" s="58" t="s">
        <v>208</v>
      </c>
      <c r="Y13" s="52"/>
      <c r="Z13" s="52"/>
      <c r="AA13" s="52"/>
      <c r="AB13" s="52"/>
      <c r="AC13" s="52"/>
    </row>
    <row r="14" ht="35.100000000000001" customHeight="1">
      <c r="A14" s="73">
        <v>2</v>
      </c>
      <c r="B14" s="75"/>
      <c r="C14" s="75"/>
      <c r="D14" s="75"/>
      <c r="E14" s="58" t="s">
        <v>209</v>
      </c>
      <c r="F14" s="58" t="s">
        <v>210</v>
      </c>
      <c r="G14" s="58" t="s">
        <v>211</v>
      </c>
      <c r="H14" s="58" t="s">
        <v>212</v>
      </c>
      <c r="I14" s="58" t="s">
        <v>213</v>
      </c>
      <c r="J14" s="58" t="s">
        <v>214</v>
      </c>
      <c r="K14" s="76"/>
      <c r="L14" s="58"/>
      <c r="M14" s="58"/>
      <c r="N14" s="58"/>
      <c r="O14" s="58"/>
      <c r="P14" s="58"/>
      <c r="Q14" s="58"/>
      <c r="R14" s="58"/>
      <c r="S14" s="58"/>
      <c r="T14" s="58"/>
      <c r="U14" s="58"/>
      <c r="V14" s="58"/>
      <c r="W14" s="77" t="s">
        <v>215</v>
      </c>
      <c r="X14" s="58" t="s">
        <v>208</v>
      </c>
      <c r="Y14" s="52"/>
      <c r="Z14" s="52"/>
      <c r="AA14" s="52"/>
      <c r="AB14" s="52"/>
      <c r="AC14" s="52"/>
    </row>
    <row r="15" ht="48.600000000000001" customHeight="1">
      <c r="A15" s="73">
        <v>3</v>
      </c>
      <c r="B15" s="75"/>
      <c r="C15" s="78"/>
      <c r="D15" s="78"/>
      <c r="E15" s="58" t="s">
        <v>216</v>
      </c>
      <c r="F15" s="58" t="s">
        <v>203</v>
      </c>
      <c r="G15" s="58" t="s">
        <v>217</v>
      </c>
      <c r="H15" s="58" t="s">
        <v>218</v>
      </c>
      <c r="I15" s="58" t="s">
        <v>202</v>
      </c>
      <c r="J15" s="58" t="s">
        <v>219</v>
      </c>
      <c r="K15" s="74" t="s">
        <v>220</v>
      </c>
      <c r="L15" s="58"/>
      <c r="M15" s="58"/>
      <c r="N15" s="58"/>
      <c r="O15" s="58"/>
      <c r="P15" s="58"/>
      <c r="Q15" s="58"/>
      <c r="R15" s="58"/>
      <c r="S15" s="58"/>
      <c r="T15" s="58"/>
      <c r="U15" s="58"/>
      <c r="V15" s="58"/>
      <c r="W15" s="77" t="s">
        <v>221</v>
      </c>
      <c r="X15" s="58" t="s">
        <v>222</v>
      </c>
      <c r="Y15" s="52"/>
      <c r="Z15" s="52"/>
      <c r="AA15" s="52"/>
      <c r="AB15" s="52"/>
      <c r="AC15" s="52"/>
    </row>
    <row r="16" ht="62.100000000000001" customHeight="1">
      <c r="A16" s="73">
        <v>4</v>
      </c>
      <c r="B16" s="75"/>
      <c r="C16" s="58" t="s">
        <v>81</v>
      </c>
      <c r="D16" s="58" t="s">
        <v>223</v>
      </c>
      <c r="E16" s="58" t="s">
        <v>224</v>
      </c>
      <c r="F16" s="58" t="s">
        <v>225</v>
      </c>
      <c r="G16" s="58" t="s">
        <v>226</v>
      </c>
      <c r="H16" s="58" t="s">
        <v>227</v>
      </c>
      <c r="I16" s="58" t="s">
        <v>202</v>
      </c>
      <c r="J16" s="58" t="s">
        <v>228</v>
      </c>
      <c r="K16" s="74" t="s">
        <v>229</v>
      </c>
      <c r="L16" s="58"/>
      <c r="M16" s="58"/>
      <c r="N16" s="58"/>
      <c r="O16" s="58"/>
      <c r="P16" s="58"/>
      <c r="Q16" s="58"/>
      <c r="R16" s="58"/>
      <c r="S16" s="58"/>
      <c r="T16" s="58"/>
      <c r="U16" s="58"/>
      <c r="V16" s="58"/>
      <c r="W16" s="58"/>
      <c r="X16" s="58" t="s">
        <v>208</v>
      </c>
      <c r="Y16" s="52"/>
      <c r="Z16" s="52"/>
      <c r="AA16" s="52"/>
      <c r="AB16" s="52"/>
      <c r="AC16" s="52"/>
    </row>
    <row r="17" ht="48.600000000000001" customHeight="1">
      <c r="A17" s="73">
        <v>5</v>
      </c>
      <c r="B17" s="75"/>
      <c r="C17" s="75"/>
      <c r="D17" s="58" t="s">
        <v>230</v>
      </c>
      <c r="E17" s="58" t="s">
        <v>231</v>
      </c>
      <c r="F17" s="58" t="s">
        <v>225</v>
      </c>
      <c r="G17" s="58" t="s">
        <v>232</v>
      </c>
      <c r="H17" s="58" t="s">
        <v>233</v>
      </c>
      <c r="I17" s="58" t="s">
        <v>202</v>
      </c>
      <c r="J17" s="58" t="s">
        <v>234</v>
      </c>
      <c r="K17" s="74" t="s">
        <v>235</v>
      </c>
      <c r="L17" s="58"/>
      <c r="M17" s="58"/>
      <c r="N17" s="58"/>
      <c r="O17" s="58"/>
      <c r="P17" s="58"/>
      <c r="Q17" s="58"/>
      <c r="R17" s="58"/>
      <c r="S17" s="58"/>
      <c r="T17" s="58"/>
      <c r="U17" s="58"/>
      <c r="V17" s="58"/>
      <c r="W17" s="58"/>
      <c r="X17" s="58" t="s">
        <v>208</v>
      </c>
      <c r="Y17" s="52"/>
      <c r="Z17" s="52"/>
      <c r="AA17" s="52"/>
      <c r="AB17" s="52"/>
      <c r="AC17" s="52"/>
    </row>
    <row r="18" ht="35.100000000000001" customHeight="1">
      <c r="A18" s="73">
        <v>6</v>
      </c>
      <c r="B18" s="75"/>
      <c r="C18" s="75"/>
      <c r="D18" s="75"/>
      <c r="E18" s="58" t="s">
        <v>236</v>
      </c>
      <c r="F18" s="58" t="s">
        <v>225</v>
      </c>
      <c r="G18" s="58" t="s">
        <v>237</v>
      </c>
      <c r="H18" s="58" t="s">
        <v>238</v>
      </c>
      <c r="I18" s="58" t="s">
        <v>202</v>
      </c>
      <c r="J18" s="58" t="s">
        <v>239</v>
      </c>
      <c r="K18" s="76"/>
      <c r="L18" s="58"/>
      <c r="M18" s="58"/>
      <c r="N18" s="58"/>
      <c r="O18" s="58"/>
      <c r="P18" s="58"/>
      <c r="Q18" s="58"/>
      <c r="R18" s="58"/>
      <c r="S18" s="58"/>
      <c r="T18" s="58"/>
      <c r="U18" s="58"/>
      <c r="V18" s="58"/>
      <c r="W18" s="77" t="s">
        <v>240</v>
      </c>
      <c r="X18" s="58" t="s">
        <v>208</v>
      </c>
      <c r="Y18" s="52"/>
      <c r="Z18" s="52"/>
      <c r="AA18" s="52"/>
      <c r="AB18" s="52"/>
      <c r="AC18" s="52"/>
    </row>
    <row r="19" ht="48.600000000000001" customHeight="1">
      <c r="A19" s="73">
        <v>7</v>
      </c>
      <c r="B19" s="75"/>
      <c r="C19" s="78"/>
      <c r="D19" s="78"/>
      <c r="E19" s="58" t="s">
        <v>241</v>
      </c>
      <c r="F19" s="58" t="s">
        <v>225</v>
      </c>
      <c r="G19" s="58" t="s">
        <v>242</v>
      </c>
      <c r="H19" s="58" t="s">
        <v>243</v>
      </c>
      <c r="I19" s="58" t="s">
        <v>202</v>
      </c>
      <c r="J19" s="58" t="s">
        <v>244</v>
      </c>
      <c r="K19" s="76"/>
      <c r="L19" s="58"/>
      <c r="M19" s="58"/>
      <c r="N19" s="58"/>
      <c r="O19" s="58"/>
      <c r="P19" s="58"/>
      <c r="Q19" s="58"/>
      <c r="R19" s="58"/>
      <c r="S19" s="58"/>
      <c r="T19" s="58"/>
      <c r="U19" s="58"/>
      <c r="V19" s="58"/>
      <c r="W19" s="77" t="s">
        <v>245</v>
      </c>
      <c r="X19" s="58" t="s">
        <v>208</v>
      </c>
      <c r="Y19" s="52"/>
      <c r="Z19" s="52"/>
      <c r="AA19" s="52"/>
      <c r="AB19" s="52"/>
      <c r="AC19" s="52"/>
    </row>
    <row r="20" ht="48.600000000000001" customHeight="1">
      <c r="A20" s="73">
        <v>8</v>
      </c>
      <c r="B20" s="75"/>
      <c r="C20" s="58" t="s">
        <v>82</v>
      </c>
      <c r="D20" s="58" t="s">
        <v>246</v>
      </c>
      <c r="E20" s="58" t="s">
        <v>247</v>
      </c>
      <c r="F20" s="58" t="s">
        <v>210</v>
      </c>
      <c r="G20" s="58" t="s">
        <v>248</v>
      </c>
      <c r="H20" s="58" t="s">
        <v>249</v>
      </c>
      <c r="I20" s="58" t="s">
        <v>202</v>
      </c>
      <c r="J20" s="58" t="s">
        <v>250</v>
      </c>
      <c r="K20" s="74" t="s">
        <v>251</v>
      </c>
      <c r="L20" s="58"/>
      <c r="M20" s="58"/>
      <c r="N20" s="58"/>
      <c r="O20" s="58"/>
      <c r="P20" s="58"/>
      <c r="Q20" s="58"/>
      <c r="R20" s="58"/>
      <c r="S20" s="58"/>
      <c r="T20" s="58"/>
      <c r="U20" s="58"/>
      <c r="V20" s="58"/>
      <c r="W20" s="77" t="s">
        <v>252</v>
      </c>
      <c r="X20" s="58" t="s">
        <v>208</v>
      </c>
      <c r="Y20" s="52"/>
      <c r="Z20" s="52"/>
      <c r="AA20" s="52"/>
      <c r="AB20" s="52"/>
      <c r="AC20" s="52"/>
    </row>
    <row r="21" ht="35.100000000000001" customHeight="1">
      <c r="A21" s="73">
        <v>9</v>
      </c>
      <c r="B21" s="75"/>
      <c r="C21" s="75"/>
      <c r="D21" s="75"/>
      <c r="E21" s="58" t="s">
        <v>253</v>
      </c>
      <c r="F21" s="58" t="s">
        <v>210</v>
      </c>
      <c r="G21" s="58" t="s">
        <v>254</v>
      </c>
      <c r="H21" s="58" t="s">
        <v>255</v>
      </c>
      <c r="I21" s="58" t="s">
        <v>202</v>
      </c>
      <c r="J21" s="58" t="s">
        <v>256</v>
      </c>
      <c r="K21" s="76"/>
      <c r="L21" s="58"/>
      <c r="M21" s="58"/>
      <c r="N21" s="58"/>
      <c r="O21" s="58"/>
      <c r="P21" s="58"/>
      <c r="Q21" s="58"/>
      <c r="R21" s="58"/>
      <c r="S21" s="58"/>
      <c r="T21" s="58"/>
      <c r="U21" s="58"/>
      <c r="V21" s="58"/>
      <c r="W21" s="77" t="s">
        <v>257</v>
      </c>
      <c r="X21" s="58" t="s">
        <v>208</v>
      </c>
      <c r="Y21" s="52"/>
      <c r="Z21" s="52"/>
      <c r="AA21" s="52"/>
      <c r="AB21" s="52"/>
      <c r="AC21" s="52"/>
    </row>
    <row r="22" ht="48.600000000000001" customHeight="1">
      <c r="A22" s="73">
        <v>10</v>
      </c>
      <c r="B22" s="75"/>
      <c r="C22" s="75"/>
      <c r="D22" s="75"/>
      <c r="E22" s="58" t="s">
        <v>258</v>
      </c>
      <c r="F22" s="58" t="s">
        <v>210</v>
      </c>
      <c r="G22" s="58" t="s">
        <v>259</v>
      </c>
      <c r="H22" s="58" t="s">
        <v>260</v>
      </c>
      <c r="I22" s="58" t="s">
        <v>202</v>
      </c>
      <c r="J22" s="58" t="s">
        <v>261</v>
      </c>
      <c r="K22" s="76"/>
      <c r="L22" s="58"/>
      <c r="M22" s="58"/>
      <c r="N22" s="58"/>
      <c r="O22" s="58"/>
      <c r="P22" s="58"/>
      <c r="Q22" s="58"/>
      <c r="R22" s="58"/>
      <c r="S22" s="58"/>
      <c r="T22" s="58"/>
      <c r="U22" s="58"/>
      <c r="V22" s="58"/>
      <c r="W22" s="77" t="s">
        <v>262</v>
      </c>
      <c r="X22" s="58" t="s">
        <v>208</v>
      </c>
      <c r="Y22" s="52"/>
      <c r="Z22" s="52"/>
      <c r="AA22" s="52"/>
      <c r="AB22" s="52"/>
      <c r="AC22" s="52"/>
    </row>
    <row r="23" ht="48.600000000000001" customHeight="1">
      <c r="A23" s="73">
        <v>11</v>
      </c>
      <c r="B23" s="75"/>
      <c r="C23" s="78"/>
      <c r="D23" s="78"/>
      <c r="E23" s="58" t="s">
        <v>263</v>
      </c>
      <c r="F23" s="58" t="s">
        <v>225</v>
      </c>
      <c r="G23" s="58" t="s">
        <v>264</v>
      </c>
      <c r="H23" s="58" t="s">
        <v>265</v>
      </c>
      <c r="I23" s="58" t="s">
        <v>202</v>
      </c>
      <c r="J23" s="58" t="s">
        <v>266</v>
      </c>
      <c r="K23" s="76"/>
      <c r="L23" s="58"/>
      <c r="M23" s="58"/>
      <c r="N23" s="58"/>
      <c r="O23" s="58"/>
      <c r="P23" s="58"/>
      <c r="Q23" s="58"/>
      <c r="R23" s="58"/>
      <c r="S23" s="58"/>
      <c r="T23" s="58"/>
      <c r="U23" s="58"/>
      <c r="V23" s="58"/>
      <c r="W23" s="77" t="s">
        <v>267</v>
      </c>
      <c r="X23" s="58" t="s">
        <v>208</v>
      </c>
      <c r="Y23" s="52"/>
      <c r="Z23" s="52"/>
      <c r="AA23" s="52"/>
      <c r="AB23" s="52"/>
      <c r="AC23" s="52"/>
    </row>
    <row r="24" ht="48.600000000000001" customHeight="1">
      <c r="A24" s="73">
        <v>12</v>
      </c>
      <c r="B24" s="75"/>
      <c r="C24" s="58" t="s">
        <v>83</v>
      </c>
      <c r="D24" s="58" t="s">
        <v>268</v>
      </c>
      <c r="E24" s="58" t="s">
        <v>269</v>
      </c>
      <c r="F24" s="58" t="s">
        <v>203</v>
      </c>
      <c r="G24" s="58" t="s">
        <v>270</v>
      </c>
      <c r="H24" s="58" t="s">
        <v>271</v>
      </c>
      <c r="I24" s="58" t="s">
        <v>202</v>
      </c>
      <c r="J24" s="58" t="s">
        <v>272</v>
      </c>
      <c r="K24" s="74" t="s">
        <v>273</v>
      </c>
      <c r="L24" s="58"/>
      <c r="M24" s="58"/>
      <c r="N24" s="58"/>
      <c r="O24" s="58"/>
      <c r="P24" s="58"/>
      <c r="Q24" s="58"/>
      <c r="R24" s="58"/>
      <c r="S24" s="58"/>
      <c r="T24" s="58"/>
      <c r="U24" s="58"/>
      <c r="V24" s="58"/>
      <c r="W24" s="58"/>
      <c r="X24" s="58" t="s">
        <v>208</v>
      </c>
      <c r="Y24" s="52"/>
      <c r="Z24" s="52"/>
      <c r="AA24" s="52"/>
      <c r="AB24" s="52"/>
      <c r="AC24" s="52"/>
    </row>
    <row r="25" ht="48.600000000000001" customHeight="1">
      <c r="A25" s="73">
        <v>13</v>
      </c>
      <c r="B25" s="75"/>
      <c r="C25" s="75"/>
      <c r="D25" s="78"/>
      <c r="E25" s="58" t="s">
        <v>274</v>
      </c>
      <c r="F25" s="58" t="s">
        <v>225</v>
      </c>
      <c r="G25" s="58" t="s">
        <v>275</v>
      </c>
      <c r="H25" s="58" t="s">
        <v>276</v>
      </c>
      <c r="I25" s="58" t="s">
        <v>202</v>
      </c>
      <c r="J25" s="58" t="s">
        <v>277</v>
      </c>
      <c r="K25" s="74" t="s">
        <v>278</v>
      </c>
      <c r="L25" s="58"/>
      <c r="M25" s="58"/>
      <c r="N25" s="58"/>
      <c r="O25" s="58"/>
      <c r="P25" s="58"/>
      <c r="Q25" s="58"/>
      <c r="R25" s="58"/>
      <c r="S25" s="58"/>
      <c r="T25" s="58"/>
      <c r="U25" s="58"/>
      <c r="V25" s="58"/>
      <c r="W25" s="58"/>
      <c r="X25" s="58" t="s">
        <v>208</v>
      </c>
      <c r="Y25" s="52"/>
      <c r="Z25" s="52"/>
      <c r="AA25" s="52"/>
      <c r="AB25" s="52"/>
      <c r="AC25" s="52"/>
    </row>
    <row r="26" ht="35.100000000000001" customHeight="1">
      <c r="A26" s="73">
        <v>14</v>
      </c>
      <c r="B26" s="75"/>
      <c r="C26" s="75"/>
      <c r="D26" s="58" t="s">
        <v>279</v>
      </c>
      <c r="E26" s="58" t="s">
        <v>280</v>
      </c>
      <c r="F26" s="58" t="s">
        <v>203</v>
      </c>
      <c r="G26" s="58" t="s">
        <v>281</v>
      </c>
      <c r="H26" s="58" t="s">
        <v>282</v>
      </c>
      <c r="I26" s="58" t="s">
        <v>202</v>
      </c>
      <c r="J26" s="58" t="s">
        <v>283</v>
      </c>
      <c r="K26" s="74" t="s">
        <v>284</v>
      </c>
      <c r="L26" s="58"/>
      <c r="M26" s="58"/>
      <c r="N26" s="58"/>
      <c r="O26" s="58"/>
      <c r="P26" s="58"/>
      <c r="Q26" s="58"/>
      <c r="R26" s="58"/>
      <c r="S26" s="58"/>
      <c r="T26" s="58"/>
      <c r="U26" s="58"/>
      <c r="V26" s="58"/>
      <c r="W26" s="58"/>
      <c r="X26" s="58" t="s">
        <v>208</v>
      </c>
      <c r="Y26" s="52"/>
      <c r="Z26" s="52"/>
      <c r="AA26" s="52"/>
      <c r="AB26" s="52"/>
      <c r="AC26" s="52"/>
    </row>
    <row r="27" ht="35.100000000000001" customHeight="1">
      <c r="A27" s="73">
        <v>15</v>
      </c>
      <c r="B27" s="75"/>
      <c r="C27" s="75"/>
      <c r="D27" s="75"/>
      <c r="E27" s="58" t="s">
        <v>285</v>
      </c>
      <c r="F27" s="58" t="s">
        <v>210</v>
      </c>
      <c r="G27" s="58" t="s">
        <v>286</v>
      </c>
      <c r="H27" s="58" t="s">
        <v>287</v>
      </c>
      <c r="I27" s="58" t="s">
        <v>202</v>
      </c>
      <c r="J27" s="58" t="s">
        <v>288</v>
      </c>
      <c r="K27" s="76"/>
      <c r="L27" s="58"/>
      <c r="M27" s="58"/>
      <c r="N27" s="58"/>
      <c r="O27" s="58"/>
      <c r="P27" s="58"/>
      <c r="Q27" s="58"/>
      <c r="R27" s="58"/>
      <c r="S27" s="58"/>
      <c r="T27" s="58"/>
      <c r="U27" s="58"/>
      <c r="V27" s="58"/>
      <c r="W27" s="77" t="s">
        <v>289</v>
      </c>
      <c r="X27" s="58" t="s">
        <v>208</v>
      </c>
      <c r="Y27" s="52"/>
      <c r="Z27" s="52"/>
      <c r="AA27" s="52"/>
      <c r="AB27" s="52"/>
      <c r="AC27" s="52"/>
    </row>
    <row r="28" ht="48.600000000000001" customHeight="1">
      <c r="A28" s="73">
        <v>16</v>
      </c>
      <c r="B28" s="75"/>
      <c r="C28" s="75"/>
      <c r="D28" s="75"/>
      <c r="E28" s="58" t="s">
        <v>290</v>
      </c>
      <c r="F28" s="58" t="s">
        <v>203</v>
      </c>
      <c r="G28" s="58" t="s">
        <v>291</v>
      </c>
      <c r="H28" s="58" t="s">
        <v>292</v>
      </c>
      <c r="I28" s="58" t="s">
        <v>202</v>
      </c>
      <c r="J28" s="58" t="s">
        <v>293</v>
      </c>
      <c r="K28" s="74" t="s">
        <v>294</v>
      </c>
      <c r="L28" s="58"/>
      <c r="M28" s="58"/>
      <c r="N28" s="58"/>
      <c r="O28" s="58"/>
      <c r="P28" s="58"/>
      <c r="Q28" s="58"/>
      <c r="R28" s="58"/>
      <c r="S28" s="58"/>
      <c r="T28" s="58"/>
      <c r="U28" s="58"/>
      <c r="V28" s="58"/>
      <c r="W28" s="77" t="s">
        <v>295</v>
      </c>
      <c r="X28" s="58" t="s">
        <v>222</v>
      </c>
      <c r="Y28" s="52"/>
      <c r="Z28" s="52"/>
      <c r="AA28" s="52"/>
      <c r="AB28" s="52"/>
      <c r="AC28" s="52"/>
    </row>
    <row r="29" ht="48.600000000000001" customHeight="1">
      <c r="A29" s="73">
        <v>17</v>
      </c>
      <c r="B29" s="75"/>
      <c r="C29" s="75"/>
      <c r="D29" s="75"/>
      <c r="E29" s="58" t="s">
        <v>296</v>
      </c>
      <c r="F29" s="58" t="s">
        <v>225</v>
      </c>
      <c r="G29" s="58" t="s">
        <v>297</v>
      </c>
      <c r="H29" s="58" t="s">
        <v>298</v>
      </c>
      <c r="I29" s="58" t="s">
        <v>202</v>
      </c>
      <c r="J29" s="58" t="s">
        <v>299</v>
      </c>
      <c r="K29" s="76"/>
      <c r="L29" s="58"/>
      <c r="M29" s="58"/>
      <c r="N29" s="58"/>
      <c r="O29" s="58"/>
      <c r="P29" s="58"/>
      <c r="Q29" s="58"/>
      <c r="R29" s="58"/>
      <c r="S29" s="58"/>
      <c r="T29" s="58"/>
      <c r="U29" s="58"/>
      <c r="V29" s="58"/>
      <c r="W29" s="77" t="s">
        <v>300</v>
      </c>
      <c r="X29" s="58" t="s">
        <v>208</v>
      </c>
      <c r="Y29" s="52"/>
      <c r="Z29" s="52"/>
      <c r="AA29" s="52"/>
      <c r="AB29" s="52"/>
      <c r="AC29" s="52"/>
    </row>
    <row r="30" ht="48.600000000000001" customHeight="1">
      <c r="A30" s="73">
        <v>18</v>
      </c>
      <c r="B30" s="75"/>
      <c r="C30" s="75"/>
      <c r="D30" s="78"/>
      <c r="E30" s="58" t="s">
        <v>301</v>
      </c>
      <c r="F30" s="58" t="s">
        <v>225</v>
      </c>
      <c r="G30" s="58" t="s">
        <v>302</v>
      </c>
      <c r="H30" s="58" t="s">
        <v>303</v>
      </c>
      <c r="I30" s="58" t="s">
        <v>202</v>
      </c>
      <c r="J30" s="58" t="s">
        <v>304</v>
      </c>
      <c r="K30" s="76"/>
      <c r="L30" s="58"/>
      <c r="M30" s="58"/>
      <c r="N30" s="58"/>
      <c r="O30" s="58"/>
      <c r="P30" s="58"/>
      <c r="Q30" s="58"/>
      <c r="R30" s="58"/>
      <c r="S30" s="58"/>
      <c r="T30" s="58"/>
      <c r="U30" s="58"/>
      <c r="V30" s="58"/>
      <c r="W30" s="77" t="s">
        <v>305</v>
      </c>
      <c r="X30" s="58" t="s">
        <v>208</v>
      </c>
      <c r="Y30" s="52"/>
      <c r="Z30" s="52"/>
      <c r="AA30" s="52"/>
      <c r="AB30" s="52"/>
      <c r="AC30" s="52"/>
    </row>
    <row r="31" ht="62.100000000000001" customHeight="1">
      <c r="A31" s="73">
        <v>19</v>
      </c>
      <c r="B31" s="75"/>
      <c r="C31" s="75"/>
      <c r="D31" s="58" t="s">
        <v>306</v>
      </c>
      <c r="E31" s="58" t="s">
        <v>307</v>
      </c>
      <c r="F31" s="58" t="s">
        <v>203</v>
      </c>
      <c r="G31" s="58" t="s">
        <v>308</v>
      </c>
      <c r="H31" s="58" t="s">
        <v>309</v>
      </c>
      <c r="I31" s="58" t="s">
        <v>202</v>
      </c>
      <c r="J31" s="58" t="s">
        <v>310</v>
      </c>
      <c r="K31" s="74" t="s">
        <v>311</v>
      </c>
      <c r="L31" s="58"/>
      <c r="M31" s="58"/>
      <c r="N31" s="58"/>
      <c r="O31" s="58"/>
      <c r="P31" s="58"/>
      <c r="Q31" s="58"/>
      <c r="R31" s="58"/>
      <c r="S31" s="58"/>
      <c r="T31" s="58"/>
      <c r="U31" s="58"/>
      <c r="V31" s="58"/>
      <c r="W31" s="77" t="s">
        <v>312</v>
      </c>
      <c r="X31" s="58" t="s">
        <v>208</v>
      </c>
      <c r="Y31" s="52"/>
      <c r="Z31" s="52"/>
      <c r="AA31" s="52"/>
      <c r="AB31" s="52"/>
      <c r="AC31" s="52"/>
    </row>
    <row r="32" ht="62.100000000000001" customHeight="1">
      <c r="A32" s="73">
        <v>20</v>
      </c>
      <c r="B32" s="75"/>
      <c r="C32" s="78"/>
      <c r="D32" s="78"/>
      <c r="E32" s="58" t="s">
        <v>313</v>
      </c>
      <c r="F32" s="58" t="s">
        <v>203</v>
      </c>
      <c r="G32" s="58" t="s">
        <v>314</v>
      </c>
      <c r="H32" s="58" t="s">
        <v>315</v>
      </c>
      <c r="I32" s="58" t="s">
        <v>202</v>
      </c>
      <c r="J32" s="58" t="s">
        <v>316</v>
      </c>
      <c r="K32" s="74" t="s">
        <v>311</v>
      </c>
      <c r="L32" s="58"/>
      <c r="M32" s="58"/>
      <c r="N32" s="58"/>
      <c r="O32" s="58"/>
      <c r="P32" s="58"/>
      <c r="Q32" s="58"/>
      <c r="R32" s="58"/>
      <c r="S32" s="58"/>
      <c r="T32" s="58"/>
      <c r="U32" s="58"/>
      <c r="V32" s="58"/>
      <c r="W32" s="77" t="s">
        <v>317</v>
      </c>
      <c r="X32" s="58" t="s">
        <v>208</v>
      </c>
      <c r="Y32" s="52"/>
      <c r="Z32" s="52"/>
      <c r="AA32" s="52"/>
      <c r="AB32" s="52"/>
      <c r="AC32" s="52"/>
    </row>
    <row r="33" ht="48.600000000000001" customHeight="1">
      <c r="A33" s="73">
        <v>21</v>
      </c>
      <c r="B33" s="75"/>
      <c r="C33" s="58" t="s">
        <v>84</v>
      </c>
      <c r="D33" s="58" t="s">
        <v>268</v>
      </c>
      <c r="E33" s="58" t="s">
        <v>269</v>
      </c>
      <c r="F33" s="58" t="s">
        <v>203</v>
      </c>
      <c r="G33" s="58" t="s">
        <v>318</v>
      </c>
      <c r="H33" s="58" t="s">
        <v>319</v>
      </c>
      <c r="I33" s="58" t="s">
        <v>202</v>
      </c>
      <c r="J33" s="58" t="s">
        <v>320</v>
      </c>
      <c r="K33" s="74" t="s">
        <v>321</v>
      </c>
      <c r="L33" s="58"/>
      <c r="M33" s="58"/>
      <c r="N33" s="58"/>
      <c r="O33" s="58"/>
      <c r="P33" s="58"/>
      <c r="Q33" s="58"/>
      <c r="R33" s="58"/>
      <c r="S33" s="58"/>
      <c r="T33" s="58"/>
      <c r="U33" s="58"/>
      <c r="V33" s="58"/>
      <c r="W33" s="58"/>
      <c r="X33" s="58" t="s">
        <v>208</v>
      </c>
      <c r="Y33" s="52"/>
      <c r="Z33" s="52"/>
      <c r="AA33" s="52"/>
      <c r="AB33" s="52"/>
      <c r="AC33" s="52"/>
    </row>
    <row r="34" ht="35.100000000000001" customHeight="1">
      <c r="A34" s="73">
        <v>22</v>
      </c>
      <c r="B34" s="75"/>
      <c r="C34" s="75"/>
      <c r="D34" s="75"/>
      <c r="E34" s="58" t="s">
        <v>322</v>
      </c>
      <c r="F34" s="58" t="s">
        <v>203</v>
      </c>
      <c r="G34" s="58" t="s">
        <v>323</v>
      </c>
      <c r="H34" s="58" t="s">
        <v>324</v>
      </c>
      <c r="I34" s="58" t="s">
        <v>202</v>
      </c>
      <c r="J34" s="58" t="s">
        <v>325</v>
      </c>
      <c r="K34" s="74" t="s">
        <v>326</v>
      </c>
      <c r="L34" s="58"/>
      <c r="M34" s="58"/>
      <c r="N34" s="58"/>
      <c r="O34" s="58"/>
      <c r="P34" s="58"/>
      <c r="Q34" s="58"/>
      <c r="R34" s="58"/>
      <c r="S34" s="58"/>
      <c r="T34" s="58"/>
      <c r="U34" s="58"/>
      <c r="V34" s="58"/>
      <c r="W34" s="58"/>
      <c r="X34" s="58" t="s">
        <v>208</v>
      </c>
      <c r="Y34" s="52"/>
      <c r="Z34" s="52"/>
      <c r="AA34" s="52"/>
      <c r="AB34" s="52"/>
      <c r="AC34" s="52"/>
    </row>
    <row r="35" ht="35.100000000000001" customHeight="1">
      <c r="A35" s="73">
        <v>23</v>
      </c>
      <c r="B35" s="75"/>
      <c r="C35" s="75"/>
      <c r="D35" s="78"/>
      <c r="E35" s="58" t="s">
        <v>327</v>
      </c>
      <c r="F35" s="58" t="s">
        <v>210</v>
      </c>
      <c r="G35" s="58" t="s">
        <v>328</v>
      </c>
      <c r="H35" s="58" t="s">
        <v>329</v>
      </c>
      <c r="I35" s="58" t="s">
        <v>202</v>
      </c>
      <c r="J35" s="58" t="s">
        <v>330</v>
      </c>
      <c r="K35" s="76"/>
      <c r="L35" s="58"/>
      <c r="M35" s="58"/>
      <c r="N35" s="58"/>
      <c r="O35" s="58"/>
      <c r="P35" s="58"/>
      <c r="Q35" s="58"/>
      <c r="R35" s="58"/>
      <c r="S35" s="58"/>
      <c r="T35" s="58"/>
      <c r="U35" s="58"/>
      <c r="V35" s="58"/>
      <c r="W35" s="77" t="s">
        <v>331</v>
      </c>
      <c r="X35" s="58" t="s">
        <v>208</v>
      </c>
      <c r="Y35" s="52"/>
      <c r="Z35" s="52"/>
      <c r="AA35" s="52"/>
      <c r="AB35" s="52"/>
      <c r="AC35" s="52"/>
    </row>
    <row r="36" ht="35.100000000000001" customHeight="1">
      <c r="A36" s="73">
        <v>24</v>
      </c>
      <c r="B36" s="75"/>
      <c r="C36" s="75"/>
      <c r="D36" s="58" t="s">
        <v>279</v>
      </c>
      <c r="E36" s="58" t="s">
        <v>285</v>
      </c>
      <c r="F36" s="58" t="s">
        <v>210</v>
      </c>
      <c r="G36" s="58" t="s">
        <v>332</v>
      </c>
      <c r="H36" s="58" t="s">
        <v>287</v>
      </c>
      <c r="I36" s="58" t="s">
        <v>202</v>
      </c>
      <c r="J36" s="58" t="s">
        <v>288</v>
      </c>
      <c r="K36" s="76"/>
      <c r="L36" s="58"/>
      <c r="M36" s="58"/>
      <c r="N36" s="58"/>
      <c r="O36" s="58"/>
      <c r="P36" s="58"/>
      <c r="Q36" s="58"/>
      <c r="R36" s="58"/>
      <c r="S36" s="58"/>
      <c r="T36" s="58"/>
      <c r="U36" s="58"/>
      <c r="V36" s="58"/>
      <c r="W36" s="77" t="s">
        <v>333</v>
      </c>
      <c r="X36" s="58" t="s">
        <v>208</v>
      </c>
      <c r="Y36" s="52"/>
      <c r="Z36" s="52"/>
      <c r="AA36" s="52"/>
      <c r="AB36" s="52"/>
      <c r="AC36" s="52"/>
    </row>
    <row r="37" ht="35.100000000000001" customHeight="1">
      <c r="A37" s="73">
        <v>25</v>
      </c>
      <c r="B37" s="75"/>
      <c r="C37" s="75"/>
      <c r="D37" s="78"/>
      <c r="E37" s="58" t="s">
        <v>334</v>
      </c>
      <c r="F37" s="58" t="s">
        <v>225</v>
      </c>
      <c r="G37" s="58" t="s">
        <v>335</v>
      </c>
      <c r="H37" s="58" t="s">
        <v>336</v>
      </c>
      <c r="I37" s="58" t="s">
        <v>202</v>
      </c>
      <c r="J37" s="58" t="s">
        <v>337</v>
      </c>
      <c r="K37" s="74" t="s">
        <v>338</v>
      </c>
      <c r="L37" s="58"/>
      <c r="M37" s="58"/>
      <c r="N37" s="58"/>
      <c r="O37" s="58"/>
      <c r="P37" s="58"/>
      <c r="Q37" s="58"/>
      <c r="R37" s="58"/>
      <c r="S37" s="58"/>
      <c r="T37" s="58"/>
      <c r="U37" s="58"/>
      <c r="V37" s="58"/>
      <c r="W37" s="58"/>
      <c r="X37" s="58" t="s">
        <v>208</v>
      </c>
      <c r="Y37" s="52"/>
      <c r="Z37" s="52"/>
      <c r="AA37" s="52"/>
      <c r="AB37" s="52"/>
      <c r="AC37" s="52"/>
    </row>
    <row r="38" ht="62.100000000000001" customHeight="1">
      <c r="A38" s="73">
        <v>26</v>
      </c>
      <c r="B38" s="75"/>
      <c r="C38" s="75"/>
      <c r="D38" s="58" t="s">
        <v>306</v>
      </c>
      <c r="E38" s="58" t="s">
        <v>307</v>
      </c>
      <c r="F38" s="58" t="s">
        <v>203</v>
      </c>
      <c r="G38" s="58" t="s">
        <v>339</v>
      </c>
      <c r="H38" s="58" t="s">
        <v>340</v>
      </c>
      <c r="I38" s="58" t="s">
        <v>202</v>
      </c>
      <c r="J38" s="58" t="s">
        <v>341</v>
      </c>
      <c r="K38" s="74" t="s">
        <v>342</v>
      </c>
      <c r="L38" s="58"/>
      <c r="M38" s="58"/>
      <c r="N38" s="58"/>
      <c r="O38" s="58"/>
      <c r="P38" s="58"/>
      <c r="Q38" s="58"/>
      <c r="R38" s="58"/>
      <c r="S38" s="58"/>
      <c r="T38" s="58"/>
      <c r="U38" s="58"/>
      <c r="V38" s="58"/>
      <c r="W38" s="77" t="s">
        <v>312</v>
      </c>
      <c r="X38" s="58" t="s">
        <v>208</v>
      </c>
      <c r="Y38" s="52"/>
      <c r="Z38" s="52"/>
      <c r="AA38" s="52"/>
      <c r="AB38" s="52"/>
      <c r="AC38" s="52"/>
    </row>
    <row r="39" ht="48.600000000000001" customHeight="1">
      <c r="A39" s="73">
        <v>27</v>
      </c>
      <c r="B39" s="75"/>
      <c r="C39" s="78"/>
      <c r="D39" s="78"/>
      <c r="E39" s="58" t="s">
        <v>343</v>
      </c>
      <c r="F39" s="58" t="s">
        <v>203</v>
      </c>
      <c r="G39" s="58" t="s">
        <v>344</v>
      </c>
      <c r="H39" s="58" t="s">
        <v>345</v>
      </c>
      <c r="I39" s="58" t="s">
        <v>202</v>
      </c>
      <c r="J39" s="58" t="s">
        <v>346</v>
      </c>
      <c r="K39" s="74" t="s">
        <v>347</v>
      </c>
      <c r="L39" s="58"/>
      <c r="M39" s="58"/>
      <c r="N39" s="58"/>
      <c r="O39" s="58"/>
      <c r="P39" s="58"/>
      <c r="Q39" s="58"/>
      <c r="R39" s="58"/>
      <c r="S39" s="58"/>
      <c r="T39" s="58"/>
      <c r="U39" s="58"/>
      <c r="V39" s="58"/>
      <c r="W39" s="77" t="s">
        <v>312</v>
      </c>
      <c r="X39" s="58" t="s">
        <v>208</v>
      </c>
      <c r="Y39" s="52"/>
      <c r="Z39" s="52"/>
      <c r="AA39" s="52"/>
      <c r="AB39" s="52"/>
      <c r="AC39" s="52"/>
    </row>
    <row r="40" ht="35.100000000000001" customHeight="1">
      <c r="A40" s="73">
        <v>28</v>
      </c>
      <c r="B40" s="75"/>
      <c r="C40" s="58" t="s">
        <v>85</v>
      </c>
      <c r="D40" s="58" t="s">
        <v>348</v>
      </c>
      <c r="E40" s="58" t="s">
        <v>269</v>
      </c>
      <c r="F40" s="58" t="s">
        <v>210</v>
      </c>
      <c r="G40" s="58" t="s">
        <v>349</v>
      </c>
      <c r="H40" s="58" t="s">
        <v>350</v>
      </c>
      <c r="I40" s="58" t="s">
        <v>202</v>
      </c>
      <c r="J40" s="58" t="s">
        <v>351</v>
      </c>
      <c r="K40" s="74" t="s">
        <v>352</v>
      </c>
      <c r="L40" s="58"/>
      <c r="M40" s="58"/>
      <c r="N40" s="58"/>
      <c r="O40" s="58"/>
      <c r="P40" s="58"/>
      <c r="Q40" s="58"/>
      <c r="R40" s="58"/>
      <c r="S40" s="58"/>
      <c r="T40" s="58"/>
      <c r="U40" s="58"/>
      <c r="V40" s="58"/>
      <c r="W40" s="58"/>
      <c r="X40" s="58" t="s">
        <v>208</v>
      </c>
      <c r="Y40" s="52"/>
      <c r="Z40" s="52"/>
      <c r="AA40" s="52"/>
      <c r="AB40" s="52"/>
      <c r="AC40" s="52"/>
    </row>
    <row r="41" ht="48.600000000000001" customHeight="1">
      <c r="A41" s="73">
        <v>29</v>
      </c>
      <c r="B41" s="75"/>
      <c r="C41" s="75"/>
      <c r="D41" s="78"/>
      <c r="E41" s="58" t="s">
        <v>353</v>
      </c>
      <c r="F41" s="58" t="s">
        <v>225</v>
      </c>
      <c r="G41" s="58" t="s">
        <v>354</v>
      </c>
      <c r="H41" s="58" t="s">
        <v>355</v>
      </c>
      <c r="I41" s="58" t="s">
        <v>202</v>
      </c>
      <c r="J41" s="58" t="s">
        <v>356</v>
      </c>
      <c r="K41" s="74" t="s">
        <v>357</v>
      </c>
      <c r="L41" s="58"/>
      <c r="M41" s="58"/>
      <c r="N41" s="58"/>
      <c r="O41" s="58"/>
      <c r="P41" s="58"/>
      <c r="Q41" s="58"/>
      <c r="R41" s="58"/>
      <c r="S41" s="58"/>
      <c r="T41" s="58"/>
      <c r="U41" s="58"/>
      <c r="V41" s="58"/>
      <c r="W41" s="58"/>
      <c r="X41" s="58" t="s">
        <v>208</v>
      </c>
      <c r="Y41" s="52"/>
      <c r="Z41" s="52"/>
      <c r="AA41" s="52"/>
      <c r="AB41" s="52"/>
      <c r="AC41" s="52"/>
    </row>
    <row r="42" ht="62.100000000000001" customHeight="1">
      <c r="A42" s="73">
        <v>30</v>
      </c>
      <c r="B42" s="75"/>
      <c r="C42" s="75"/>
      <c r="D42" s="58" t="s">
        <v>358</v>
      </c>
      <c r="E42" s="58" t="s">
        <v>359</v>
      </c>
      <c r="F42" s="58" t="s">
        <v>210</v>
      </c>
      <c r="G42" s="58" t="s">
        <v>360</v>
      </c>
      <c r="H42" s="58" t="s">
        <v>361</v>
      </c>
      <c r="I42" s="58" t="s">
        <v>202</v>
      </c>
      <c r="J42" s="58" t="s">
        <v>362</v>
      </c>
      <c r="K42" s="76"/>
      <c r="L42" s="58"/>
      <c r="M42" s="58"/>
      <c r="N42" s="58"/>
      <c r="O42" s="58"/>
      <c r="P42" s="58"/>
      <c r="Q42" s="58"/>
      <c r="R42" s="58"/>
      <c r="S42" s="58"/>
      <c r="T42" s="58"/>
      <c r="U42" s="58"/>
      <c r="V42" s="58"/>
      <c r="W42" s="77" t="s">
        <v>363</v>
      </c>
      <c r="X42" s="58" t="s">
        <v>208</v>
      </c>
      <c r="Y42" s="52"/>
      <c r="Z42" s="52"/>
      <c r="AA42" s="52"/>
      <c r="AB42" s="52"/>
      <c r="AC42" s="52"/>
    </row>
    <row r="43" ht="62.100000000000001" customHeight="1">
      <c r="A43" s="73">
        <v>31</v>
      </c>
      <c r="B43" s="75"/>
      <c r="C43" s="78"/>
      <c r="D43" s="78"/>
      <c r="E43" s="58" t="s">
        <v>364</v>
      </c>
      <c r="F43" s="58" t="s">
        <v>210</v>
      </c>
      <c r="G43" s="58" t="s">
        <v>365</v>
      </c>
      <c r="H43" s="58" t="s">
        <v>366</v>
      </c>
      <c r="I43" s="58" t="s">
        <v>202</v>
      </c>
      <c r="J43" s="58" t="s">
        <v>367</v>
      </c>
      <c r="K43" s="76"/>
      <c r="L43" s="58"/>
      <c r="M43" s="58"/>
      <c r="N43" s="58"/>
      <c r="O43" s="58"/>
      <c r="P43" s="58"/>
      <c r="Q43" s="58"/>
      <c r="R43" s="58"/>
      <c r="S43" s="58"/>
      <c r="T43" s="58"/>
      <c r="U43" s="58"/>
      <c r="V43" s="58"/>
      <c r="W43" s="77" t="s">
        <v>368</v>
      </c>
      <c r="X43" s="58" t="s">
        <v>208</v>
      </c>
      <c r="Y43" s="52"/>
      <c r="Z43" s="52"/>
      <c r="AA43" s="52"/>
      <c r="AB43" s="52"/>
      <c r="AC43" s="52"/>
    </row>
    <row r="44" ht="62.100000000000001" customHeight="1">
      <c r="A44" s="73">
        <v>32</v>
      </c>
      <c r="B44" s="75"/>
      <c r="C44" s="58" t="s">
        <v>86</v>
      </c>
      <c r="D44" s="58" t="s">
        <v>369</v>
      </c>
      <c r="E44" s="58" t="s">
        <v>370</v>
      </c>
      <c r="F44" s="58" t="s">
        <v>203</v>
      </c>
      <c r="G44" s="58" t="s">
        <v>371</v>
      </c>
      <c r="H44" s="58" t="s">
        <v>372</v>
      </c>
      <c r="I44" s="58" t="s">
        <v>373</v>
      </c>
      <c r="J44" s="58" t="s">
        <v>374</v>
      </c>
      <c r="K44" s="74" t="s">
        <v>375</v>
      </c>
      <c r="L44" s="58"/>
      <c r="M44" s="58"/>
      <c r="N44" s="58"/>
      <c r="O44" s="58"/>
      <c r="P44" s="58"/>
      <c r="Q44" s="58"/>
      <c r="R44" s="58"/>
      <c r="S44" s="58"/>
      <c r="T44" s="58"/>
      <c r="U44" s="58"/>
      <c r="V44" s="58"/>
      <c r="W44" s="58"/>
      <c r="X44" s="58" t="s">
        <v>208</v>
      </c>
      <c r="Y44" s="52"/>
      <c r="Z44" s="52"/>
      <c r="AA44" s="52"/>
      <c r="AB44" s="52"/>
      <c r="AC44" s="52"/>
    </row>
    <row r="45" ht="62.100000000000001" customHeight="1">
      <c r="A45" s="73">
        <v>33</v>
      </c>
      <c r="B45" s="75"/>
      <c r="C45" s="75"/>
      <c r="D45" s="75"/>
      <c r="E45" s="58" t="s">
        <v>376</v>
      </c>
      <c r="F45" s="58" t="s">
        <v>203</v>
      </c>
      <c r="G45" s="58" t="s">
        <v>377</v>
      </c>
      <c r="H45" s="58" t="s">
        <v>378</v>
      </c>
      <c r="I45" s="58" t="s">
        <v>373</v>
      </c>
      <c r="J45" s="58" t="s">
        <v>379</v>
      </c>
      <c r="K45" s="74" t="s">
        <v>380</v>
      </c>
      <c r="L45" s="58"/>
      <c r="M45" s="58"/>
      <c r="N45" s="58"/>
      <c r="O45" s="58"/>
      <c r="P45" s="58"/>
      <c r="Q45" s="58"/>
      <c r="R45" s="58"/>
      <c r="S45" s="58"/>
      <c r="T45" s="58"/>
      <c r="U45" s="58"/>
      <c r="V45" s="58"/>
      <c r="W45" s="77" t="s">
        <v>381</v>
      </c>
      <c r="X45" s="58" t="s">
        <v>208</v>
      </c>
      <c r="Y45" s="52"/>
      <c r="Z45" s="52"/>
      <c r="AA45" s="52"/>
      <c r="AB45" s="52"/>
      <c r="AC45" s="52"/>
    </row>
    <row r="46" ht="48.600000000000001" customHeight="1">
      <c r="A46" s="73">
        <v>34</v>
      </c>
      <c r="B46" s="75"/>
      <c r="C46" s="75"/>
      <c r="D46" s="75"/>
      <c r="E46" s="58" t="s">
        <v>382</v>
      </c>
      <c r="F46" s="58" t="s">
        <v>225</v>
      </c>
      <c r="G46" s="58" t="s">
        <v>383</v>
      </c>
      <c r="H46" s="58" t="s">
        <v>384</v>
      </c>
      <c r="I46" s="58" t="s">
        <v>373</v>
      </c>
      <c r="J46" s="58" t="s">
        <v>385</v>
      </c>
      <c r="K46" s="74" t="s">
        <v>386</v>
      </c>
      <c r="L46" s="58"/>
      <c r="M46" s="58"/>
      <c r="N46" s="58"/>
      <c r="O46" s="58"/>
      <c r="P46" s="58"/>
      <c r="Q46" s="58"/>
      <c r="R46" s="58"/>
      <c r="S46" s="58"/>
      <c r="T46" s="58"/>
      <c r="U46" s="58"/>
      <c r="V46" s="58"/>
      <c r="W46" s="58"/>
      <c r="X46" s="58" t="s">
        <v>208</v>
      </c>
      <c r="Y46" s="52"/>
      <c r="Z46" s="52"/>
      <c r="AA46" s="52"/>
      <c r="AB46" s="52"/>
      <c r="AC46" s="52"/>
    </row>
    <row r="47" ht="48.600000000000001" customHeight="1">
      <c r="A47" s="73">
        <v>35</v>
      </c>
      <c r="B47" s="75"/>
      <c r="C47" s="75"/>
      <c r="D47" s="78"/>
      <c r="E47" s="58" t="s">
        <v>387</v>
      </c>
      <c r="F47" s="58" t="s">
        <v>210</v>
      </c>
      <c r="G47" s="58" t="s">
        <v>388</v>
      </c>
      <c r="H47" s="58" t="s">
        <v>389</v>
      </c>
      <c r="I47" s="58" t="s">
        <v>390</v>
      </c>
      <c r="J47" s="58" t="s">
        <v>391</v>
      </c>
      <c r="K47" s="74" t="s">
        <v>392</v>
      </c>
      <c r="L47" s="58"/>
      <c r="M47" s="58"/>
      <c r="N47" s="58"/>
      <c r="O47" s="58"/>
      <c r="P47" s="58"/>
      <c r="Q47" s="58"/>
      <c r="R47" s="58"/>
      <c r="S47" s="58"/>
      <c r="T47" s="58"/>
      <c r="U47" s="58"/>
      <c r="V47" s="58"/>
      <c r="W47" s="58"/>
      <c r="X47" s="58" t="s">
        <v>222</v>
      </c>
      <c r="Y47" s="52"/>
      <c r="Z47" s="52"/>
      <c r="AA47" s="52"/>
      <c r="AB47" s="52"/>
      <c r="AC47" s="52"/>
    </row>
    <row r="48" ht="62.100000000000001" customHeight="1">
      <c r="A48" s="73">
        <v>36</v>
      </c>
      <c r="B48" s="75"/>
      <c r="C48" s="75"/>
      <c r="D48" s="58" t="s">
        <v>393</v>
      </c>
      <c r="E48" s="58" t="s">
        <v>394</v>
      </c>
      <c r="F48" s="58" t="s">
        <v>203</v>
      </c>
      <c r="G48" s="58" t="s">
        <v>395</v>
      </c>
      <c r="H48" s="58" t="s">
        <v>396</v>
      </c>
      <c r="I48" s="58" t="s">
        <v>373</v>
      </c>
      <c r="J48" s="58" t="s">
        <v>397</v>
      </c>
      <c r="K48" s="74" t="s">
        <v>398</v>
      </c>
      <c r="L48" s="58"/>
      <c r="M48" s="58"/>
      <c r="N48" s="58"/>
      <c r="O48" s="58"/>
      <c r="P48" s="58"/>
      <c r="Q48" s="58"/>
      <c r="R48" s="58"/>
      <c r="S48" s="58"/>
      <c r="T48" s="58"/>
      <c r="U48" s="58"/>
      <c r="V48" s="58"/>
      <c r="W48" s="77" t="s">
        <v>399</v>
      </c>
      <c r="X48" s="58" t="s">
        <v>208</v>
      </c>
      <c r="Y48" s="52"/>
      <c r="Z48" s="52"/>
      <c r="AA48" s="52"/>
      <c r="AB48" s="52"/>
      <c r="AC48" s="52"/>
    </row>
    <row r="49" ht="62.100000000000001" customHeight="1">
      <c r="A49" s="73">
        <v>37</v>
      </c>
      <c r="B49" s="75"/>
      <c r="C49" s="75"/>
      <c r="D49" s="75"/>
      <c r="E49" s="58" t="s">
        <v>400</v>
      </c>
      <c r="F49" s="58" t="s">
        <v>203</v>
      </c>
      <c r="G49" s="58" t="s">
        <v>401</v>
      </c>
      <c r="H49" s="58" t="s">
        <v>402</v>
      </c>
      <c r="I49" s="58" t="s">
        <v>202</v>
      </c>
      <c r="J49" s="58" t="s">
        <v>403</v>
      </c>
      <c r="K49" s="74" t="s">
        <v>404</v>
      </c>
      <c r="L49" s="58"/>
      <c r="M49" s="58"/>
      <c r="N49" s="58"/>
      <c r="O49" s="58"/>
      <c r="P49" s="58"/>
      <c r="Q49" s="58"/>
      <c r="R49" s="58"/>
      <c r="S49" s="58"/>
      <c r="T49" s="58"/>
      <c r="U49" s="58"/>
      <c r="V49" s="58"/>
      <c r="W49" s="77" t="s">
        <v>405</v>
      </c>
      <c r="X49" s="58" t="s">
        <v>208</v>
      </c>
      <c r="Y49" s="52"/>
      <c r="Z49" s="52"/>
      <c r="AA49" s="52"/>
      <c r="AB49" s="52"/>
      <c r="AC49" s="52"/>
    </row>
    <row r="50" ht="62.100000000000001" customHeight="1">
      <c r="A50" s="73">
        <v>38</v>
      </c>
      <c r="B50" s="75"/>
      <c r="C50" s="75"/>
      <c r="D50" s="75"/>
      <c r="E50" s="58" t="s">
        <v>406</v>
      </c>
      <c r="F50" s="58" t="s">
        <v>203</v>
      </c>
      <c r="G50" s="58" t="s">
        <v>407</v>
      </c>
      <c r="H50" s="58" t="s">
        <v>408</v>
      </c>
      <c r="I50" s="58" t="s">
        <v>409</v>
      </c>
      <c r="J50" s="58" t="s">
        <v>410</v>
      </c>
      <c r="K50" s="74" t="s">
        <v>411</v>
      </c>
      <c r="L50" s="58"/>
      <c r="M50" s="58"/>
      <c r="N50" s="58"/>
      <c r="O50" s="58"/>
      <c r="P50" s="58"/>
      <c r="Q50" s="58"/>
      <c r="R50" s="58"/>
      <c r="S50" s="58"/>
      <c r="T50" s="58"/>
      <c r="U50" s="58"/>
      <c r="V50" s="58"/>
      <c r="W50" s="77" t="s">
        <v>412</v>
      </c>
      <c r="X50" s="58" t="s">
        <v>413</v>
      </c>
      <c r="Y50" s="52"/>
      <c r="Z50" s="52"/>
      <c r="AA50" s="52"/>
      <c r="AB50" s="52"/>
      <c r="AC50" s="52"/>
    </row>
    <row r="51" ht="62.100000000000001" customHeight="1">
      <c r="A51" s="73">
        <v>39</v>
      </c>
      <c r="B51" s="75"/>
      <c r="C51" s="75"/>
      <c r="D51" s="75"/>
      <c r="E51" s="58" t="s">
        <v>414</v>
      </c>
      <c r="F51" s="58" t="s">
        <v>203</v>
      </c>
      <c r="G51" s="58" t="s">
        <v>415</v>
      </c>
      <c r="H51" s="58" t="s">
        <v>416</v>
      </c>
      <c r="I51" s="58" t="s">
        <v>417</v>
      </c>
      <c r="J51" s="58" t="s">
        <v>418</v>
      </c>
      <c r="K51" s="74" t="s">
        <v>411</v>
      </c>
      <c r="L51" s="58"/>
      <c r="M51" s="58"/>
      <c r="N51" s="58"/>
      <c r="O51" s="58"/>
      <c r="P51" s="58"/>
      <c r="Q51" s="58"/>
      <c r="R51" s="58"/>
      <c r="S51" s="58"/>
      <c r="T51" s="58"/>
      <c r="U51" s="58"/>
      <c r="V51" s="58"/>
      <c r="W51" s="77" t="s">
        <v>419</v>
      </c>
      <c r="X51" s="58" t="s">
        <v>208</v>
      </c>
      <c r="Y51" s="52"/>
      <c r="Z51" s="52"/>
      <c r="AA51" s="52"/>
      <c r="AB51" s="52"/>
      <c r="AC51" s="52"/>
    </row>
    <row r="52" ht="48.600000000000001" customHeight="1">
      <c r="A52" s="73">
        <v>40</v>
      </c>
      <c r="B52" s="75"/>
      <c r="C52" s="75"/>
      <c r="D52" s="75"/>
      <c r="E52" s="58" t="s">
        <v>420</v>
      </c>
      <c r="F52" s="58" t="s">
        <v>203</v>
      </c>
      <c r="G52" s="58" t="s">
        <v>421</v>
      </c>
      <c r="H52" s="58" t="s">
        <v>422</v>
      </c>
      <c r="I52" s="58" t="s">
        <v>373</v>
      </c>
      <c r="J52" s="58" t="s">
        <v>423</v>
      </c>
      <c r="K52" s="76"/>
      <c r="L52" s="58"/>
      <c r="M52" s="58"/>
      <c r="N52" s="58"/>
      <c r="O52" s="58"/>
      <c r="P52" s="58"/>
      <c r="Q52" s="58"/>
      <c r="R52" s="58"/>
      <c r="S52" s="58"/>
      <c r="T52" s="58"/>
      <c r="U52" s="58"/>
      <c r="V52" s="58"/>
      <c r="W52" s="77" t="s">
        <v>424</v>
      </c>
      <c r="X52" s="58" t="s">
        <v>208</v>
      </c>
      <c r="Y52" s="52"/>
      <c r="Z52" s="52"/>
      <c r="AA52" s="52"/>
      <c r="AB52" s="52"/>
      <c r="AC52" s="52"/>
    </row>
    <row r="53" ht="62.100000000000001" customHeight="1">
      <c r="A53" s="73">
        <v>41</v>
      </c>
      <c r="B53" s="75"/>
      <c r="C53" s="78"/>
      <c r="D53" s="78"/>
      <c r="E53" s="58" t="s">
        <v>425</v>
      </c>
      <c r="F53" s="58" t="s">
        <v>210</v>
      </c>
      <c r="G53" s="58" t="s">
        <v>426</v>
      </c>
      <c r="H53" s="58" t="s">
        <v>427</v>
      </c>
      <c r="I53" s="58" t="s">
        <v>428</v>
      </c>
      <c r="J53" s="58" t="s">
        <v>429</v>
      </c>
      <c r="K53" s="74" t="s">
        <v>430</v>
      </c>
      <c r="L53" s="58"/>
      <c r="M53" s="58"/>
      <c r="N53" s="58"/>
      <c r="O53" s="58"/>
      <c r="P53" s="58"/>
      <c r="Q53" s="58"/>
      <c r="R53" s="58"/>
      <c r="S53" s="58"/>
      <c r="T53" s="58"/>
      <c r="U53" s="58"/>
      <c r="V53" s="58"/>
      <c r="W53" s="77" t="s">
        <v>431</v>
      </c>
      <c r="X53" s="58" t="s">
        <v>432</v>
      </c>
      <c r="Y53" s="52"/>
      <c r="Z53" s="52"/>
      <c r="AA53" s="52"/>
      <c r="AB53" s="52"/>
      <c r="AC53" s="52"/>
    </row>
    <row r="54" ht="48.600000000000001" customHeight="1">
      <c r="A54" s="73">
        <v>42</v>
      </c>
      <c r="B54" s="75"/>
      <c r="C54" s="58" t="s">
        <v>87</v>
      </c>
      <c r="D54" s="58" t="s">
        <v>433</v>
      </c>
      <c r="E54" s="58" t="s">
        <v>269</v>
      </c>
      <c r="F54" s="58" t="s">
        <v>210</v>
      </c>
      <c r="G54" s="58" t="s">
        <v>434</v>
      </c>
      <c r="H54" s="58" t="s">
        <v>435</v>
      </c>
      <c r="I54" s="58" t="s">
        <v>202</v>
      </c>
      <c r="J54" s="58" t="s">
        <v>436</v>
      </c>
      <c r="K54" s="76"/>
      <c r="L54" s="58"/>
      <c r="M54" s="58"/>
      <c r="N54" s="58"/>
      <c r="O54" s="58"/>
      <c r="P54" s="58"/>
      <c r="Q54" s="58"/>
      <c r="R54" s="58"/>
      <c r="S54" s="58"/>
      <c r="T54" s="58"/>
      <c r="U54" s="58"/>
      <c r="V54" s="58"/>
      <c r="W54" s="77" t="s">
        <v>437</v>
      </c>
      <c r="X54" s="58" t="s">
        <v>208</v>
      </c>
      <c r="Y54" s="52"/>
      <c r="Z54" s="52"/>
      <c r="AA54" s="52"/>
      <c r="AB54" s="52"/>
      <c r="AC54" s="52"/>
    </row>
    <row r="55" ht="62.100000000000001" customHeight="1">
      <c r="A55" s="73">
        <v>43</v>
      </c>
      <c r="B55" s="75"/>
      <c r="C55" s="75"/>
      <c r="D55" s="75"/>
      <c r="E55" s="58" t="s">
        <v>438</v>
      </c>
      <c r="F55" s="58" t="s">
        <v>210</v>
      </c>
      <c r="G55" s="58" t="s">
        <v>439</v>
      </c>
      <c r="H55" s="58" t="s">
        <v>440</v>
      </c>
      <c r="I55" s="58" t="s">
        <v>373</v>
      </c>
      <c r="J55" s="58" t="s">
        <v>441</v>
      </c>
      <c r="K55" s="76"/>
      <c r="L55" s="58"/>
      <c r="M55" s="58"/>
      <c r="N55" s="58"/>
      <c r="O55" s="58"/>
      <c r="P55" s="58"/>
      <c r="Q55" s="58"/>
      <c r="R55" s="58"/>
      <c r="S55" s="58"/>
      <c r="T55" s="58"/>
      <c r="U55" s="58"/>
      <c r="V55" s="58"/>
      <c r="W55" s="77" t="s">
        <v>442</v>
      </c>
      <c r="X55" s="58" t="s">
        <v>208</v>
      </c>
      <c r="Y55" s="52"/>
      <c r="Z55" s="52"/>
      <c r="AA55" s="52"/>
      <c r="AB55" s="52"/>
      <c r="AC55" s="52"/>
    </row>
    <row r="56" ht="48.600000000000001" customHeight="1">
      <c r="A56" s="73">
        <v>44</v>
      </c>
      <c r="B56" s="75"/>
      <c r="C56" s="78"/>
      <c r="D56" s="78"/>
      <c r="E56" s="58" t="s">
        <v>443</v>
      </c>
      <c r="F56" s="58" t="s">
        <v>210</v>
      </c>
      <c r="G56" s="58" t="s">
        <v>444</v>
      </c>
      <c r="H56" s="58" t="s">
        <v>445</v>
      </c>
      <c r="I56" s="58" t="s">
        <v>373</v>
      </c>
      <c r="J56" s="58" t="s">
        <v>446</v>
      </c>
      <c r="K56" s="74" t="s">
        <v>447</v>
      </c>
      <c r="L56" s="58"/>
      <c r="M56" s="58"/>
      <c r="N56" s="58"/>
      <c r="O56" s="58"/>
      <c r="P56" s="58"/>
      <c r="Q56" s="58"/>
      <c r="R56" s="58"/>
      <c r="S56" s="58"/>
      <c r="T56" s="58"/>
      <c r="U56" s="58"/>
      <c r="V56" s="58"/>
      <c r="W56" s="58"/>
      <c r="X56" s="58" t="s">
        <v>208</v>
      </c>
      <c r="Y56" s="52"/>
      <c r="Z56" s="52"/>
      <c r="AA56" s="52"/>
      <c r="AB56" s="52"/>
      <c r="AC56" s="52"/>
    </row>
    <row r="57" ht="48.600000000000001" customHeight="1">
      <c r="A57" s="73">
        <v>45</v>
      </c>
      <c r="B57" s="75"/>
      <c r="C57" s="58" t="s">
        <v>88</v>
      </c>
      <c r="D57" s="58" t="s">
        <v>448</v>
      </c>
      <c r="E57" s="58" t="s">
        <v>449</v>
      </c>
      <c r="F57" s="58" t="s">
        <v>210</v>
      </c>
      <c r="G57" s="58" t="s">
        <v>450</v>
      </c>
      <c r="H57" s="58" t="s">
        <v>451</v>
      </c>
      <c r="I57" s="58" t="s">
        <v>202</v>
      </c>
      <c r="J57" s="58" t="s">
        <v>452</v>
      </c>
      <c r="K57" s="74" t="s">
        <v>453</v>
      </c>
      <c r="L57" s="58"/>
      <c r="M57" s="58"/>
      <c r="N57" s="58"/>
      <c r="O57" s="58"/>
      <c r="P57" s="58"/>
      <c r="Q57" s="58"/>
      <c r="R57" s="58"/>
      <c r="S57" s="58"/>
      <c r="T57" s="58"/>
      <c r="U57" s="58"/>
      <c r="V57" s="58"/>
      <c r="W57" s="58"/>
      <c r="X57" s="58" t="s">
        <v>208</v>
      </c>
      <c r="Y57" s="52"/>
      <c r="Z57" s="52"/>
      <c r="AA57" s="52"/>
      <c r="AB57" s="52"/>
      <c r="AC57" s="52"/>
    </row>
    <row r="58" ht="35.100000000000001" customHeight="1">
      <c r="A58" s="73">
        <v>46</v>
      </c>
      <c r="B58" s="75"/>
      <c r="C58" s="75"/>
      <c r="D58" s="78"/>
      <c r="E58" s="58" t="s">
        <v>454</v>
      </c>
      <c r="F58" s="58" t="s">
        <v>210</v>
      </c>
      <c r="G58" s="58" t="s">
        <v>455</v>
      </c>
      <c r="H58" s="58" t="s">
        <v>456</v>
      </c>
      <c r="I58" s="58" t="s">
        <v>202</v>
      </c>
      <c r="J58" s="58" t="s">
        <v>457</v>
      </c>
      <c r="K58" s="76"/>
      <c r="L58" s="58"/>
      <c r="M58" s="58"/>
      <c r="N58" s="58"/>
      <c r="O58" s="58"/>
      <c r="P58" s="58"/>
      <c r="Q58" s="58"/>
      <c r="R58" s="58"/>
      <c r="S58" s="58"/>
      <c r="T58" s="58"/>
      <c r="U58" s="58"/>
      <c r="V58" s="58"/>
      <c r="W58" s="77" t="s">
        <v>458</v>
      </c>
      <c r="X58" s="58" t="s">
        <v>208</v>
      </c>
      <c r="Y58" s="52"/>
      <c r="Z58" s="52"/>
      <c r="AA58" s="52"/>
      <c r="AB58" s="52"/>
      <c r="AC58" s="52"/>
    </row>
    <row r="59" ht="48.600000000000001" customHeight="1">
      <c r="A59" s="73">
        <v>47</v>
      </c>
      <c r="B59" s="75"/>
      <c r="C59" s="78"/>
      <c r="D59" s="58" t="s">
        <v>459</v>
      </c>
      <c r="E59" s="58" t="s">
        <v>460</v>
      </c>
      <c r="F59" s="58" t="s">
        <v>203</v>
      </c>
      <c r="G59" s="58" t="s">
        <v>461</v>
      </c>
      <c r="H59" s="58" t="s">
        <v>462</v>
      </c>
      <c r="I59" s="58" t="s">
        <v>202</v>
      </c>
      <c r="J59" s="58" t="s">
        <v>463</v>
      </c>
      <c r="K59" s="76"/>
      <c r="L59" s="58"/>
      <c r="M59" s="58"/>
      <c r="N59" s="58"/>
      <c r="O59" s="58"/>
      <c r="P59" s="58"/>
      <c r="Q59" s="58"/>
      <c r="R59" s="58"/>
      <c r="S59" s="58"/>
      <c r="T59" s="58"/>
      <c r="U59" s="58"/>
      <c r="V59" s="58"/>
      <c r="W59" s="77" t="s">
        <v>464</v>
      </c>
      <c r="X59" s="58" t="s">
        <v>465</v>
      </c>
      <c r="Y59" s="52"/>
      <c r="Z59" s="52"/>
      <c r="AA59" s="52"/>
      <c r="AB59" s="52"/>
      <c r="AC59" s="52"/>
    </row>
    <row r="60" ht="62.100000000000001" customHeight="1">
      <c r="A60" s="73">
        <v>48</v>
      </c>
      <c r="B60" s="75"/>
      <c r="C60" s="58" t="s">
        <v>89</v>
      </c>
      <c r="D60" s="58" t="s">
        <v>466</v>
      </c>
      <c r="E60" s="58" t="s">
        <v>467</v>
      </c>
      <c r="F60" s="58" t="s">
        <v>203</v>
      </c>
      <c r="G60" s="58" t="s">
        <v>468</v>
      </c>
      <c r="H60" s="58" t="s">
        <v>469</v>
      </c>
      <c r="I60" s="58" t="s">
        <v>202</v>
      </c>
      <c r="J60" s="58" t="s">
        <v>470</v>
      </c>
      <c r="K60" s="74" t="s">
        <v>471</v>
      </c>
      <c r="L60" s="58"/>
      <c r="M60" s="58"/>
      <c r="N60" s="58"/>
      <c r="O60" s="58"/>
      <c r="P60" s="58"/>
      <c r="Q60" s="58"/>
      <c r="R60" s="58"/>
      <c r="S60" s="58"/>
      <c r="T60" s="58"/>
      <c r="U60" s="58"/>
      <c r="V60" s="58"/>
      <c r="W60" s="58"/>
      <c r="X60" s="58" t="s">
        <v>222</v>
      </c>
      <c r="Y60" s="52"/>
      <c r="Z60" s="52"/>
      <c r="AA60" s="52"/>
      <c r="AB60" s="52"/>
      <c r="AC60" s="52"/>
    </row>
    <row r="61" ht="62.100000000000001" customHeight="1">
      <c r="A61" s="73">
        <v>49</v>
      </c>
      <c r="B61" s="75"/>
      <c r="C61" s="75"/>
      <c r="D61" s="78"/>
      <c r="E61" s="58" t="s">
        <v>472</v>
      </c>
      <c r="F61" s="58" t="s">
        <v>203</v>
      </c>
      <c r="G61" s="58" t="s">
        <v>473</v>
      </c>
      <c r="H61" s="58" t="s">
        <v>474</v>
      </c>
      <c r="I61" s="58" t="s">
        <v>202</v>
      </c>
      <c r="J61" s="58" t="s">
        <v>475</v>
      </c>
      <c r="K61" s="74" t="s">
        <v>476</v>
      </c>
      <c r="L61" s="58"/>
      <c r="M61" s="58"/>
      <c r="N61" s="58"/>
      <c r="O61" s="58"/>
      <c r="P61" s="58"/>
      <c r="Q61" s="58"/>
      <c r="R61" s="58"/>
      <c r="S61" s="58"/>
      <c r="T61" s="58"/>
      <c r="U61" s="58"/>
      <c r="V61" s="58"/>
      <c r="W61" s="58"/>
      <c r="X61" s="58" t="s">
        <v>222</v>
      </c>
      <c r="Y61" s="52"/>
      <c r="Z61" s="52"/>
      <c r="AA61" s="52"/>
      <c r="AB61" s="52"/>
      <c r="AC61" s="52"/>
    </row>
    <row r="62" ht="48.600000000000001" customHeight="1">
      <c r="A62" s="73">
        <v>50</v>
      </c>
      <c r="B62" s="75"/>
      <c r="C62" s="75"/>
      <c r="D62" s="58" t="s">
        <v>477</v>
      </c>
      <c r="E62" s="58" t="s">
        <v>478</v>
      </c>
      <c r="F62" s="58" t="s">
        <v>203</v>
      </c>
      <c r="G62" s="58" t="s">
        <v>479</v>
      </c>
      <c r="H62" s="58" t="s">
        <v>480</v>
      </c>
      <c r="I62" s="58" t="s">
        <v>481</v>
      </c>
      <c r="J62" s="58" t="s">
        <v>482</v>
      </c>
      <c r="K62" s="74" t="s">
        <v>483</v>
      </c>
      <c r="L62" s="58"/>
      <c r="M62" s="58"/>
      <c r="N62" s="58"/>
      <c r="O62" s="58"/>
      <c r="P62" s="58"/>
      <c r="Q62" s="58"/>
      <c r="R62" s="58"/>
      <c r="S62" s="58"/>
      <c r="T62" s="58"/>
      <c r="U62" s="58"/>
      <c r="V62" s="58"/>
      <c r="W62" s="58"/>
      <c r="X62" s="58" t="s">
        <v>222</v>
      </c>
      <c r="Y62" s="52"/>
      <c r="Z62" s="52"/>
      <c r="AA62" s="52"/>
      <c r="AB62" s="52"/>
      <c r="AC62" s="52"/>
    </row>
    <row r="63" ht="33.950000000000003" customHeight="1">
      <c r="A63" s="73">
        <v>51</v>
      </c>
      <c r="B63" s="75"/>
      <c r="C63" s="75"/>
      <c r="D63" s="78"/>
      <c r="E63" s="58" t="s">
        <v>484</v>
      </c>
      <c r="F63" s="58" t="s">
        <v>203</v>
      </c>
      <c r="G63" s="58" t="s">
        <v>485</v>
      </c>
      <c r="H63" s="58" t="s">
        <v>486</v>
      </c>
      <c r="I63" s="58" t="s">
        <v>202</v>
      </c>
      <c r="J63" s="58" t="s">
        <v>487</v>
      </c>
      <c r="K63" s="74" t="s">
        <v>488</v>
      </c>
      <c r="L63" s="58"/>
      <c r="M63" s="58"/>
      <c r="N63" s="58"/>
      <c r="O63" s="58"/>
      <c r="P63" s="58"/>
      <c r="Q63" s="58"/>
      <c r="R63" s="58"/>
      <c r="S63" s="58"/>
      <c r="T63" s="58"/>
      <c r="U63" s="58"/>
      <c r="V63" s="58"/>
      <c r="W63" s="58"/>
      <c r="X63" s="58" t="s">
        <v>222</v>
      </c>
      <c r="Y63" s="52"/>
      <c r="Z63" s="52"/>
      <c r="AA63" s="52"/>
      <c r="AB63" s="52"/>
      <c r="AC63" s="52"/>
    </row>
    <row r="64" ht="62.100000000000001" customHeight="1">
      <c r="A64" s="73">
        <v>52</v>
      </c>
      <c r="B64" s="78"/>
      <c r="C64" s="78"/>
      <c r="D64" s="58" t="s">
        <v>489</v>
      </c>
      <c r="E64" s="58" t="s">
        <v>490</v>
      </c>
      <c r="F64" s="58" t="s">
        <v>210</v>
      </c>
      <c r="G64" s="58" t="s">
        <v>491</v>
      </c>
      <c r="H64" s="58" t="s">
        <v>492</v>
      </c>
      <c r="I64" s="58" t="s">
        <v>373</v>
      </c>
      <c r="J64" s="58" t="s">
        <v>493</v>
      </c>
      <c r="K64" s="74" t="s">
        <v>494</v>
      </c>
      <c r="L64" s="58"/>
      <c r="M64" s="58"/>
      <c r="N64" s="58"/>
      <c r="O64" s="58"/>
      <c r="P64" s="58"/>
      <c r="Q64" s="58"/>
      <c r="R64" s="58"/>
      <c r="S64" s="58"/>
      <c r="T64" s="58"/>
      <c r="U64" s="58"/>
      <c r="V64" s="58"/>
      <c r="W64" s="77" t="s">
        <v>495</v>
      </c>
      <c r="X64" s="58" t="s">
        <v>496</v>
      </c>
      <c r="Y64" s="52"/>
      <c r="Z64" s="52"/>
      <c r="AA64" s="52"/>
      <c r="AB64" s="52"/>
      <c r="AC64" s="52"/>
    </row>
    <row r="65" ht="61.5" customHeight="1">
      <c r="A65" s="79"/>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ht="61.5" customHeight="1">
      <c r="A66" s="79"/>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ht="61.5" customHeight="1">
      <c r="A67" s="79"/>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ht="61.5" customHeight="1">
      <c r="A68" s="79"/>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ht="61.5" customHeight="1">
      <c r="A69" s="79"/>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ht="84.75" customHeight="1">
      <c r="A70" s="79"/>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ht="74.25" customHeight="1">
      <c r="A71" s="79"/>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ht="45" customHeight="1">
      <c r="A72" s="79"/>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ht="45" customHeight="1">
      <c r="A73" s="79"/>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ht="50.25" customHeight="1">
      <c r="A74" s="79"/>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ht="45" customHeight="1">
      <c r="A75" s="79"/>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ht="45" customHeight="1">
      <c r="A76" s="79"/>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ht="61.5" customHeight="1">
      <c r="A77" s="79"/>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ht="64.5" customHeight="1">
      <c r="A78" s="79"/>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ht="94.5" customHeight="1">
      <c r="A79" s="79"/>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ht="65.25" customHeight="1">
      <c r="A80" s="79"/>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ht="65.25" customHeight="1">
      <c r="A81" s="79"/>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ht="65.25" customHeight="1">
      <c r="A82" s="79"/>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ht="65.25" customHeight="1">
      <c r="A83" s="79"/>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ht="65.25" customHeight="1">
      <c r="A84" s="79"/>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ht="65.25" customHeight="1">
      <c r="A85" s="79"/>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ht="65.25" customHeight="1">
      <c r="A86" s="79"/>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ht="84.75" customHeight="1">
      <c r="A87" s="79"/>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ht="65.25" customHeight="1">
      <c r="A88" s="79"/>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ht="65.25" customHeight="1">
      <c r="A89" s="79"/>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ht="65.25" customHeight="1">
      <c r="A90" s="79"/>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ht="65.25" customHeight="1">
      <c r="A91" s="79"/>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ht="65.25" customHeight="1">
      <c r="A92" s="79"/>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ht="90.75" customHeight="1">
      <c r="A93" s="79"/>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ht="65.25" customHeight="1">
      <c r="A94" s="79"/>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ht="65.25" customHeight="1">
      <c r="A95" s="79"/>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ht="65.25" customHeight="1">
      <c r="A96" s="79"/>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ht="65.25" customHeight="1">
      <c r="A97" s="79"/>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ht="45" customHeight="1">
      <c r="A98" s="79"/>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ht="45" customHeight="1">
      <c r="A99" s="79"/>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ht="45" customHeight="1">
      <c r="A100" s="79"/>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ht="45" customHeight="1">
      <c r="A101" s="79"/>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ht="45" customHeight="1">
      <c r="A102" s="79"/>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ht="45" customHeight="1">
      <c r="A103" s="79"/>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ht="45" customHeight="1">
      <c r="A104" s="79"/>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ht="45" customHeight="1">
      <c r="A105" s="79"/>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ht="35.25" customHeight="1">
      <c r="A106" s="79"/>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ht="35.25" customHeight="1">
      <c r="A107" s="79"/>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ht="35.25" customHeight="1">
      <c r="A108" s="79"/>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ht="35.25" customHeight="1">
      <c r="A109" s="79"/>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ht="15.75" customHeight="1">
      <c r="A110" s="79"/>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ht="15.75" customHeight="1">
      <c r="A111" s="79"/>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ht="15.75" customHeight="1">
      <c r="A112" s="79"/>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ht="15.75" customHeight="1">
      <c r="A113" s="79"/>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ht="15.75" customHeight="1">
      <c r="A114" s="79"/>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ht="15.75" customHeight="1">
      <c r="A115" s="79"/>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ht="15.75" customHeight="1">
      <c r="A116" s="79"/>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ht="15.75" customHeight="1">
      <c r="A117" s="79"/>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ht="15.75" customHeight="1">
      <c r="F118" s="1"/>
      <c r="G118" s="1"/>
    </row>
    <row r="119" ht="15.75" customHeight="1">
      <c r="F119" s="1"/>
      <c r="G119" s="1"/>
    </row>
    <row r="120" ht="15.75" customHeight="1">
      <c r="F120" s="1"/>
      <c r="G120" s="1"/>
    </row>
    <row r="121" ht="15.75" customHeight="1">
      <c r="F121" s="1"/>
      <c r="G121" s="1"/>
    </row>
    <row r="122" ht="15.75" customHeight="1">
      <c r="F122" s="1"/>
      <c r="G122" s="1"/>
    </row>
    <row r="123" ht="15.75" customHeight="1">
      <c r="F123" s="1"/>
      <c r="G123" s="1"/>
    </row>
    <row r="124" ht="15.75" customHeight="1">
      <c r="F124" s="1"/>
      <c r="G124" s="1"/>
    </row>
    <row r="125" ht="15.75" customHeight="1">
      <c r="F125" s="1"/>
      <c r="G125" s="1"/>
    </row>
    <row r="126" ht="15.75" customHeight="1">
      <c r="F126" s="1"/>
      <c r="G126" s="1"/>
    </row>
    <row r="127" ht="15.75" customHeight="1">
      <c r="F127" s="1"/>
      <c r="G127" s="1"/>
    </row>
    <row r="128" ht="15.75" customHeight="1">
      <c r="F128" s="1"/>
      <c r="G128" s="1"/>
    </row>
    <row r="129" ht="15.75" customHeight="1">
      <c r="F129" s="1"/>
      <c r="G129" s="1"/>
    </row>
    <row r="130" ht="15.75" customHeight="1">
      <c r="F130" s="1"/>
      <c r="G130" s="1"/>
    </row>
    <row r="131" ht="15.75" customHeight="1">
      <c r="F131" s="1"/>
      <c r="G131" s="1"/>
    </row>
    <row r="132" ht="15.75" customHeight="1">
      <c r="F132" s="1"/>
      <c r="G132" s="1"/>
    </row>
    <row r="133" ht="15.75" customHeight="1">
      <c r="F133" s="1"/>
      <c r="G133" s="1"/>
    </row>
    <row r="134" ht="15.75" customHeight="1">
      <c r="F134" s="1"/>
      <c r="G134" s="1"/>
    </row>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mergeCells count="55">
    <mergeCell ref="X11:X12"/>
    <mergeCell ref="I11:I12"/>
    <mergeCell ref="G11:G12"/>
    <mergeCell ref="D40:D41"/>
    <mergeCell ref="W11:W12"/>
    <mergeCell ref="C54:C56"/>
    <mergeCell ref="D26:D30"/>
    <mergeCell ref="C44:C53"/>
    <mergeCell ref="T11:T12"/>
    <mergeCell ref="O11:O12"/>
    <mergeCell ref="Q11:Q12"/>
    <mergeCell ref="C33:C39"/>
    <mergeCell ref="D17:D19"/>
    <mergeCell ref="D42:D43"/>
    <mergeCell ref="F11:F12"/>
    <mergeCell ref="L11:L12"/>
    <mergeCell ref="C24:C32"/>
    <mergeCell ref="N11:N12"/>
    <mergeCell ref="D38:D39"/>
    <mergeCell ref="D13:D15"/>
    <mergeCell ref="K2:S2"/>
    <mergeCell ref="K11:K12"/>
    <mergeCell ref="D57:D58"/>
    <mergeCell ref="D48:D53"/>
    <mergeCell ref="C16:C19"/>
    <mergeCell ref="L4:L5"/>
    <mergeCell ref="M10:Q10"/>
    <mergeCell ref="C40:C43"/>
    <mergeCell ref="D24:D25"/>
    <mergeCell ref="K4:K5"/>
    <mergeCell ref="L6:L7"/>
    <mergeCell ref="D20:D23"/>
    <mergeCell ref="D31:D32"/>
    <mergeCell ref="K6:K7"/>
    <mergeCell ref="R11:R12"/>
    <mergeCell ref="C60:C64"/>
    <mergeCell ref="R10:V10"/>
    <mergeCell ref="D33:D35"/>
    <mergeCell ref="D36:D37"/>
    <mergeCell ref="H11:H12"/>
    <mergeCell ref="J11:J12"/>
    <mergeCell ref="P11:P12"/>
    <mergeCell ref="C13:C15"/>
    <mergeCell ref="D54:D56"/>
    <mergeCell ref="V11:V12"/>
    <mergeCell ref="D62:D63"/>
    <mergeCell ref="D60:D61"/>
    <mergeCell ref="S11:S12"/>
    <mergeCell ref="B11:D11"/>
    <mergeCell ref="D44:D47"/>
    <mergeCell ref="U11:U12"/>
    <mergeCell ref="C57:C59"/>
    <mergeCell ref="C20:C23"/>
    <mergeCell ref="M11:M12"/>
    <mergeCell ref="B13:B64"/>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2" disablePrompts="0">
        <x14:dataValidation xr:uid="{A376CD66-5060-4CEC-8F4C-804798974579}" type="list" allowBlank="1" errorStyle="stop" imeMode="noControl" operator="between" showDropDown="0" showErrorMessage="0" showInputMessage="0">
          <x14:formula1>
            <xm:f>"High,Medium,Low,Critical"</xm:f>
          </x14:formula1>
          <xm:sqref>F13:F109</xm:sqref>
        </x14:dataValidation>
        <x14:dataValidation xr:uid="{939FD9F3-B4E9-4F29-8B8D-290DE1929A0E}" type="list" allowBlank="1" errorStyle="stop" imeMode="noControl" operator="between" showDropDown="0" showErrorMessage="0" showInputMessage="0">
          <x14:formula1>
            <xm:f>"Passed,Failed,Pending,Blocked,NA,Not execute"</xm:f>
          </x14:formula1>
          <xm:sqref>M13:M109 R13:R109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59" zoomScale="100" workbookViewId="0">
      <selection activeCell="A13" activeCellId="0" sqref="A13"/>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bestFit="1" customWidth="1" min="22" max="22" style="49" width="7.4257812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497</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498</v>
      </c>
      <c r="D4" s="59"/>
      <c r="E4" s="52"/>
      <c r="F4" s="52"/>
      <c r="G4" s="52"/>
      <c r="H4" s="52"/>
      <c r="I4" s="52"/>
      <c r="J4" s="52"/>
      <c r="K4" s="54" t="s">
        <v>176</v>
      </c>
      <c r="L4" s="60">
        <f>COUNTA($G$13:$G$148)</f>
        <v>136</v>
      </c>
      <c r="M4" s="61">
        <f>COUNTIF($M$13:$M$148,M3)</f>
        <v>0</v>
      </c>
      <c r="N4" s="61">
        <f>COUNTIF($M$13:$M$148,N3)</f>
        <v>0</v>
      </c>
      <c r="O4" s="61">
        <f>COUNTIF($M$13:$M$148,O3)</f>
        <v>0</v>
      </c>
      <c r="P4" s="62">
        <f>COUNTIF($M$13:$M$148,P3)</f>
        <v>0</v>
      </c>
      <c r="Q4" s="61">
        <f>COUNTIF($M$13:$M$148,Q3)</f>
        <v>0</v>
      </c>
      <c r="R4" s="61">
        <f>L4-SUM(M4:Q4)</f>
        <v>136</v>
      </c>
      <c r="S4" s="63"/>
      <c r="T4" s="52"/>
      <c r="U4" s="52"/>
      <c r="V4" s="52"/>
      <c r="W4" s="52"/>
      <c r="X4" s="52"/>
      <c r="Y4" s="52"/>
      <c r="Z4" s="52"/>
      <c r="AA4" s="52"/>
      <c r="AB4" s="52"/>
      <c r="AC4" s="52"/>
    </row>
    <row r="5" ht="15.75" customHeight="1">
      <c r="A5" s="51"/>
      <c r="B5" s="54" t="s">
        <v>3</v>
      </c>
      <c r="C5" s="55" t="s">
        <v>177</v>
      </c>
      <c r="D5" s="59"/>
      <c r="E5" s="52"/>
      <c r="F5" s="52"/>
      <c r="G5" s="52"/>
      <c r="H5" s="52"/>
      <c r="I5" s="52"/>
      <c r="J5" s="52"/>
      <c r="K5" s="12"/>
      <c r="L5" s="12"/>
      <c r="M5" s="64">
        <f t="shared" ref="M5:R5" si="20">M4/$L$4</f>
        <v>0</v>
      </c>
      <c r="N5" s="64">
        <f t="shared" si="20"/>
        <v>0</v>
      </c>
      <c r="O5" s="64">
        <f t="shared" si="20"/>
        <v>0</v>
      </c>
      <c r="P5" s="65">
        <f t="shared" si="20"/>
        <v>0</v>
      </c>
      <c r="Q5" s="64">
        <f t="shared" si="20"/>
        <v>0</v>
      </c>
      <c r="R5" s="64">
        <f t="shared" si="20"/>
        <v>1</v>
      </c>
      <c r="S5" s="52"/>
      <c r="T5" s="52"/>
      <c r="U5" s="52"/>
      <c r="V5" s="52"/>
      <c r="W5" s="52"/>
      <c r="X5" s="52"/>
      <c r="Y5" s="52"/>
      <c r="Z5" s="52"/>
      <c r="AA5" s="52"/>
      <c r="AB5" s="52"/>
      <c r="AC5" s="52"/>
    </row>
    <row r="6" ht="15.75" customHeight="1">
      <c r="A6" s="51"/>
      <c r="B6" s="54" t="s">
        <v>178</v>
      </c>
      <c r="C6" s="55" t="s">
        <v>18</v>
      </c>
      <c r="D6" s="59"/>
      <c r="E6" s="52"/>
      <c r="F6" s="52"/>
      <c r="G6" s="52"/>
      <c r="H6" s="52"/>
      <c r="I6" s="52"/>
      <c r="J6" s="52"/>
      <c r="K6" s="54" t="s">
        <v>179</v>
      </c>
      <c r="L6" s="60">
        <f>COUNTA($G$13:$G$148)</f>
        <v>136</v>
      </c>
      <c r="M6" s="61">
        <f>COUNTIF($R$13:$R$148,M3)</f>
        <v>0</v>
      </c>
      <c r="N6" s="61">
        <f>COUNTIF($R$13:$R$148,N3)</f>
        <v>0</v>
      </c>
      <c r="O6" s="61">
        <f>COUNTIF($R$13:$R$148,O3)</f>
        <v>0</v>
      </c>
      <c r="P6" s="62">
        <f>COUNTIF($R$13:$R$148,P3)</f>
        <v>0</v>
      </c>
      <c r="Q6" s="61">
        <f>COUNTIF($R$13:$R$148,Q3)</f>
        <v>0</v>
      </c>
      <c r="R6" s="61">
        <f>L6-SUM(M6:Q6)</f>
        <v>136</v>
      </c>
      <c r="S6" s="63"/>
      <c r="T6" s="52"/>
      <c r="U6" s="52"/>
      <c r="V6" s="52"/>
      <c r="W6" s="52"/>
      <c r="X6" s="52"/>
      <c r="Y6" s="52"/>
      <c r="Z6" s="52"/>
      <c r="AA6" s="52"/>
      <c r="AB6" s="52"/>
      <c r="AC6" s="52"/>
    </row>
    <row r="7" ht="36" customHeight="1">
      <c r="A7" s="51"/>
      <c r="B7" s="54" t="s">
        <v>17</v>
      </c>
      <c r="C7" s="55" t="s">
        <v>499</v>
      </c>
      <c r="D7" s="68"/>
      <c r="E7" s="52"/>
      <c r="F7" s="52"/>
      <c r="G7" s="52"/>
      <c r="H7" s="52"/>
      <c r="I7" s="52"/>
      <c r="J7" s="52"/>
      <c r="K7" s="12"/>
      <c r="L7" s="12"/>
      <c r="M7" s="64">
        <f t="shared" ref="M7:R7" si="21">M6/$L$6</f>
        <v>0</v>
      </c>
      <c r="N7" s="64">
        <f t="shared" si="21"/>
        <v>0</v>
      </c>
      <c r="O7" s="64">
        <f t="shared" si="21"/>
        <v>0</v>
      </c>
      <c r="P7" s="65">
        <f t="shared" si="21"/>
        <v>0</v>
      </c>
      <c r="Q7" s="64">
        <f t="shared" si="21"/>
        <v>0</v>
      </c>
      <c r="R7" s="64">
        <f t="shared" si="21"/>
        <v>1</v>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ht="48.600000000000001" customHeight="1">
      <c r="A13" s="73">
        <v>1</v>
      </c>
      <c r="B13" s="58" t="s">
        <v>80</v>
      </c>
      <c r="C13" s="58" t="s">
        <v>90</v>
      </c>
      <c r="D13" s="58" t="s">
        <v>500</v>
      </c>
      <c r="E13" s="58" t="s">
        <v>501</v>
      </c>
      <c r="F13" s="58" t="s">
        <v>203</v>
      </c>
      <c r="G13" s="58" t="s">
        <v>502</v>
      </c>
      <c r="H13" s="58" t="s">
        <v>503</v>
      </c>
      <c r="I13" s="58" t="s">
        <v>504</v>
      </c>
      <c r="J13" s="58" t="s">
        <v>505</v>
      </c>
      <c r="K13" s="74" t="s">
        <v>506</v>
      </c>
      <c r="L13" s="58"/>
      <c r="M13" s="58"/>
      <c r="N13" s="58"/>
      <c r="O13" s="58"/>
      <c r="P13" s="58"/>
      <c r="Q13" s="58"/>
      <c r="R13" s="58"/>
      <c r="S13" s="58"/>
      <c r="T13" s="58"/>
      <c r="U13" s="58"/>
      <c r="V13" s="58"/>
      <c r="W13" s="58"/>
      <c r="X13" s="58" t="s">
        <v>507</v>
      </c>
      <c r="Y13" s="52"/>
      <c r="Z13" s="52"/>
      <c r="AA13" s="52"/>
      <c r="AB13" s="52"/>
      <c r="AC13" s="52"/>
    </row>
    <row r="14" ht="35.100000000000001" customHeight="1">
      <c r="A14" s="73">
        <v>2</v>
      </c>
      <c r="B14" s="75"/>
      <c r="C14" s="78"/>
      <c r="D14" s="58" t="s">
        <v>508</v>
      </c>
      <c r="E14" s="58" t="s">
        <v>209</v>
      </c>
      <c r="F14" s="58" t="s">
        <v>210</v>
      </c>
      <c r="G14" s="58" t="s">
        <v>509</v>
      </c>
      <c r="H14" s="58" t="s">
        <v>510</v>
      </c>
      <c r="I14" s="58" t="s">
        <v>504</v>
      </c>
      <c r="J14" s="58" t="s">
        <v>511</v>
      </c>
      <c r="K14" s="74" t="s">
        <v>512</v>
      </c>
      <c r="L14" s="58"/>
      <c r="M14" s="58"/>
      <c r="N14" s="58"/>
      <c r="O14" s="58"/>
      <c r="P14" s="58"/>
      <c r="Q14" s="58"/>
      <c r="R14" s="58"/>
      <c r="S14" s="58"/>
      <c r="T14" s="58"/>
      <c r="U14" s="58"/>
      <c r="V14" s="58"/>
      <c r="W14" s="58"/>
      <c r="X14" s="58" t="s">
        <v>507</v>
      </c>
      <c r="Y14" s="52"/>
      <c r="Z14" s="52"/>
      <c r="AA14" s="52"/>
      <c r="AB14" s="52"/>
      <c r="AC14" s="52"/>
    </row>
    <row r="15" ht="48.600000000000001" customHeight="1">
      <c r="A15" s="73">
        <v>3</v>
      </c>
      <c r="B15" s="75"/>
      <c r="C15" s="58" t="s">
        <v>91</v>
      </c>
      <c r="D15" s="58" t="s">
        <v>513</v>
      </c>
      <c r="E15" s="58" t="s">
        <v>514</v>
      </c>
      <c r="F15" s="58" t="s">
        <v>203</v>
      </c>
      <c r="G15" s="58" t="s">
        <v>515</v>
      </c>
      <c r="H15" s="58" t="s">
        <v>516</v>
      </c>
      <c r="I15" s="58" t="s">
        <v>504</v>
      </c>
      <c r="J15" s="58" t="s">
        <v>517</v>
      </c>
      <c r="K15" s="74" t="s">
        <v>518</v>
      </c>
      <c r="L15" s="58"/>
      <c r="M15" s="58"/>
      <c r="N15" s="58"/>
      <c r="O15" s="58"/>
      <c r="P15" s="58"/>
      <c r="Q15" s="58"/>
      <c r="R15" s="58"/>
      <c r="S15" s="58"/>
      <c r="T15" s="58"/>
      <c r="U15" s="58"/>
      <c r="V15" s="58"/>
      <c r="W15" s="58"/>
      <c r="X15" s="58" t="s">
        <v>519</v>
      </c>
      <c r="Y15" s="52"/>
      <c r="Z15" s="52"/>
      <c r="AA15" s="52"/>
      <c r="AB15" s="52"/>
      <c r="AC15" s="52"/>
    </row>
    <row r="16" ht="35.100000000000001" customHeight="1">
      <c r="A16" s="73">
        <v>4</v>
      </c>
      <c r="B16" s="75"/>
      <c r="C16" s="75"/>
      <c r="D16" s="58" t="s">
        <v>508</v>
      </c>
      <c r="E16" s="58" t="s">
        <v>520</v>
      </c>
      <c r="F16" s="58" t="s">
        <v>210</v>
      </c>
      <c r="G16" s="58" t="s">
        <v>521</v>
      </c>
      <c r="H16" s="58" t="s">
        <v>522</v>
      </c>
      <c r="I16" s="58" t="s">
        <v>504</v>
      </c>
      <c r="J16" s="58" t="s">
        <v>523</v>
      </c>
      <c r="K16" s="74" t="s">
        <v>524</v>
      </c>
      <c r="L16" s="58"/>
      <c r="M16" s="58"/>
      <c r="N16" s="58"/>
      <c r="O16" s="58"/>
      <c r="P16" s="58"/>
      <c r="Q16" s="58"/>
      <c r="R16" s="58"/>
      <c r="S16" s="58"/>
      <c r="T16" s="58"/>
      <c r="U16" s="58"/>
      <c r="V16" s="58"/>
      <c r="W16" s="58"/>
      <c r="X16" s="58" t="s">
        <v>519</v>
      </c>
      <c r="Y16" s="52"/>
      <c r="Z16" s="52"/>
      <c r="AA16" s="52"/>
      <c r="AB16" s="52"/>
      <c r="AC16" s="52"/>
    </row>
    <row r="17" ht="62.100000000000001" customHeight="1">
      <c r="A17" s="73">
        <v>5</v>
      </c>
      <c r="B17" s="78"/>
      <c r="C17" s="78"/>
      <c r="D17" s="78"/>
      <c r="E17" s="58" t="s">
        <v>525</v>
      </c>
      <c r="F17" s="58" t="s">
        <v>210</v>
      </c>
      <c r="G17" s="58" t="s">
        <v>526</v>
      </c>
      <c r="H17" s="58" t="s">
        <v>527</v>
      </c>
      <c r="I17" s="58" t="s">
        <v>504</v>
      </c>
      <c r="J17" s="58" t="s">
        <v>528</v>
      </c>
      <c r="K17" s="74" t="s">
        <v>529</v>
      </c>
      <c r="L17" s="58"/>
      <c r="M17" s="58"/>
      <c r="N17" s="58"/>
      <c r="O17" s="58"/>
      <c r="P17" s="58"/>
      <c r="Q17" s="58"/>
      <c r="R17" s="58"/>
      <c r="S17" s="58"/>
      <c r="T17" s="58"/>
      <c r="U17" s="58"/>
      <c r="V17" s="58"/>
      <c r="W17" s="77" t="s">
        <v>530</v>
      </c>
      <c r="X17" s="58" t="s">
        <v>519</v>
      </c>
      <c r="Y17" s="52"/>
      <c r="Z17" s="52"/>
      <c r="AA17" s="52"/>
      <c r="AB17" s="52"/>
      <c r="AC17" s="52"/>
    </row>
    <row r="18" ht="75.599999999999994" customHeight="1">
      <c r="A18" s="73">
        <v>6</v>
      </c>
      <c r="B18" s="58" t="s">
        <v>92</v>
      </c>
      <c r="C18" s="58" t="s">
        <v>93</v>
      </c>
      <c r="D18" s="58" t="s">
        <v>268</v>
      </c>
      <c r="E18" s="58" t="s">
        <v>531</v>
      </c>
      <c r="F18" s="58" t="s">
        <v>210</v>
      </c>
      <c r="G18" s="58" t="s">
        <v>532</v>
      </c>
      <c r="H18" s="58" t="s">
        <v>533</v>
      </c>
      <c r="I18" s="58" t="s">
        <v>504</v>
      </c>
      <c r="J18" s="58" t="s">
        <v>534</v>
      </c>
      <c r="K18" s="74" t="s">
        <v>535</v>
      </c>
      <c r="L18" s="58"/>
      <c r="M18" s="58"/>
      <c r="N18" s="58"/>
      <c r="O18" s="58"/>
      <c r="P18" s="58"/>
      <c r="Q18" s="58"/>
      <c r="R18" s="58"/>
      <c r="S18" s="58"/>
      <c r="T18" s="58"/>
      <c r="U18" s="58"/>
      <c r="V18" s="58"/>
      <c r="W18" s="77" t="s">
        <v>536</v>
      </c>
      <c r="X18" s="58" t="s">
        <v>507</v>
      </c>
      <c r="Y18" s="52"/>
      <c r="Z18" s="52"/>
      <c r="AA18" s="52"/>
      <c r="AB18" s="52"/>
      <c r="AC18" s="52"/>
    </row>
    <row r="19" ht="116.09999999999999" customHeight="1">
      <c r="A19" s="73">
        <v>7</v>
      </c>
      <c r="B19" s="75"/>
      <c r="C19" s="58" t="s">
        <v>94</v>
      </c>
      <c r="D19" s="58" t="s">
        <v>537</v>
      </c>
      <c r="E19" s="58" t="s">
        <v>538</v>
      </c>
      <c r="F19" s="58" t="s">
        <v>210</v>
      </c>
      <c r="G19" s="58" t="s">
        <v>539</v>
      </c>
      <c r="H19" s="58" t="s">
        <v>540</v>
      </c>
      <c r="I19" s="58" t="s">
        <v>541</v>
      </c>
      <c r="J19" s="58" t="s">
        <v>542</v>
      </c>
      <c r="K19" s="74" t="s">
        <v>543</v>
      </c>
      <c r="L19" s="58"/>
      <c r="M19" s="58"/>
      <c r="N19" s="58"/>
      <c r="O19" s="58"/>
      <c r="P19" s="58"/>
      <c r="Q19" s="58"/>
      <c r="R19" s="58"/>
      <c r="S19" s="58"/>
      <c r="T19" s="58"/>
      <c r="U19" s="58"/>
      <c r="V19" s="58"/>
      <c r="W19" s="77" t="s">
        <v>544</v>
      </c>
      <c r="X19" s="58" t="s">
        <v>507</v>
      </c>
      <c r="Y19" s="52"/>
      <c r="Z19" s="52"/>
      <c r="AA19" s="52"/>
      <c r="AB19" s="52"/>
      <c r="AC19" s="52"/>
    </row>
    <row r="20" ht="35.100000000000001" customHeight="1">
      <c r="A20" s="73">
        <v>8</v>
      </c>
      <c r="B20" s="75"/>
      <c r="C20" s="58" t="s">
        <v>95</v>
      </c>
      <c r="D20" s="58" t="s">
        <v>268</v>
      </c>
      <c r="E20" s="58" t="s">
        <v>545</v>
      </c>
      <c r="F20" s="58" t="s">
        <v>203</v>
      </c>
      <c r="G20" s="58" t="s">
        <v>546</v>
      </c>
      <c r="H20" s="58" t="s">
        <v>547</v>
      </c>
      <c r="I20" s="58" t="s">
        <v>504</v>
      </c>
      <c r="J20" s="58" t="s">
        <v>548</v>
      </c>
      <c r="K20" s="74" t="s">
        <v>549</v>
      </c>
      <c r="L20" s="58"/>
      <c r="M20" s="58"/>
      <c r="N20" s="58"/>
      <c r="O20" s="58"/>
      <c r="P20" s="58"/>
      <c r="Q20" s="58"/>
      <c r="R20" s="58"/>
      <c r="S20" s="58"/>
      <c r="T20" s="58"/>
      <c r="U20" s="58"/>
      <c r="V20" s="58"/>
      <c r="W20" s="77" t="s">
        <v>550</v>
      </c>
      <c r="X20" s="58" t="s">
        <v>551</v>
      </c>
      <c r="Y20" s="52"/>
      <c r="Z20" s="52"/>
      <c r="AA20" s="52"/>
      <c r="AB20" s="52"/>
      <c r="AC20" s="52"/>
    </row>
    <row r="21" ht="48.600000000000001" customHeight="1">
      <c r="A21" s="73">
        <v>9</v>
      </c>
      <c r="B21" s="75"/>
      <c r="C21" s="75"/>
      <c r="D21" s="58" t="s">
        <v>552</v>
      </c>
      <c r="E21" s="58" t="s">
        <v>553</v>
      </c>
      <c r="F21" s="58" t="s">
        <v>203</v>
      </c>
      <c r="G21" s="58" t="s">
        <v>554</v>
      </c>
      <c r="H21" s="58" t="s">
        <v>555</v>
      </c>
      <c r="I21" s="58" t="s">
        <v>504</v>
      </c>
      <c r="J21" s="58" t="s">
        <v>556</v>
      </c>
      <c r="K21" s="74" t="s">
        <v>557</v>
      </c>
      <c r="L21" s="58"/>
      <c r="M21" s="58"/>
      <c r="N21" s="58"/>
      <c r="O21" s="58"/>
      <c r="P21" s="58"/>
      <c r="Q21" s="58"/>
      <c r="R21" s="58"/>
      <c r="S21" s="58"/>
      <c r="T21" s="58"/>
      <c r="U21" s="58"/>
      <c r="V21" s="58"/>
      <c r="W21" s="58"/>
      <c r="X21" s="58" t="s">
        <v>551</v>
      </c>
      <c r="Y21" s="52"/>
      <c r="Z21" s="52"/>
      <c r="AA21" s="52"/>
      <c r="AB21" s="52"/>
      <c r="AC21" s="52"/>
    </row>
    <row r="22" ht="197.09999999999999" customHeight="1">
      <c r="A22" s="73">
        <v>10</v>
      </c>
      <c r="B22" s="75"/>
      <c r="C22" s="75"/>
      <c r="D22" s="78"/>
      <c r="E22" s="58" t="s">
        <v>558</v>
      </c>
      <c r="F22" s="58" t="s">
        <v>203</v>
      </c>
      <c r="G22" s="58" t="s">
        <v>559</v>
      </c>
      <c r="H22" s="58" t="s">
        <v>560</v>
      </c>
      <c r="I22" s="58" t="s">
        <v>504</v>
      </c>
      <c r="J22" s="58" t="s">
        <v>561</v>
      </c>
      <c r="K22" s="74" t="s">
        <v>562</v>
      </c>
      <c r="L22" s="58"/>
      <c r="M22" s="58"/>
      <c r="N22" s="58"/>
      <c r="O22" s="58"/>
      <c r="P22" s="58"/>
      <c r="Q22" s="58"/>
      <c r="R22" s="58"/>
      <c r="S22" s="58"/>
      <c r="T22" s="58"/>
      <c r="U22" s="58"/>
      <c r="V22" s="58"/>
      <c r="W22" s="58"/>
      <c r="X22" s="58" t="s">
        <v>551</v>
      </c>
      <c r="Y22" s="52"/>
      <c r="Z22" s="52"/>
      <c r="AA22" s="52"/>
      <c r="AB22" s="52"/>
      <c r="AC22" s="52"/>
    </row>
    <row r="23" ht="75.599999999999994" customHeight="1">
      <c r="A23" s="73">
        <v>11</v>
      </c>
      <c r="B23" s="75"/>
      <c r="C23" s="75"/>
      <c r="D23" s="58" t="s">
        <v>563</v>
      </c>
      <c r="E23" s="58" t="s">
        <v>564</v>
      </c>
      <c r="F23" s="58" t="s">
        <v>203</v>
      </c>
      <c r="G23" s="58" t="s">
        <v>565</v>
      </c>
      <c r="H23" s="58" t="s">
        <v>566</v>
      </c>
      <c r="I23" s="58" t="s">
        <v>504</v>
      </c>
      <c r="J23" s="58" t="s">
        <v>567</v>
      </c>
      <c r="K23" s="74" t="s">
        <v>568</v>
      </c>
      <c r="L23" s="58"/>
      <c r="M23" s="58"/>
      <c r="N23" s="58"/>
      <c r="O23" s="58"/>
      <c r="P23" s="58"/>
      <c r="Q23" s="58"/>
      <c r="R23" s="58"/>
      <c r="S23" s="58"/>
      <c r="T23" s="58"/>
      <c r="U23" s="58"/>
      <c r="V23" s="58"/>
      <c r="W23" s="77" t="s">
        <v>569</v>
      </c>
      <c r="X23" s="58" t="s">
        <v>551</v>
      </c>
      <c r="Y23" s="52"/>
      <c r="Z23" s="52"/>
      <c r="AA23" s="52"/>
      <c r="AB23" s="52"/>
      <c r="AC23" s="52"/>
    </row>
    <row r="24" ht="75.599999999999994" customHeight="1">
      <c r="A24" s="73">
        <v>12</v>
      </c>
      <c r="B24" s="75"/>
      <c r="C24" s="75"/>
      <c r="D24" s="78"/>
      <c r="E24" s="58" t="s">
        <v>570</v>
      </c>
      <c r="F24" s="58" t="s">
        <v>210</v>
      </c>
      <c r="G24" s="58" t="s">
        <v>571</v>
      </c>
      <c r="H24" s="58" t="s">
        <v>572</v>
      </c>
      <c r="I24" s="58" t="s">
        <v>504</v>
      </c>
      <c r="J24" s="58" t="s">
        <v>573</v>
      </c>
      <c r="K24" s="74" t="s">
        <v>574</v>
      </c>
      <c r="L24" s="58"/>
      <c r="M24" s="58"/>
      <c r="N24" s="58"/>
      <c r="O24" s="58"/>
      <c r="P24" s="58"/>
      <c r="Q24" s="58"/>
      <c r="R24" s="58"/>
      <c r="S24" s="58"/>
      <c r="T24" s="58"/>
      <c r="U24" s="58"/>
      <c r="V24" s="58"/>
      <c r="W24" s="77" t="s">
        <v>575</v>
      </c>
      <c r="X24" s="58" t="s">
        <v>551</v>
      </c>
      <c r="Y24" s="52"/>
      <c r="Z24" s="52"/>
      <c r="AA24" s="52"/>
      <c r="AB24" s="52"/>
      <c r="AC24" s="52"/>
    </row>
    <row r="25" ht="48.600000000000001" customHeight="1">
      <c r="A25" s="73">
        <v>13</v>
      </c>
      <c r="B25" s="75"/>
      <c r="C25" s="75"/>
      <c r="D25" s="58" t="s">
        <v>576</v>
      </c>
      <c r="E25" s="58" t="s">
        <v>577</v>
      </c>
      <c r="F25" s="58" t="s">
        <v>210</v>
      </c>
      <c r="G25" s="58" t="s">
        <v>578</v>
      </c>
      <c r="H25" s="58" t="s">
        <v>579</v>
      </c>
      <c r="I25" s="58" t="s">
        <v>504</v>
      </c>
      <c r="J25" s="58" t="s">
        <v>580</v>
      </c>
      <c r="K25" s="74" t="s">
        <v>581</v>
      </c>
      <c r="L25" s="58"/>
      <c r="M25" s="58"/>
      <c r="N25" s="58"/>
      <c r="O25" s="58"/>
      <c r="P25" s="58"/>
      <c r="Q25" s="58"/>
      <c r="R25" s="58"/>
      <c r="S25" s="58"/>
      <c r="T25" s="58"/>
      <c r="U25" s="58"/>
      <c r="V25" s="58"/>
      <c r="W25" s="58"/>
      <c r="X25" s="58" t="s">
        <v>551</v>
      </c>
      <c r="Y25" s="52"/>
      <c r="Z25" s="52"/>
      <c r="AA25" s="52"/>
      <c r="AB25" s="52"/>
      <c r="AC25" s="52"/>
    </row>
    <row r="26" ht="75.599999999999994" customHeight="1">
      <c r="A26" s="73">
        <v>14</v>
      </c>
      <c r="B26" s="75"/>
      <c r="C26" s="75"/>
      <c r="D26" s="78"/>
      <c r="E26" s="58" t="s">
        <v>582</v>
      </c>
      <c r="F26" s="58" t="s">
        <v>210</v>
      </c>
      <c r="G26" s="58" t="s">
        <v>583</v>
      </c>
      <c r="H26" s="58" t="s">
        <v>584</v>
      </c>
      <c r="I26" s="58" t="s">
        <v>504</v>
      </c>
      <c r="J26" s="58" t="s">
        <v>585</v>
      </c>
      <c r="K26" s="74" t="s">
        <v>586</v>
      </c>
      <c r="L26" s="58"/>
      <c r="M26" s="58"/>
      <c r="N26" s="58"/>
      <c r="O26" s="58"/>
      <c r="P26" s="58"/>
      <c r="Q26" s="58"/>
      <c r="R26" s="58"/>
      <c r="S26" s="58"/>
      <c r="T26" s="58"/>
      <c r="U26" s="58"/>
      <c r="V26" s="58"/>
      <c r="W26" s="58"/>
      <c r="X26" s="58" t="s">
        <v>551</v>
      </c>
      <c r="Y26" s="52"/>
      <c r="Z26" s="52"/>
      <c r="AA26" s="52"/>
      <c r="AB26" s="52"/>
      <c r="AC26" s="52"/>
    </row>
    <row r="27" ht="62.100000000000001" customHeight="1">
      <c r="A27" s="73">
        <v>15</v>
      </c>
      <c r="B27" s="75"/>
      <c r="C27" s="75"/>
      <c r="D27" s="58" t="s">
        <v>393</v>
      </c>
      <c r="E27" s="58" t="s">
        <v>587</v>
      </c>
      <c r="F27" s="58" t="s">
        <v>203</v>
      </c>
      <c r="G27" s="58" t="s">
        <v>588</v>
      </c>
      <c r="H27" s="58" t="s">
        <v>589</v>
      </c>
      <c r="I27" s="58" t="s">
        <v>504</v>
      </c>
      <c r="J27" s="58" t="s">
        <v>590</v>
      </c>
      <c r="K27" s="74" t="s">
        <v>591</v>
      </c>
      <c r="L27" s="58"/>
      <c r="M27" s="58"/>
      <c r="N27" s="58"/>
      <c r="O27" s="58"/>
      <c r="P27" s="58"/>
      <c r="Q27" s="58"/>
      <c r="R27" s="58"/>
      <c r="S27" s="58"/>
      <c r="T27" s="58"/>
      <c r="U27" s="58"/>
      <c r="V27" s="58"/>
      <c r="W27" s="77" t="s">
        <v>592</v>
      </c>
      <c r="X27" s="58" t="s">
        <v>551</v>
      </c>
      <c r="Y27" s="52"/>
      <c r="Z27" s="52"/>
      <c r="AA27" s="52"/>
      <c r="AB27" s="52"/>
      <c r="AC27" s="52"/>
    </row>
    <row r="28" ht="75.599999999999994" customHeight="1">
      <c r="A28" s="73">
        <v>16</v>
      </c>
      <c r="B28" s="75"/>
      <c r="C28" s="75"/>
      <c r="D28" s="75"/>
      <c r="E28" s="58" t="s">
        <v>593</v>
      </c>
      <c r="F28" s="58" t="s">
        <v>203</v>
      </c>
      <c r="G28" s="58" t="s">
        <v>594</v>
      </c>
      <c r="H28" s="58" t="s">
        <v>595</v>
      </c>
      <c r="I28" s="58" t="s">
        <v>504</v>
      </c>
      <c r="J28" s="58" t="s">
        <v>596</v>
      </c>
      <c r="K28" s="74" t="s">
        <v>597</v>
      </c>
      <c r="L28" s="58"/>
      <c r="M28" s="58"/>
      <c r="N28" s="58"/>
      <c r="O28" s="58"/>
      <c r="P28" s="58"/>
      <c r="Q28" s="58"/>
      <c r="R28" s="58"/>
      <c r="S28" s="58"/>
      <c r="T28" s="58"/>
      <c r="U28" s="58"/>
      <c r="V28" s="58"/>
      <c r="W28" s="77" t="s">
        <v>592</v>
      </c>
      <c r="X28" s="58" t="s">
        <v>551</v>
      </c>
      <c r="Y28" s="52"/>
      <c r="Z28" s="52"/>
      <c r="AA28" s="52"/>
      <c r="AB28" s="52"/>
      <c r="AC28" s="52"/>
    </row>
    <row r="29" ht="75.599999999999994" customHeight="1">
      <c r="A29" s="73">
        <v>17</v>
      </c>
      <c r="B29" s="75"/>
      <c r="C29" s="75"/>
      <c r="D29" s="75"/>
      <c r="E29" s="58" t="s">
        <v>598</v>
      </c>
      <c r="F29" s="58" t="s">
        <v>210</v>
      </c>
      <c r="G29" s="58" t="s">
        <v>599</v>
      </c>
      <c r="H29" s="58" t="s">
        <v>600</v>
      </c>
      <c r="I29" s="58" t="s">
        <v>504</v>
      </c>
      <c r="J29" s="58" t="s">
        <v>601</v>
      </c>
      <c r="K29" s="74" t="s">
        <v>597</v>
      </c>
      <c r="L29" s="58"/>
      <c r="M29" s="58"/>
      <c r="N29" s="58"/>
      <c r="O29" s="58"/>
      <c r="P29" s="58"/>
      <c r="Q29" s="58"/>
      <c r="R29" s="58"/>
      <c r="S29" s="58"/>
      <c r="T29" s="58"/>
      <c r="U29" s="58"/>
      <c r="V29" s="58"/>
      <c r="W29" s="77" t="s">
        <v>602</v>
      </c>
      <c r="X29" s="58" t="s">
        <v>551</v>
      </c>
      <c r="Y29" s="52"/>
      <c r="Z29" s="52"/>
      <c r="AA29" s="52"/>
      <c r="AB29" s="52"/>
      <c r="AC29" s="52"/>
    </row>
    <row r="30" ht="75.599999999999994" customHeight="1">
      <c r="A30" s="73">
        <v>18</v>
      </c>
      <c r="B30" s="75"/>
      <c r="C30" s="75"/>
      <c r="D30" s="75"/>
      <c r="E30" s="58" t="s">
        <v>603</v>
      </c>
      <c r="F30" s="58" t="s">
        <v>203</v>
      </c>
      <c r="G30" s="58" t="s">
        <v>604</v>
      </c>
      <c r="H30" s="58" t="s">
        <v>605</v>
      </c>
      <c r="I30" s="58" t="s">
        <v>504</v>
      </c>
      <c r="J30" s="58" t="s">
        <v>606</v>
      </c>
      <c r="K30" s="74" t="s">
        <v>607</v>
      </c>
      <c r="L30" s="58"/>
      <c r="M30" s="58"/>
      <c r="N30" s="58"/>
      <c r="O30" s="58"/>
      <c r="P30" s="58"/>
      <c r="Q30" s="58"/>
      <c r="R30" s="58"/>
      <c r="S30" s="58"/>
      <c r="T30" s="58"/>
      <c r="U30" s="58"/>
      <c r="V30" s="58"/>
      <c r="W30" s="77" t="s">
        <v>592</v>
      </c>
      <c r="X30" s="58" t="s">
        <v>551</v>
      </c>
      <c r="Y30" s="52"/>
      <c r="Z30" s="52"/>
      <c r="AA30" s="52"/>
      <c r="AB30" s="52"/>
      <c r="AC30" s="52"/>
    </row>
    <row r="31" ht="75.599999999999994" customHeight="1">
      <c r="A31" s="73">
        <v>19</v>
      </c>
      <c r="B31" s="75"/>
      <c r="C31" s="75"/>
      <c r="D31" s="75"/>
      <c r="E31" s="58" t="s">
        <v>608</v>
      </c>
      <c r="F31" s="58" t="s">
        <v>210</v>
      </c>
      <c r="G31" s="58" t="s">
        <v>609</v>
      </c>
      <c r="H31" s="58" t="s">
        <v>610</v>
      </c>
      <c r="I31" s="58" t="s">
        <v>504</v>
      </c>
      <c r="J31" s="58" t="s">
        <v>611</v>
      </c>
      <c r="K31" s="74" t="s">
        <v>607</v>
      </c>
      <c r="L31" s="58"/>
      <c r="M31" s="58"/>
      <c r="N31" s="58"/>
      <c r="O31" s="58"/>
      <c r="P31" s="58"/>
      <c r="Q31" s="58"/>
      <c r="R31" s="58"/>
      <c r="S31" s="58"/>
      <c r="T31" s="58"/>
      <c r="U31" s="58"/>
      <c r="V31" s="58"/>
      <c r="W31" s="77" t="s">
        <v>602</v>
      </c>
      <c r="X31" s="58" t="s">
        <v>551</v>
      </c>
      <c r="Y31" s="52"/>
      <c r="Z31" s="52"/>
      <c r="AA31" s="52"/>
      <c r="AB31" s="52"/>
      <c r="AC31" s="52"/>
    </row>
    <row r="32" ht="75.599999999999994" customHeight="1">
      <c r="A32" s="73">
        <v>20</v>
      </c>
      <c r="B32" s="75"/>
      <c r="C32" s="75"/>
      <c r="D32" s="75"/>
      <c r="E32" s="58" t="s">
        <v>612</v>
      </c>
      <c r="F32" s="58" t="s">
        <v>203</v>
      </c>
      <c r="G32" s="58" t="s">
        <v>613</v>
      </c>
      <c r="H32" s="58" t="s">
        <v>614</v>
      </c>
      <c r="I32" s="58" t="s">
        <v>504</v>
      </c>
      <c r="J32" s="58" t="s">
        <v>615</v>
      </c>
      <c r="K32" s="74" t="s">
        <v>616</v>
      </c>
      <c r="L32" s="58"/>
      <c r="M32" s="58"/>
      <c r="N32" s="58"/>
      <c r="O32" s="58"/>
      <c r="P32" s="58"/>
      <c r="Q32" s="58"/>
      <c r="R32" s="58"/>
      <c r="S32" s="58"/>
      <c r="T32" s="58"/>
      <c r="U32" s="58"/>
      <c r="V32" s="58"/>
      <c r="W32" s="77" t="s">
        <v>617</v>
      </c>
      <c r="X32" s="58" t="s">
        <v>551</v>
      </c>
      <c r="Y32" s="52"/>
      <c r="Z32" s="52"/>
      <c r="AA32" s="52"/>
      <c r="AB32" s="52"/>
      <c r="AC32" s="52"/>
    </row>
    <row r="33" ht="48.600000000000001" customHeight="1">
      <c r="A33" s="73">
        <v>21</v>
      </c>
      <c r="B33" s="75"/>
      <c r="C33" s="75"/>
      <c r="D33" s="75"/>
      <c r="E33" s="58" t="s">
        <v>618</v>
      </c>
      <c r="F33" s="58" t="s">
        <v>210</v>
      </c>
      <c r="G33" s="58" t="s">
        <v>619</v>
      </c>
      <c r="H33" s="58" t="s">
        <v>287</v>
      </c>
      <c r="I33" s="58" t="s">
        <v>504</v>
      </c>
      <c r="J33" s="58" t="s">
        <v>620</v>
      </c>
      <c r="K33" s="76"/>
      <c r="L33" s="58"/>
      <c r="M33" s="58"/>
      <c r="N33" s="58"/>
      <c r="O33" s="58"/>
      <c r="P33" s="58"/>
      <c r="Q33" s="58"/>
      <c r="R33" s="58"/>
      <c r="S33" s="58"/>
      <c r="T33" s="58"/>
      <c r="U33" s="58"/>
      <c r="V33" s="58"/>
      <c r="W33" s="77" t="s">
        <v>621</v>
      </c>
      <c r="X33" s="58" t="s">
        <v>551</v>
      </c>
      <c r="Y33" s="52"/>
      <c r="Z33" s="52"/>
      <c r="AA33" s="52"/>
      <c r="AB33" s="52"/>
      <c r="AC33" s="52"/>
    </row>
    <row r="34" ht="48.600000000000001" customHeight="1">
      <c r="A34" s="73">
        <v>22</v>
      </c>
      <c r="B34" s="75"/>
      <c r="C34" s="75"/>
      <c r="D34" s="75"/>
      <c r="E34" s="58" t="s">
        <v>622</v>
      </c>
      <c r="F34" s="58" t="s">
        <v>210</v>
      </c>
      <c r="G34" s="58" t="s">
        <v>623</v>
      </c>
      <c r="H34" s="58" t="s">
        <v>624</v>
      </c>
      <c r="I34" s="58" t="s">
        <v>504</v>
      </c>
      <c r="J34" s="58" t="s">
        <v>625</v>
      </c>
      <c r="K34" s="74" t="s">
        <v>626</v>
      </c>
      <c r="L34" s="58"/>
      <c r="M34" s="58"/>
      <c r="N34" s="58"/>
      <c r="O34" s="58"/>
      <c r="P34" s="58"/>
      <c r="Q34" s="58"/>
      <c r="R34" s="58"/>
      <c r="S34" s="58"/>
      <c r="T34" s="58"/>
      <c r="U34" s="58"/>
      <c r="V34" s="58"/>
      <c r="W34" s="77" t="s">
        <v>627</v>
      </c>
      <c r="X34" s="58" t="s">
        <v>551</v>
      </c>
      <c r="Y34" s="52"/>
      <c r="Z34" s="52"/>
      <c r="AA34" s="52"/>
      <c r="AB34" s="52"/>
      <c r="AC34" s="52"/>
    </row>
    <row r="35" ht="48.600000000000001" customHeight="1">
      <c r="A35" s="73">
        <v>23</v>
      </c>
      <c r="B35" s="75"/>
      <c r="C35" s="75"/>
      <c r="D35" s="75"/>
      <c r="E35" s="58" t="s">
        <v>628</v>
      </c>
      <c r="F35" s="58" t="s">
        <v>225</v>
      </c>
      <c r="G35" s="58" t="s">
        <v>629</v>
      </c>
      <c r="H35" s="58" t="s">
        <v>630</v>
      </c>
      <c r="I35" s="58" t="s">
        <v>504</v>
      </c>
      <c r="J35" s="58" t="s">
        <v>631</v>
      </c>
      <c r="K35" s="74" t="s">
        <v>632</v>
      </c>
      <c r="L35" s="58"/>
      <c r="M35" s="58"/>
      <c r="N35" s="58"/>
      <c r="O35" s="58"/>
      <c r="P35" s="58"/>
      <c r="Q35" s="58"/>
      <c r="R35" s="58"/>
      <c r="S35" s="58"/>
      <c r="T35" s="58"/>
      <c r="U35" s="58"/>
      <c r="V35" s="58"/>
      <c r="W35" s="58"/>
      <c r="X35" s="58" t="s">
        <v>551</v>
      </c>
      <c r="Y35" s="52"/>
      <c r="Z35" s="52"/>
      <c r="AA35" s="52"/>
      <c r="AB35" s="52"/>
      <c r="AC35" s="52"/>
    </row>
    <row r="36" ht="48.600000000000001" customHeight="1">
      <c r="A36" s="73">
        <v>24</v>
      </c>
      <c r="B36" s="75"/>
      <c r="C36" s="75"/>
      <c r="D36" s="78"/>
      <c r="E36" s="58" t="s">
        <v>633</v>
      </c>
      <c r="F36" s="58" t="s">
        <v>225</v>
      </c>
      <c r="G36" s="58" t="s">
        <v>634</v>
      </c>
      <c r="H36" s="58" t="s">
        <v>635</v>
      </c>
      <c r="I36" s="58" t="s">
        <v>504</v>
      </c>
      <c r="J36" s="58" t="s">
        <v>636</v>
      </c>
      <c r="K36" s="74" t="s">
        <v>632</v>
      </c>
      <c r="L36" s="58"/>
      <c r="M36" s="58"/>
      <c r="N36" s="58"/>
      <c r="O36" s="58"/>
      <c r="P36" s="58"/>
      <c r="Q36" s="58"/>
      <c r="R36" s="58"/>
      <c r="S36" s="58"/>
      <c r="T36" s="58"/>
      <c r="U36" s="58"/>
      <c r="V36" s="58"/>
      <c r="W36" s="77" t="s">
        <v>637</v>
      </c>
      <c r="X36" s="58" t="s">
        <v>551</v>
      </c>
      <c r="Y36" s="52"/>
      <c r="Z36" s="52"/>
      <c r="AA36" s="52"/>
      <c r="AB36" s="52"/>
      <c r="AC36" s="52"/>
    </row>
    <row r="37" ht="129.59999999999999" customHeight="1">
      <c r="A37" s="73">
        <v>25</v>
      </c>
      <c r="B37" s="75"/>
      <c r="C37" s="75"/>
      <c r="D37" s="58" t="s">
        <v>369</v>
      </c>
      <c r="E37" s="58" t="s">
        <v>638</v>
      </c>
      <c r="F37" s="58" t="s">
        <v>203</v>
      </c>
      <c r="G37" s="58" t="s">
        <v>639</v>
      </c>
      <c r="H37" s="58" t="s">
        <v>640</v>
      </c>
      <c r="I37" s="58" t="s">
        <v>504</v>
      </c>
      <c r="J37" s="58" t="s">
        <v>641</v>
      </c>
      <c r="K37" s="74" t="s">
        <v>642</v>
      </c>
      <c r="L37" s="58"/>
      <c r="M37" s="58"/>
      <c r="N37" s="58"/>
      <c r="O37" s="58"/>
      <c r="P37" s="58"/>
      <c r="Q37" s="58"/>
      <c r="R37" s="58"/>
      <c r="S37" s="58"/>
      <c r="T37" s="58"/>
      <c r="U37" s="58"/>
      <c r="V37" s="58"/>
      <c r="W37" s="77" t="s">
        <v>643</v>
      </c>
      <c r="X37" s="58" t="s">
        <v>551</v>
      </c>
      <c r="Y37" s="52"/>
      <c r="Z37" s="52"/>
      <c r="AA37" s="52"/>
      <c r="AB37" s="52"/>
      <c r="AC37" s="52"/>
    </row>
    <row r="38" ht="129.59999999999999" customHeight="1">
      <c r="A38" s="73">
        <v>26</v>
      </c>
      <c r="B38" s="75"/>
      <c r="C38" s="75"/>
      <c r="D38" s="75"/>
      <c r="E38" s="58" t="s">
        <v>644</v>
      </c>
      <c r="F38" s="58" t="s">
        <v>203</v>
      </c>
      <c r="G38" s="58" t="s">
        <v>645</v>
      </c>
      <c r="H38" s="58" t="s">
        <v>640</v>
      </c>
      <c r="I38" s="58" t="s">
        <v>504</v>
      </c>
      <c r="J38" s="58" t="s">
        <v>646</v>
      </c>
      <c r="K38" s="74" t="s">
        <v>647</v>
      </c>
      <c r="L38" s="58"/>
      <c r="M38" s="58"/>
      <c r="N38" s="58"/>
      <c r="O38" s="58"/>
      <c r="P38" s="58"/>
      <c r="Q38" s="58"/>
      <c r="R38" s="58"/>
      <c r="S38" s="58"/>
      <c r="T38" s="58"/>
      <c r="U38" s="58"/>
      <c r="V38" s="58"/>
      <c r="W38" s="77" t="s">
        <v>643</v>
      </c>
      <c r="X38" s="58" t="s">
        <v>551</v>
      </c>
      <c r="Y38" s="52"/>
      <c r="Z38" s="52"/>
      <c r="AA38" s="52"/>
      <c r="AB38" s="52"/>
      <c r="AC38" s="52"/>
    </row>
    <row r="39" ht="170.09999999999999" customHeight="1">
      <c r="A39" s="73">
        <v>27</v>
      </c>
      <c r="B39" s="75"/>
      <c r="C39" s="78"/>
      <c r="D39" s="78"/>
      <c r="E39" s="58" t="s">
        <v>648</v>
      </c>
      <c r="F39" s="58" t="s">
        <v>203</v>
      </c>
      <c r="G39" s="58" t="s">
        <v>649</v>
      </c>
      <c r="H39" s="58" t="s">
        <v>650</v>
      </c>
      <c r="I39" s="58" t="s">
        <v>504</v>
      </c>
      <c r="J39" s="58" t="s">
        <v>651</v>
      </c>
      <c r="K39" s="58" t="s">
        <v>652</v>
      </c>
      <c r="L39" s="58"/>
      <c r="M39" s="58"/>
      <c r="N39" s="58"/>
      <c r="O39" s="58"/>
      <c r="P39" s="58"/>
      <c r="Q39" s="58"/>
      <c r="R39" s="58"/>
      <c r="S39" s="58"/>
      <c r="T39" s="58"/>
      <c r="U39" s="58"/>
      <c r="V39" s="58"/>
      <c r="W39" s="77" t="s">
        <v>643</v>
      </c>
      <c r="X39" s="58" t="s">
        <v>551</v>
      </c>
      <c r="Y39" s="52"/>
      <c r="Z39" s="52"/>
      <c r="AA39" s="52"/>
      <c r="AB39" s="52"/>
      <c r="AC39" s="52"/>
    </row>
    <row r="40" ht="35.100000000000001" customHeight="1">
      <c r="A40" s="73">
        <v>28</v>
      </c>
      <c r="B40" s="75"/>
      <c r="C40" s="58" t="s">
        <v>96</v>
      </c>
      <c r="D40" s="58" t="s">
        <v>653</v>
      </c>
      <c r="E40" s="58" t="s">
        <v>654</v>
      </c>
      <c r="F40" s="58" t="s">
        <v>210</v>
      </c>
      <c r="G40" s="58" t="s">
        <v>655</v>
      </c>
      <c r="H40" s="58" t="s">
        <v>656</v>
      </c>
      <c r="I40" s="58" t="s">
        <v>504</v>
      </c>
      <c r="J40" s="58" t="s">
        <v>657</v>
      </c>
      <c r="K40" s="74" t="s">
        <v>658</v>
      </c>
      <c r="L40" s="58"/>
      <c r="M40" s="58"/>
      <c r="N40" s="58"/>
      <c r="O40" s="58"/>
      <c r="P40" s="58"/>
      <c r="Q40" s="58"/>
      <c r="R40" s="58"/>
      <c r="S40" s="58"/>
      <c r="T40" s="58"/>
      <c r="U40" s="58"/>
      <c r="V40" s="58"/>
      <c r="W40" s="58"/>
      <c r="X40" s="58" t="s">
        <v>507</v>
      </c>
      <c r="Y40" s="52"/>
      <c r="Z40" s="52"/>
      <c r="AA40" s="52"/>
      <c r="AB40" s="52"/>
      <c r="AC40" s="52"/>
    </row>
    <row r="41" ht="35.100000000000001" customHeight="1">
      <c r="A41" s="73">
        <v>29</v>
      </c>
      <c r="B41" s="75"/>
      <c r="C41" s="75"/>
      <c r="D41" s="58" t="s">
        <v>659</v>
      </c>
      <c r="E41" s="58" t="s">
        <v>660</v>
      </c>
      <c r="F41" s="58" t="s">
        <v>225</v>
      </c>
      <c r="G41" s="58" t="s">
        <v>661</v>
      </c>
      <c r="H41" s="58" t="s">
        <v>662</v>
      </c>
      <c r="I41" s="58" t="s">
        <v>504</v>
      </c>
      <c r="J41" s="58" t="s">
        <v>663</v>
      </c>
      <c r="K41" s="74" t="s">
        <v>664</v>
      </c>
      <c r="L41" s="58"/>
      <c r="M41" s="58"/>
      <c r="N41" s="58"/>
      <c r="O41" s="58"/>
      <c r="P41" s="58"/>
      <c r="Q41" s="58"/>
      <c r="R41" s="58"/>
      <c r="S41" s="58"/>
      <c r="T41" s="58"/>
      <c r="U41" s="58"/>
      <c r="V41" s="58"/>
      <c r="W41" s="58"/>
      <c r="X41" s="58" t="s">
        <v>507</v>
      </c>
      <c r="Y41" s="52"/>
      <c r="Z41" s="52"/>
      <c r="AA41" s="52"/>
      <c r="AB41" s="52"/>
      <c r="AC41" s="52"/>
    </row>
    <row r="42" ht="62.100000000000001" customHeight="1">
      <c r="A42" s="73">
        <v>30</v>
      </c>
      <c r="B42" s="75"/>
      <c r="C42" s="75"/>
      <c r="D42" s="75"/>
      <c r="E42" s="58" t="s">
        <v>665</v>
      </c>
      <c r="F42" s="58" t="s">
        <v>203</v>
      </c>
      <c r="G42" s="58" t="s">
        <v>666</v>
      </c>
      <c r="H42" s="58" t="s">
        <v>667</v>
      </c>
      <c r="I42" s="58" t="s">
        <v>504</v>
      </c>
      <c r="J42" s="58" t="s">
        <v>668</v>
      </c>
      <c r="K42" s="74" t="s">
        <v>669</v>
      </c>
      <c r="L42" s="58"/>
      <c r="M42" s="58"/>
      <c r="N42" s="58"/>
      <c r="O42" s="58"/>
      <c r="P42" s="58"/>
      <c r="Q42" s="58"/>
      <c r="R42" s="58"/>
      <c r="S42" s="58"/>
      <c r="T42" s="58"/>
      <c r="U42" s="58"/>
      <c r="V42" s="58"/>
      <c r="W42" s="77" t="s">
        <v>670</v>
      </c>
      <c r="X42" s="58" t="s">
        <v>507</v>
      </c>
      <c r="Y42" s="52"/>
      <c r="Z42" s="52"/>
      <c r="AA42" s="52"/>
      <c r="AB42" s="52"/>
      <c r="AC42" s="52"/>
    </row>
    <row r="43" ht="35.100000000000001" customHeight="1">
      <c r="A43" s="73">
        <v>31</v>
      </c>
      <c r="B43" s="75"/>
      <c r="C43" s="75"/>
      <c r="D43" s="75"/>
      <c r="E43" s="58" t="s">
        <v>671</v>
      </c>
      <c r="F43" s="58" t="s">
        <v>210</v>
      </c>
      <c r="G43" s="58" t="s">
        <v>672</v>
      </c>
      <c r="H43" s="58" t="s">
        <v>673</v>
      </c>
      <c r="I43" s="58" t="s">
        <v>504</v>
      </c>
      <c r="J43" s="58" t="s">
        <v>674</v>
      </c>
      <c r="K43" s="74" t="s">
        <v>675</v>
      </c>
      <c r="L43" s="58"/>
      <c r="M43" s="58"/>
      <c r="N43" s="58"/>
      <c r="O43" s="58"/>
      <c r="P43" s="58"/>
      <c r="Q43" s="58"/>
      <c r="R43" s="58"/>
      <c r="S43" s="58"/>
      <c r="T43" s="58"/>
      <c r="U43" s="58"/>
      <c r="V43" s="58"/>
      <c r="W43" s="77" t="s">
        <v>676</v>
      </c>
      <c r="X43" s="58" t="s">
        <v>507</v>
      </c>
      <c r="Y43" s="52"/>
      <c r="Z43" s="52"/>
      <c r="AA43" s="52"/>
      <c r="AB43" s="52"/>
      <c r="AC43" s="52"/>
    </row>
    <row r="44" ht="75.599999999999994" customHeight="1">
      <c r="A44" s="73">
        <v>32</v>
      </c>
      <c r="B44" s="75"/>
      <c r="C44" s="75"/>
      <c r="D44" s="75"/>
      <c r="E44" s="58" t="s">
        <v>677</v>
      </c>
      <c r="F44" s="58" t="s">
        <v>203</v>
      </c>
      <c r="G44" s="58" t="s">
        <v>678</v>
      </c>
      <c r="H44" s="58" t="s">
        <v>679</v>
      </c>
      <c r="I44" s="58" t="s">
        <v>504</v>
      </c>
      <c r="J44" s="58" t="s">
        <v>680</v>
      </c>
      <c r="K44" s="74" t="s">
        <v>681</v>
      </c>
      <c r="L44" s="58"/>
      <c r="M44" s="58"/>
      <c r="N44" s="58"/>
      <c r="O44" s="58"/>
      <c r="P44" s="58"/>
      <c r="Q44" s="58"/>
      <c r="R44" s="58"/>
      <c r="S44" s="58"/>
      <c r="T44" s="58"/>
      <c r="U44" s="58"/>
      <c r="V44" s="58"/>
      <c r="W44" s="77" t="s">
        <v>682</v>
      </c>
      <c r="X44" s="58" t="s">
        <v>507</v>
      </c>
      <c r="Y44" s="52"/>
      <c r="Z44" s="52"/>
      <c r="AA44" s="52"/>
      <c r="AB44" s="52"/>
      <c r="AC44" s="52"/>
    </row>
    <row r="45" ht="48.600000000000001" customHeight="1">
      <c r="A45" s="73">
        <v>33</v>
      </c>
      <c r="B45" s="75"/>
      <c r="C45" s="75"/>
      <c r="D45" s="75"/>
      <c r="E45" s="58" t="s">
        <v>683</v>
      </c>
      <c r="F45" s="58" t="s">
        <v>210</v>
      </c>
      <c r="G45" s="58" t="s">
        <v>684</v>
      </c>
      <c r="H45" s="58" t="s">
        <v>685</v>
      </c>
      <c r="I45" s="58" t="s">
        <v>504</v>
      </c>
      <c r="J45" s="58" t="s">
        <v>686</v>
      </c>
      <c r="K45" s="74" t="s">
        <v>687</v>
      </c>
      <c r="L45" s="58"/>
      <c r="M45" s="58"/>
      <c r="N45" s="58"/>
      <c r="O45" s="58"/>
      <c r="P45" s="58"/>
      <c r="Q45" s="58"/>
      <c r="R45" s="58"/>
      <c r="S45" s="58"/>
      <c r="T45" s="58"/>
      <c r="U45" s="58"/>
      <c r="V45" s="58"/>
      <c r="W45" s="58"/>
      <c r="X45" s="58" t="s">
        <v>507</v>
      </c>
      <c r="Y45" s="52"/>
      <c r="Z45" s="52"/>
      <c r="AA45" s="52"/>
      <c r="AB45" s="52"/>
      <c r="AC45" s="52"/>
    </row>
    <row r="46" ht="48.600000000000001" customHeight="1">
      <c r="A46" s="73">
        <v>34</v>
      </c>
      <c r="B46" s="75"/>
      <c r="C46" s="78"/>
      <c r="D46" s="78"/>
      <c r="E46" s="58" t="s">
        <v>688</v>
      </c>
      <c r="F46" s="58" t="s">
        <v>210</v>
      </c>
      <c r="G46" s="58" t="s">
        <v>689</v>
      </c>
      <c r="H46" s="58" t="s">
        <v>690</v>
      </c>
      <c r="I46" s="58" t="s">
        <v>504</v>
      </c>
      <c r="J46" s="58" t="s">
        <v>691</v>
      </c>
      <c r="K46" s="74" t="s">
        <v>692</v>
      </c>
      <c r="L46" s="58"/>
      <c r="M46" s="58"/>
      <c r="N46" s="58"/>
      <c r="O46" s="58"/>
      <c r="P46" s="58"/>
      <c r="Q46" s="58"/>
      <c r="R46" s="58"/>
      <c r="S46" s="58"/>
      <c r="T46" s="58"/>
      <c r="U46" s="58"/>
      <c r="V46" s="58"/>
      <c r="W46" s="58"/>
      <c r="X46" s="58" t="s">
        <v>507</v>
      </c>
      <c r="Y46" s="52"/>
      <c r="Z46" s="52"/>
      <c r="AA46" s="52"/>
      <c r="AB46" s="52"/>
      <c r="AC46" s="52"/>
    </row>
    <row r="47" ht="48.600000000000001" customHeight="1">
      <c r="A47" s="73">
        <v>35</v>
      </c>
      <c r="B47" s="75"/>
      <c r="C47" s="58" t="s">
        <v>97</v>
      </c>
      <c r="D47" s="58" t="s">
        <v>268</v>
      </c>
      <c r="E47" s="58" t="s">
        <v>693</v>
      </c>
      <c r="F47" s="58" t="s">
        <v>203</v>
      </c>
      <c r="G47" s="58" t="s">
        <v>694</v>
      </c>
      <c r="H47" s="58" t="s">
        <v>695</v>
      </c>
      <c r="I47" s="58" t="s">
        <v>504</v>
      </c>
      <c r="J47" s="58" t="s">
        <v>696</v>
      </c>
      <c r="K47" s="74" t="s">
        <v>697</v>
      </c>
      <c r="L47" s="58"/>
      <c r="M47" s="58"/>
      <c r="N47" s="58"/>
      <c r="O47" s="58"/>
      <c r="P47" s="58"/>
      <c r="Q47" s="58"/>
      <c r="R47" s="58"/>
      <c r="S47" s="58"/>
      <c r="T47" s="58"/>
      <c r="U47" s="58"/>
      <c r="V47" s="58"/>
      <c r="W47" s="77" t="s">
        <v>698</v>
      </c>
      <c r="X47" s="58" t="s">
        <v>507</v>
      </c>
      <c r="Y47" s="52"/>
      <c r="Z47" s="52"/>
      <c r="AA47" s="52"/>
      <c r="AB47" s="52"/>
      <c r="AC47" s="52"/>
    </row>
    <row r="48" ht="62.100000000000001" customHeight="1">
      <c r="A48" s="73">
        <v>36</v>
      </c>
      <c r="B48" s="75"/>
      <c r="C48" s="75"/>
      <c r="D48" s="75"/>
      <c r="E48" s="58" t="s">
        <v>699</v>
      </c>
      <c r="F48" s="58" t="s">
        <v>203</v>
      </c>
      <c r="G48" s="58" t="s">
        <v>700</v>
      </c>
      <c r="H48" s="58" t="s">
        <v>701</v>
      </c>
      <c r="I48" s="58" t="s">
        <v>504</v>
      </c>
      <c r="J48" s="58" t="s">
        <v>702</v>
      </c>
      <c r="K48" s="74" t="s">
        <v>703</v>
      </c>
      <c r="L48" s="58"/>
      <c r="M48" s="58"/>
      <c r="N48" s="58"/>
      <c r="O48" s="58"/>
      <c r="P48" s="58"/>
      <c r="Q48" s="58"/>
      <c r="R48" s="58"/>
      <c r="S48" s="58"/>
      <c r="T48" s="58"/>
      <c r="U48" s="58"/>
      <c r="V48" s="58"/>
      <c r="W48" s="58"/>
      <c r="X48" s="58" t="s">
        <v>507</v>
      </c>
      <c r="Y48" s="52"/>
      <c r="Z48" s="52"/>
      <c r="AA48" s="52"/>
      <c r="AB48" s="52"/>
      <c r="AC48" s="52"/>
    </row>
    <row r="49" ht="35.100000000000001" customHeight="1">
      <c r="A49" s="73">
        <v>37</v>
      </c>
      <c r="B49" s="75"/>
      <c r="C49" s="75"/>
      <c r="D49" s="75"/>
      <c r="E49" s="58" t="s">
        <v>704</v>
      </c>
      <c r="F49" s="58" t="s">
        <v>203</v>
      </c>
      <c r="G49" s="58" t="s">
        <v>705</v>
      </c>
      <c r="H49" s="58" t="s">
        <v>706</v>
      </c>
      <c r="I49" s="58" t="s">
        <v>504</v>
      </c>
      <c r="J49" s="58" t="s">
        <v>707</v>
      </c>
      <c r="K49" s="74" t="s">
        <v>708</v>
      </c>
      <c r="L49" s="58"/>
      <c r="M49" s="58"/>
      <c r="N49" s="58"/>
      <c r="O49" s="58"/>
      <c r="P49" s="58"/>
      <c r="Q49" s="58"/>
      <c r="R49" s="58"/>
      <c r="S49" s="58"/>
      <c r="T49" s="58"/>
      <c r="U49" s="58"/>
      <c r="V49" s="58"/>
      <c r="W49" s="58"/>
      <c r="X49" s="58" t="s">
        <v>507</v>
      </c>
      <c r="Y49" s="52"/>
      <c r="Z49" s="52"/>
      <c r="AA49" s="52"/>
      <c r="AB49" s="52"/>
      <c r="AC49" s="52"/>
    </row>
    <row r="50" ht="35.100000000000001" customHeight="1">
      <c r="A50" s="73">
        <v>38</v>
      </c>
      <c r="B50" s="75"/>
      <c r="C50" s="75"/>
      <c r="D50" s="75"/>
      <c r="E50" s="75"/>
      <c r="F50" s="58" t="s">
        <v>203</v>
      </c>
      <c r="G50" s="58" t="s">
        <v>709</v>
      </c>
      <c r="H50" s="58" t="s">
        <v>710</v>
      </c>
      <c r="I50" s="58" t="s">
        <v>504</v>
      </c>
      <c r="J50" s="58" t="s">
        <v>711</v>
      </c>
      <c r="K50" s="74" t="s">
        <v>708</v>
      </c>
      <c r="L50" s="58"/>
      <c r="M50" s="58"/>
      <c r="N50" s="58"/>
      <c r="O50" s="58"/>
      <c r="P50" s="58"/>
      <c r="Q50" s="58"/>
      <c r="R50" s="58"/>
      <c r="S50" s="58"/>
      <c r="T50" s="58"/>
      <c r="U50" s="58"/>
      <c r="V50" s="58"/>
      <c r="W50" s="58"/>
      <c r="X50" s="58" t="s">
        <v>507</v>
      </c>
      <c r="Y50" s="52"/>
      <c r="Z50" s="52"/>
      <c r="AA50" s="52"/>
      <c r="AB50" s="52"/>
      <c r="AC50" s="52"/>
    </row>
    <row r="51" ht="75.599999999999994" customHeight="1">
      <c r="A51" s="73">
        <v>39</v>
      </c>
      <c r="B51" s="75"/>
      <c r="C51" s="75"/>
      <c r="D51" s="75"/>
      <c r="E51" s="75"/>
      <c r="F51" s="58" t="s">
        <v>203</v>
      </c>
      <c r="G51" s="58" t="s">
        <v>712</v>
      </c>
      <c r="H51" s="58" t="s">
        <v>713</v>
      </c>
      <c r="I51" s="58" t="s">
        <v>504</v>
      </c>
      <c r="J51" s="58" t="s">
        <v>714</v>
      </c>
      <c r="K51" s="74" t="s">
        <v>715</v>
      </c>
      <c r="L51" s="58"/>
      <c r="M51" s="58"/>
      <c r="N51" s="58"/>
      <c r="O51" s="58"/>
      <c r="P51" s="58"/>
      <c r="Q51" s="58"/>
      <c r="R51" s="58"/>
      <c r="S51" s="58"/>
      <c r="T51" s="58"/>
      <c r="U51" s="58"/>
      <c r="V51" s="58"/>
      <c r="W51" s="58"/>
      <c r="X51" s="58" t="s">
        <v>507</v>
      </c>
      <c r="Y51" s="52"/>
      <c r="Z51" s="52"/>
      <c r="AA51" s="52"/>
      <c r="AB51" s="52"/>
      <c r="AC51" s="52"/>
    </row>
    <row r="52" ht="75.599999999999994" customHeight="1">
      <c r="A52" s="73">
        <v>40</v>
      </c>
      <c r="B52" s="75"/>
      <c r="C52" s="75"/>
      <c r="D52" s="75"/>
      <c r="E52" s="78"/>
      <c r="F52" s="58" t="s">
        <v>203</v>
      </c>
      <c r="G52" s="58" t="s">
        <v>716</v>
      </c>
      <c r="H52" s="58" t="s">
        <v>717</v>
      </c>
      <c r="I52" s="58" t="s">
        <v>504</v>
      </c>
      <c r="J52" s="58" t="s">
        <v>718</v>
      </c>
      <c r="K52" s="74" t="s">
        <v>708</v>
      </c>
      <c r="L52" s="58"/>
      <c r="M52" s="58"/>
      <c r="N52" s="58"/>
      <c r="O52" s="58"/>
      <c r="P52" s="58"/>
      <c r="Q52" s="58"/>
      <c r="R52" s="58"/>
      <c r="S52" s="58"/>
      <c r="T52" s="58"/>
      <c r="U52" s="58"/>
      <c r="V52" s="58"/>
      <c r="W52" s="58"/>
      <c r="X52" s="58" t="s">
        <v>507</v>
      </c>
      <c r="Y52" s="52"/>
      <c r="Z52" s="52"/>
      <c r="AA52" s="52"/>
      <c r="AB52" s="52"/>
      <c r="AC52" s="52"/>
    </row>
    <row r="53" ht="75.599999999999994" customHeight="1">
      <c r="A53" s="73">
        <v>41</v>
      </c>
      <c r="B53" s="75"/>
      <c r="C53" s="75"/>
      <c r="D53" s="75"/>
      <c r="E53" s="58" t="s">
        <v>719</v>
      </c>
      <c r="F53" s="58" t="s">
        <v>203</v>
      </c>
      <c r="G53" s="58" t="s">
        <v>720</v>
      </c>
      <c r="H53" s="58" t="s">
        <v>721</v>
      </c>
      <c r="I53" s="58" t="s">
        <v>504</v>
      </c>
      <c r="J53" s="58" t="s">
        <v>722</v>
      </c>
      <c r="K53" s="74" t="s">
        <v>723</v>
      </c>
      <c r="L53" s="58"/>
      <c r="M53" s="58"/>
      <c r="N53" s="58"/>
      <c r="O53" s="58"/>
      <c r="P53" s="58"/>
      <c r="Q53" s="58"/>
      <c r="R53" s="58"/>
      <c r="S53" s="58"/>
      <c r="T53" s="58"/>
      <c r="U53" s="58"/>
      <c r="V53" s="58"/>
      <c r="W53" s="58"/>
      <c r="X53" s="58" t="s">
        <v>507</v>
      </c>
      <c r="Y53" s="52"/>
      <c r="Z53" s="52"/>
      <c r="AA53" s="52"/>
      <c r="AB53" s="52"/>
      <c r="AC53" s="52"/>
    </row>
    <row r="54" ht="62.100000000000001" customHeight="1">
      <c r="A54" s="73">
        <v>42</v>
      </c>
      <c r="B54" s="75"/>
      <c r="C54" s="75"/>
      <c r="D54" s="75"/>
      <c r="E54" s="58" t="s">
        <v>724</v>
      </c>
      <c r="F54" s="58" t="s">
        <v>210</v>
      </c>
      <c r="G54" s="58" t="s">
        <v>725</v>
      </c>
      <c r="H54" s="58" t="s">
        <v>726</v>
      </c>
      <c r="I54" s="58" t="s">
        <v>727</v>
      </c>
      <c r="J54" s="58" t="s">
        <v>728</v>
      </c>
      <c r="K54" s="74" t="s">
        <v>729</v>
      </c>
      <c r="L54" s="58"/>
      <c r="M54" s="58"/>
      <c r="N54" s="58"/>
      <c r="O54" s="58"/>
      <c r="P54" s="58"/>
      <c r="Q54" s="58"/>
      <c r="R54" s="58"/>
      <c r="S54" s="58"/>
      <c r="T54" s="58"/>
      <c r="U54" s="58"/>
      <c r="V54" s="58"/>
      <c r="W54" s="77" t="s">
        <v>730</v>
      </c>
      <c r="X54" s="58" t="s">
        <v>507</v>
      </c>
      <c r="Y54" s="52"/>
      <c r="Z54" s="52"/>
      <c r="AA54" s="52"/>
      <c r="AB54" s="52"/>
      <c r="AC54" s="52"/>
    </row>
    <row r="55" ht="48.600000000000001" customHeight="1">
      <c r="A55" s="73">
        <v>43</v>
      </c>
      <c r="B55" s="75"/>
      <c r="C55" s="75"/>
      <c r="D55" s="75"/>
      <c r="E55" s="58" t="s">
        <v>731</v>
      </c>
      <c r="F55" s="58" t="s">
        <v>210</v>
      </c>
      <c r="G55" s="58" t="s">
        <v>732</v>
      </c>
      <c r="H55" s="58" t="s">
        <v>733</v>
      </c>
      <c r="I55" s="58" t="s">
        <v>504</v>
      </c>
      <c r="J55" s="58" t="s">
        <v>734</v>
      </c>
      <c r="K55" s="74" t="s">
        <v>735</v>
      </c>
      <c r="L55" s="58"/>
      <c r="M55" s="58"/>
      <c r="N55" s="58"/>
      <c r="O55" s="58"/>
      <c r="P55" s="58"/>
      <c r="Q55" s="58"/>
      <c r="R55" s="58"/>
      <c r="S55" s="58"/>
      <c r="T55" s="58"/>
      <c r="U55" s="58"/>
      <c r="V55" s="58"/>
      <c r="W55" s="77" t="s">
        <v>736</v>
      </c>
      <c r="X55" s="58" t="s">
        <v>507</v>
      </c>
      <c r="Y55" s="52"/>
      <c r="Z55" s="52"/>
      <c r="AA55" s="52"/>
      <c r="AB55" s="52"/>
      <c r="AC55" s="52"/>
    </row>
    <row r="56" ht="75.599999999999994" customHeight="1">
      <c r="A56" s="73">
        <v>44</v>
      </c>
      <c r="B56" s="75"/>
      <c r="C56" s="75"/>
      <c r="D56" s="75"/>
      <c r="E56" s="58" t="s">
        <v>737</v>
      </c>
      <c r="F56" s="58" t="s">
        <v>203</v>
      </c>
      <c r="G56" s="58" t="s">
        <v>738</v>
      </c>
      <c r="H56" s="58" t="s">
        <v>739</v>
      </c>
      <c r="I56" s="80" t="s">
        <v>504</v>
      </c>
      <c r="J56" s="80" t="s">
        <v>740</v>
      </c>
      <c r="K56" s="81" t="s">
        <v>741</v>
      </c>
      <c r="L56" s="58"/>
      <c r="M56" s="58"/>
      <c r="N56" s="58"/>
      <c r="O56" s="58"/>
      <c r="P56" s="58"/>
      <c r="Q56" s="58"/>
      <c r="R56" s="58"/>
      <c r="S56" s="58"/>
      <c r="T56" s="58"/>
      <c r="U56" s="58"/>
      <c r="V56" s="58"/>
      <c r="W56" s="58"/>
      <c r="X56" s="58" t="s">
        <v>742</v>
      </c>
      <c r="Y56" s="52"/>
      <c r="Z56" s="52"/>
      <c r="AA56" s="52"/>
      <c r="AB56" s="52"/>
      <c r="AC56" s="52"/>
    </row>
    <row r="57" ht="62.100000000000001" customHeight="1">
      <c r="A57" s="73">
        <v>45</v>
      </c>
      <c r="B57" s="75"/>
      <c r="C57" s="75"/>
      <c r="D57" s="75"/>
      <c r="E57" s="75"/>
      <c r="F57" s="58" t="s">
        <v>203</v>
      </c>
      <c r="G57" s="58" t="s">
        <v>743</v>
      </c>
      <c r="H57" s="58" t="s">
        <v>744</v>
      </c>
      <c r="I57" s="80" t="s">
        <v>504</v>
      </c>
      <c r="J57" s="80" t="s">
        <v>745</v>
      </c>
      <c r="K57" s="81" t="s">
        <v>746</v>
      </c>
      <c r="L57" s="58"/>
      <c r="M57" s="58"/>
      <c r="N57" s="58"/>
      <c r="O57" s="58"/>
      <c r="P57" s="58"/>
      <c r="Q57" s="58"/>
      <c r="R57" s="58"/>
      <c r="S57" s="58"/>
      <c r="T57" s="58"/>
      <c r="U57" s="58"/>
      <c r="V57" s="58"/>
      <c r="W57" s="58"/>
      <c r="X57" s="58" t="s">
        <v>742</v>
      </c>
      <c r="Y57" s="52"/>
      <c r="Z57" s="52"/>
      <c r="AA57" s="52"/>
      <c r="AB57" s="52"/>
      <c r="AC57" s="52"/>
    </row>
    <row r="58" ht="62.100000000000001" customHeight="1">
      <c r="A58" s="73">
        <v>46</v>
      </c>
      <c r="B58" s="75"/>
      <c r="C58" s="75"/>
      <c r="D58" s="75"/>
      <c r="E58" s="75"/>
      <c r="F58" s="58" t="s">
        <v>203</v>
      </c>
      <c r="G58" s="58" t="s">
        <v>747</v>
      </c>
      <c r="H58" s="58" t="s">
        <v>748</v>
      </c>
      <c r="I58" s="80" t="s">
        <v>504</v>
      </c>
      <c r="J58" s="80" t="s">
        <v>749</v>
      </c>
      <c r="K58" s="81" t="s">
        <v>750</v>
      </c>
      <c r="L58" s="58"/>
      <c r="M58" s="58"/>
      <c r="N58" s="58"/>
      <c r="O58" s="58"/>
      <c r="P58" s="58"/>
      <c r="Q58" s="58"/>
      <c r="R58" s="58"/>
      <c r="S58" s="58"/>
      <c r="T58" s="58"/>
      <c r="U58" s="58"/>
      <c r="V58" s="58"/>
      <c r="W58" s="58"/>
      <c r="X58" s="58" t="s">
        <v>742</v>
      </c>
      <c r="Y58" s="52"/>
      <c r="Z58" s="52"/>
      <c r="AA58" s="52"/>
      <c r="AB58" s="52"/>
      <c r="AC58" s="52"/>
    </row>
    <row r="59" ht="62.100000000000001" customHeight="1">
      <c r="A59" s="73">
        <v>47</v>
      </c>
      <c r="B59" s="75"/>
      <c r="C59" s="75"/>
      <c r="D59" s="75"/>
      <c r="E59" s="75"/>
      <c r="F59" s="58" t="s">
        <v>203</v>
      </c>
      <c r="G59" s="58" t="s">
        <v>751</v>
      </c>
      <c r="H59" s="58" t="s">
        <v>752</v>
      </c>
      <c r="I59" s="80" t="s">
        <v>504</v>
      </c>
      <c r="J59" s="80" t="s">
        <v>753</v>
      </c>
      <c r="K59" s="81" t="s">
        <v>754</v>
      </c>
      <c r="L59" s="58"/>
      <c r="M59" s="58"/>
      <c r="N59" s="58"/>
      <c r="O59" s="58"/>
      <c r="P59" s="58"/>
      <c r="Q59" s="58"/>
      <c r="R59" s="58"/>
      <c r="S59" s="58"/>
      <c r="T59" s="58"/>
      <c r="U59" s="58"/>
      <c r="V59" s="58"/>
      <c r="W59" s="58"/>
      <c r="X59" s="58" t="s">
        <v>742</v>
      </c>
      <c r="Y59" s="52"/>
      <c r="Z59" s="52"/>
      <c r="AA59" s="52"/>
      <c r="AB59" s="52"/>
      <c r="AC59" s="52"/>
    </row>
    <row r="60" ht="48.600000000000001" customHeight="1">
      <c r="A60" s="73">
        <v>48</v>
      </c>
      <c r="B60" s="75"/>
      <c r="C60" s="75"/>
      <c r="D60" s="75"/>
      <c r="E60" s="75"/>
      <c r="F60" s="58" t="s">
        <v>203</v>
      </c>
      <c r="G60" s="58" t="s">
        <v>755</v>
      </c>
      <c r="H60" s="58" t="s">
        <v>756</v>
      </c>
      <c r="I60" s="80" t="s">
        <v>504</v>
      </c>
      <c r="J60" s="80" t="s">
        <v>757</v>
      </c>
      <c r="K60" s="81" t="s">
        <v>758</v>
      </c>
      <c r="L60" s="58"/>
      <c r="M60" s="58"/>
      <c r="N60" s="58"/>
      <c r="O60" s="58"/>
      <c r="P60" s="58"/>
      <c r="Q60" s="58"/>
      <c r="R60" s="58"/>
      <c r="S60" s="58"/>
      <c r="T60" s="58"/>
      <c r="U60" s="58"/>
      <c r="V60" s="58"/>
      <c r="W60" s="58"/>
      <c r="X60" s="58" t="s">
        <v>742</v>
      </c>
      <c r="Y60" s="52"/>
      <c r="Z60" s="52"/>
      <c r="AA60" s="52"/>
      <c r="AB60" s="52"/>
      <c r="AC60" s="52"/>
    </row>
    <row r="61" ht="62.100000000000001" customHeight="1">
      <c r="A61" s="73">
        <v>49</v>
      </c>
      <c r="B61" s="75"/>
      <c r="C61" s="75"/>
      <c r="D61" s="75"/>
      <c r="E61" s="75"/>
      <c r="F61" s="58" t="s">
        <v>203</v>
      </c>
      <c r="G61" s="58" t="s">
        <v>759</v>
      </c>
      <c r="H61" s="58" t="s">
        <v>760</v>
      </c>
      <c r="I61" s="80" t="s">
        <v>504</v>
      </c>
      <c r="J61" s="80" t="s">
        <v>761</v>
      </c>
      <c r="K61" s="81" t="s">
        <v>762</v>
      </c>
      <c r="L61" s="58"/>
      <c r="M61" s="58"/>
      <c r="N61" s="58"/>
      <c r="O61" s="58"/>
      <c r="P61" s="58"/>
      <c r="Q61" s="58"/>
      <c r="R61" s="58"/>
      <c r="S61" s="58"/>
      <c r="T61" s="58"/>
      <c r="U61" s="58"/>
      <c r="V61" s="58"/>
      <c r="W61" s="77" t="s">
        <v>763</v>
      </c>
      <c r="X61" s="58" t="s">
        <v>742</v>
      </c>
      <c r="Y61" s="52"/>
      <c r="Z61" s="52"/>
      <c r="AA61" s="52"/>
      <c r="AB61" s="52"/>
      <c r="AC61" s="52"/>
    </row>
    <row r="62" ht="48.600000000000001" customHeight="1">
      <c r="A62" s="73">
        <v>50</v>
      </c>
      <c r="B62" s="75"/>
      <c r="C62" s="75"/>
      <c r="D62" s="75"/>
      <c r="E62" s="75"/>
      <c r="F62" s="58" t="s">
        <v>210</v>
      </c>
      <c r="G62" s="58" t="s">
        <v>764</v>
      </c>
      <c r="H62" s="80" t="s">
        <v>765</v>
      </c>
      <c r="I62" s="80" t="s">
        <v>504</v>
      </c>
      <c r="J62" s="80" t="s">
        <v>766</v>
      </c>
      <c r="K62" s="58" t="s">
        <v>767</v>
      </c>
      <c r="L62" s="58"/>
      <c r="M62" s="58"/>
      <c r="N62" s="58"/>
      <c r="O62" s="58"/>
      <c r="P62" s="58"/>
      <c r="Q62" s="58"/>
      <c r="R62" s="58"/>
      <c r="S62" s="58"/>
      <c r="T62" s="58"/>
      <c r="U62" s="58"/>
      <c r="V62" s="58"/>
      <c r="W62" s="77" t="s">
        <v>768</v>
      </c>
      <c r="X62" s="58" t="s">
        <v>742</v>
      </c>
      <c r="Y62" s="52"/>
      <c r="Z62" s="52"/>
      <c r="AA62" s="52"/>
      <c r="AB62" s="52"/>
      <c r="AC62" s="52"/>
    </row>
    <row r="63" ht="48.600000000000001" customHeight="1">
      <c r="A63" s="73">
        <v>51</v>
      </c>
      <c r="B63" s="75"/>
      <c r="C63" s="75"/>
      <c r="D63" s="75"/>
      <c r="E63" s="75"/>
      <c r="F63" s="58" t="s">
        <v>210</v>
      </c>
      <c r="G63" s="58" t="s">
        <v>769</v>
      </c>
      <c r="H63" s="58" t="s">
        <v>770</v>
      </c>
      <c r="I63" s="58" t="s">
        <v>504</v>
      </c>
      <c r="J63" s="58" t="s">
        <v>771</v>
      </c>
      <c r="K63" s="58" t="s">
        <v>772</v>
      </c>
      <c r="L63" s="58"/>
      <c r="M63" s="58"/>
      <c r="N63" s="58"/>
      <c r="O63" s="58"/>
      <c r="P63" s="58"/>
      <c r="Q63" s="58"/>
      <c r="R63" s="58"/>
      <c r="S63" s="58"/>
      <c r="T63" s="58"/>
      <c r="U63" s="58"/>
      <c r="V63" s="58"/>
      <c r="W63" s="77" t="s">
        <v>773</v>
      </c>
      <c r="X63" s="58" t="s">
        <v>742</v>
      </c>
      <c r="Y63" s="52"/>
      <c r="Z63" s="52"/>
      <c r="AA63" s="52"/>
      <c r="AB63" s="52"/>
      <c r="AC63" s="52"/>
    </row>
    <row r="64" ht="62.100000000000001" customHeight="1">
      <c r="A64" s="73">
        <v>52</v>
      </c>
      <c r="B64" s="75"/>
      <c r="C64" s="75"/>
      <c r="D64" s="75"/>
      <c r="E64" s="75"/>
      <c r="F64" s="58" t="s">
        <v>210</v>
      </c>
      <c r="G64" s="58" t="s">
        <v>774</v>
      </c>
      <c r="H64" s="58" t="s">
        <v>775</v>
      </c>
      <c r="I64" s="58" t="s">
        <v>504</v>
      </c>
      <c r="J64" s="58" t="s">
        <v>776</v>
      </c>
      <c r="K64" s="58" t="s">
        <v>777</v>
      </c>
      <c r="L64" s="58"/>
      <c r="M64" s="58"/>
      <c r="N64" s="58"/>
      <c r="O64" s="58"/>
      <c r="P64" s="58"/>
      <c r="Q64" s="58"/>
      <c r="R64" s="58"/>
      <c r="S64" s="58"/>
      <c r="T64" s="58"/>
      <c r="U64" s="58"/>
      <c r="V64" s="58"/>
      <c r="W64" s="77" t="s">
        <v>778</v>
      </c>
      <c r="X64" s="58" t="s">
        <v>742</v>
      </c>
      <c r="Y64" s="52"/>
      <c r="Z64" s="52"/>
      <c r="AA64" s="52"/>
      <c r="AB64" s="52"/>
      <c r="AC64" s="52"/>
    </row>
    <row r="65" ht="62.100000000000001" customHeight="1">
      <c r="A65" s="73">
        <v>53</v>
      </c>
      <c r="B65" s="75"/>
      <c r="C65" s="75"/>
      <c r="D65" s="78"/>
      <c r="E65" s="78"/>
      <c r="F65" s="58" t="s">
        <v>210</v>
      </c>
      <c r="G65" s="58" t="s">
        <v>779</v>
      </c>
      <c r="H65" s="58" t="s">
        <v>780</v>
      </c>
      <c r="I65" s="58" t="s">
        <v>504</v>
      </c>
      <c r="J65" s="58" t="s">
        <v>781</v>
      </c>
      <c r="K65" s="58" t="s">
        <v>782</v>
      </c>
      <c r="L65" s="58"/>
      <c r="M65" s="58"/>
      <c r="N65" s="58"/>
      <c r="O65" s="58"/>
      <c r="P65" s="58"/>
      <c r="Q65" s="58"/>
      <c r="R65" s="58"/>
      <c r="S65" s="58"/>
      <c r="T65" s="58"/>
      <c r="U65" s="58"/>
      <c r="V65" s="58"/>
      <c r="W65" s="77" t="s">
        <v>783</v>
      </c>
      <c r="X65" s="58" t="s">
        <v>742</v>
      </c>
      <c r="Y65" s="52"/>
      <c r="Z65" s="52"/>
      <c r="AA65" s="52"/>
      <c r="AB65" s="52"/>
      <c r="AC65" s="52"/>
    </row>
    <row r="66" ht="35.100000000000001" customHeight="1">
      <c r="A66" s="73">
        <v>54</v>
      </c>
      <c r="B66" s="75"/>
      <c r="C66" s="75"/>
      <c r="D66" s="58" t="s">
        <v>784</v>
      </c>
      <c r="E66" s="58" t="s">
        <v>785</v>
      </c>
      <c r="F66" s="58" t="s">
        <v>210</v>
      </c>
      <c r="G66" s="58" t="s">
        <v>786</v>
      </c>
      <c r="H66" s="58" t="s">
        <v>787</v>
      </c>
      <c r="I66" s="58" t="s">
        <v>504</v>
      </c>
      <c r="J66" s="58" t="s">
        <v>788</v>
      </c>
      <c r="K66" s="58" t="s">
        <v>789</v>
      </c>
      <c r="L66" s="58"/>
      <c r="M66" s="58"/>
      <c r="N66" s="58"/>
      <c r="O66" s="58"/>
      <c r="P66" s="58"/>
      <c r="Q66" s="58"/>
      <c r="R66" s="58"/>
      <c r="S66" s="58"/>
      <c r="T66" s="58"/>
      <c r="U66" s="58"/>
      <c r="V66" s="58"/>
      <c r="W66" s="77" t="s">
        <v>790</v>
      </c>
      <c r="X66" s="58" t="s">
        <v>507</v>
      </c>
      <c r="Y66" s="52"/>
      <c r="Z66" s="52"/>
      <c r="AA66" s="52"/>
      <c r="AB66" s="52"/>
      <c r="AC66" s="52"/>
    </row>
    <row r="67" ht="35.100000000000001" customHeight="1">
      <c r="A67" s="73">
        <v>55</v>
      </c>
      <c r="B67" s="75"/>
      <c r="C67" s="75"/>
      <c r="D67" s="75"/>
      <c r="E67" s="58" t="s">
        <v>791</v>
      </c>
      <c r="F67" s="58" t="s">
        <v>210</v>
      </c>
      <c r="G67" s="58" t="s">
        <v>792</v>
      </c>
      <c r="H67" s="58" t="s">
        <v>793</v>
      </c>
      <c r="I67" s="58" t="s">
        <v>504</v>
      </c>
      <c r="J67" s="58" t="s">
        <v>794</v>
      </c>
      <c r="K67" s="58" t="s">
        <v>795</v>
      </c>
      <c r="L67" s="58"/>
      <c r="M67" s="58"/>
      <c r="N67" s="58"/>
      <c r="O67" s="58"/>
      <c r="P67" s="58"/>
      <c r="Q67" s="58"/>
      <c r="R67" s="58"/>
      <c r="S67" s="58"/>
      <c r="T67" s="58"/>
      <c r="U67" s="58"/>
      <c r="V67" s="58"/>
      <c r="W67" s="77" t="s">
        <v>796</v>
      </c>
      <c r="X67" s="58" t="s">
        <v>507</v>
      </c>
      <c r="Y67" s="52"/>
      <c r="Z67" s="52"/>
      <c r="AA67" s="52"/>
      <c r="AB67" s="52"/>
      <c r="AC67" s="52"/>
    </row>
    <row r="68" ht="35.100000000000001" customHeight="1">
      <c r="A68" s="73">
        <v>56</v>
      </c>
      <c r="B68" s="75"/>
      <c r="C68" s="78"/>
      <c r="D68" s="78"/>
      <c r="E68" s="58" t="s">
        <v>797</v>
      </c>
      <c r="F68" s="58" t="s">
        <v>210</v>
      </c>
      <c r="G68" s="58" t="s">
        <v>798</v>
      </c>
      <c r="H68" s="58" t="s">
        <v>799</v>
      </c>
      <c r="I68" s="58" t="s">
        <v>504</v>
      </c>
      <c r="J68" s="58" t="s">
        <v>800</v>
      </c>
      <c r="K68" s="74" t="s">
        <v>801</v>
      </c>
      <c r="L68" s="58"/>
      <c r="M68" s="58"/>
      <c r="N68" s="58"/>
      <c r="O68" s="58"/>
      <c r="P68" s="58"/>
      <c r="Q68" s="58"/>
      <c r="R68" s="58"/>
      <c r="S68" s="58"/>
      <c r="T68" s="58"/>
      <c r="U68" s="58"/>
      <c r="V68" s="58"/>
      <c r="W68" s="77" t="s">
        <v>796</v>
      </c>
      <c r="X68" s="58" t="s">
        <v>507</v>
      </c>
      <c r="Y68" s="52"/>
      <c r="Z68" s="52"/>
      <c r="AA68" s="52"/>
      <c r="AB68" s="52"/>
      <c r="AC68" s="52"/>
    </row>
    <row r="69" ht="48.600000000000001" customHeight="1">
      <c r="A69" s="73">
        <v>57</v>
      </c>
      <c r="B69" s="75"/>
      <c r="C69" s="58" t="s">
        <v>98</v>
      </c>
      <c r="D69" s="58" t="s">
        <v>268</v>
      </c>
      <c r="E69" s="58" t="s">
        <v>269</v>
      </c>
      <c r="F69" s="58" t="s">
        <v>210</v>
      </c>
      <c r="G69" s="58" t="s">
        <v>802</v>
      </c>
      <c r="H69" s="58" t="s">
        <v>803</v>
      </c>
      <c r="I69" s="58" t="s">
        <v>504</v>
      </c>
      <c r="J69" s="58" t="s">
        <v>804</v>
      </c>
      <c r="K69" s="74" t="s">
        <v>805</v>
      </c>
      <c r="L69" s="58"/>
      <c r="M69" s="58"/>
      <c r="N69" s="58"/>
      <c r="O69" s="58"/>
      <c r="P69" s="58"/>
      <c r="Q69" s="58"/>
      <c r="R69" s="58"/>
      <c r="S69" s="58"/>
      <c r="T69" s="58"/>
      <c r="U69" s="58"/>
      <c r="V69" s="58"/>
      <c r="W69" s="77" t="s">
        <v>806</v>
      </c>
      <c r="X69" s="58" t="s">
        <v>507</v>
      </c>
      <c r="Y69" s="52"/>
      <c r="Z69" s="52"/>
      <c r="AA69" s="52"/>
      <c r="AB69" s="52"/>
      <c r="AC69" s="52"/>
    </row>
    <row r="70" ht="75.599999999999994" customHeight="1">
      <c r="A70" s="73">
        <v>58</v>
      </c>
      <c r="B70" s="75"/>
      <c r="C70" s="75"/>
      <c r="D70" s="78"/>
      <c r="E70" s="58" t="s">
        <v>807</v>
      </c>
      <c r="F70" s="58" t="s">
        <v>210</v>
      </c>
      <c r="G70" s="58" t="s">
        <v>808</v>
      </c>
      <c r="H70" s="58" t="s">
        <v>809</v>
      </c>
      <c r="I70" s="58" t="s">
        <v>504</v>
      </c>
      <c r="J70" s="58" t="s">
        <v>810</v>
      </c>
      <c r="K70" s="74" t="s">
        <v>811</v>
      </c>
      <c r="L70" s="58"/>
      <c r="M70" s="58"/>
      <c r="N70" s="58"/>
      <c r="O70" s="58"/>
      <c r="P70" s="58"/>
      <c r="Q70" s="58"/>
      <c r="R70" s="58"/>
      <c r="S70" s="58"/>
      <c r="T70" s="58"/>
      <c r="U70" s="58"/>
      <c r="V70" s="58"/>
      <c r="W70" s="58"/>
      <c r="X70" s="58" t="s">
        <v>507</v>
      </c>
      <c r="Y70" s="52"/>
      <c r="Z70" s="52"/>
      <c r="AA70" s="52"/>
      <c r="AB70" s="52"/>
      <c r="AC70" s="52"/>
    </row>
    <row r="71" ht="48.600000000000001" customHeight="1">
      <c r="A71" s="73">
        <v>59</v>
      </c>
      <c r="B71" s="75"/>
      <c r="C71" s="75"/>
      <c r="D71" s="58" t="s">
        <v>812</v>
      </c>
      <c r="E71" s="58" t="s">
        <v>813</v>
      </c>
      <c r="F71" s="58" t="s">
        <v>210</v>
      </c>
      <c r="G71" s="58" t="s">
        <v>814</v>
      </c>
      <c r="H71" s="58" t="s">
        <v>815</v>
      </c>
      <c r="I71" s="58" t="s">
        <v>816</v>
      </c>
      <c r="J71" s="58" t="s">
        <v>817</v>
      </c>
      <c r="K71" s="74" t="s">
        <v>818</v>
      </c>
      <c r="L71" s="58"/>
      <c r="M71" s="58"/>
      <c r="N71" s="58"/>
      <c r="O71" s="58"/>
      <c r="P71" s="58"/>
      <c r="Q71" s="58"/>
      <c r="R71" s="58"/>
      <c r="S71" s="58"/>
      <c r="T71" s="58"/>
      <c r="U71" s="58"/>
      <c r="V71" s="58"/>
      <c r="W71" s="77" t="s">
        <v>819</v>
      </c>
      <c r="X71" s="58" t="s">
        <v>507</v>
      </c>
      <c r="Y71" s="52"/>
      <c r="Z71" s="52"/>
      <c r="AA71" s="52"/>
      <c r="AB71" s="52"/>
      <c r="AC71" s="52"/>
    </row>
    <row r="72" ht="35.100000000000001" customHeight="1">
      <c r="A72" s="73">
        <v>60</v>
      </c>
      <c r="B72" s="75"/>
      <c r="C72" s="75"/>
      <c r="D72" s="58" t="s">
        <v>820</v>
      </c>
      <c r="E72" s="58" t="s">
        <v>821</v>
      </c>
      <c r="F72" s="58" t="s">
        <v>225</v>
      </c>
      <c r="G72" s="58" t="s">
        <v>822</v>
      </c>
      <c r="H72" s="58" t="s">
        <v>823</v>
      </c>
      <c r="I72" s="58" t="s">
        <v>504</v>
      </c>
      <c r="J72" s="58" t="s">
        <v>824</v>
      </c>
      <c r="K72" s="74" t="s">
        <v>825</v>
      </c>
      <c r="L72" s="58"/>
      <c r="M72" s="58"/>
      <c r="N72" s="58"/>
      <c r="O72" s="58"/>
      <c r="P72" s="58"/>
      <c r="Q72" s="58"/>
      <c r="R72" s="58"/>
      <c r="S72" s="58"/>
      <c r="T72" s="58"/>
      <c r="U72" s="58"/>
      <c r="V72" s="58"/>
      <c r="W72" s="58"/>
      <c r="X72" s="58" t="s">
        <v>507</v>
      </c>
      <c r="Y72" s="52"/>
      <c r="Z72" s="52"/>
      <c r="AA72" s="52"/>
      <c r="AB72" s="52"/>
      <c r="AC72" s="52"/>
    </row>
    <row r="73" ht="48.600000000000001" customHeight="1">
      <c r="A73" s="73">
        <v>61</v>
      </c>
      <c r="B73" s="78"/>
      <c r="C73" s="78"/>
      <c r="D73" s="78"/>
      <c r="E73" s="58" t="s">
        <v>826</v>
      </c>
      <c r="F73" s="58" t="s">
        <v>210</v>
      </c>
      <c r="G73" s="58" t="s">
        <v>827</v>
      </c>
      <c r="H73" s="58" t="s">
        <v>828</v>
      </c>
      <c r="I73" s="58" t="s">
        <v>816</v>
      </c>
      <c r="J73" s="58" t="s">
        <v>829</v>
      </c>
      <c r="K73" s="74" t="s">
        <v>830</v>
      </c>
      <c r="L73" s="58"/>
      <c r="M73" s="58"/>
      <c r="N73" s="58"/>
      <c r="O73" s="58"/>
      <c r="P73" s="58"/>
      <c r="Q73" s="58"/>
      <c r="R73" s="58"/>
      <c r="S73" s="58"/>
      <c r="T73" s="58"/>
      <c r="U73" s="58"/>
      <c r="V73" s="58"/>
      <c r="W73" s="77" t="s">
        <v>831</v>
      </c>
      <c r="X73" s="58" t="s">
        <v>507</v>
      </c>
      <c r="Y73" s="52"/>
      <c r="Z73" s="52"/>
      <c r="AA73" s="52"/>
      <c r="AB73" s="52"/>
      <c r="AC73" s="52"/>
    </row>
    <row r="74" ht="89.099999999999994" customHeight="1">
      <c r="A74" s="73">
        <v>62</v>
      </c>
      <c r="B74" s="58" t="s">
        <v>99</v>
      </c>
      <c r="C74" s="58" t="s">
        <v>100</v>
      </c>
      <c r="D74" s="58" t="s">
        <v>268</v>
      </c>
      <c r="E74" s="58" t="s">
        <v>832</v>
      </c>
      <c r="F74" s="58" t="s">
        <v>203</v>
      </c>
      <c r="G74" s="58" t="s">
        <v>833</v>
      </c>
      <c r="H74" s="58" t="s">
        <v>834</v>
      </c>
      <c r="I74" s="58" t="s">
        <v>504</v>
      </c>
      <c r="J74" s="58" t="s">
        <v>835</v>
      </c>
      <c r="K74" s="74" t="s">
        <v>836</v>
      </c>
      <c r="L74" s="58"/>
      <c r="M74" s="58"/>
      <c r="N74" s="58"/>
      <c r="O74" s="58"/>
      <c r="P74" s="58"/>
      <c r="Q74" s="58"/>
      <c r="R74" s="58"/>
      <c r="S74" s="58"/>
      <c r="T74" s="58"/>
      <c r="U74" s="58"/>
      <c r="V74" s="58"/>
      <c r="W74" s="77" t="s">
        <v>837</v>
      </c>
      <c r="X74" s="58" t="s">
        <v>519</v>
      </c>
      <c r="Y74" s="52"/>
      <c r="Z74" s="52"/>
      <c r="AA74" s="52"/>
      <c r="AB74" s="52"/>
      <c r="AC74" s="52"/>
    </row>
    <row r="75" ht="35.100000000000001" customHeight="1">
      <c r="A75" s="73">
        <v>63</v>
      </c>
      <c r="B75" s="75"/>
      <c r="C75" s="75"/>
      <c r="D75" s="75"/>
      <c r="E75" s="58" t="s">
        <v>838</v>
      </c>
      <c r="F75" s="58" t="s">
        <v>210</v>
      </c>
      <c r="G75" s="58" t="s">
        <v>839</v>
      </c>
      <c r="H75" s="58" t="s">
        <v>840</v>
      </c>
      <c r="I75" s="58" t="s">
        <v>504</v>
      </c>
      <c r="J75" s="58" t="s">
        <v>841</v>
      </c>
      <c r="K75" s="74" t="s">
        <v>842</v>
      </c>
      <c r="L75" s="58"/>
      <c r="M75" s="58"/>
      <c r="N75" s="58"/>
      <c r="O75" s="58"/>
      <c r="P75" s="58"/>
      <c r="Q75" s="58"/>
      <c r="R75" s="58"/>
      <c r="S75" s="58"/>
      <c r="T75" s="58"/>
      <c r="U75" s="58"/>
      <c r="V75" s="58"/>
      <c r="W75" s="58"/>
      <c r="X75" s="58" t="s">
        <v>519</v>
      </c>
      <c r="Y75" s="52"/>
      <c r="Z75" s="52"/>
      <c r="AA75" s="52"/>
      <c r="AB75" s="52"/>
      <c r="AC75" s="52"/>
    </row>
    <row r="76" ht="35.100000000000001" customHeight="1">
      <c r="A76" s="73">
        <v>64</v>
      </c>
      <c r="B76" s="75"/>
      <c r="C76" s="75"/>
      <c r="D76" s="75"/>
      <c r="E76" s="75"/>
      <c r="F76" s="58" t="s">
        <v>210</v>
      </c>
      <c r="G76" s="58" t="s">
        <v>843</v>
      </c>
      <c r="H76" s="58" t="s">
        <v>844</v>
      </c>
      <c r="I76" s="58" t="s">
        <v>504</v>
      </c>
      <c r="J76" s="58" t="s">
        <v>845</v>
      </c>
      <c r="K76" s="74" t="s">
        <v>846</v>
      </c>
      <c r="L76" s="58"/>
      <c r="M76" s="58"/>
      <c r="N76" s="58"/>
      <c r="O76" s="58"/>
      <c r="P76" s="58"/>
      <c r="Q76" s="58"/>
      <c r="R76" s="58"/>
      <c r="S76" s="58"/>
      <c r="T76" s="58"/>
      <c r="U76" s="58"/>
      <c r="V76" s="58"/>
      <c r="W76" s="58"/>
      <c r="X76" s="58" t="s">
        <v>519</v>
      </c>
      <c r="Y76" s="52"/>
      <c r="Z76" s="52"/>
      <c r="AA76" s="52"/>
      <c r="AB76" s="52"/>
      <c r="AC76" s="52"/>
    </row>
    <row r="77" ht="35.100000000000001" customHeight="1">
      <c r="A77" s="73">
        <v>65</v>
      </c>
      <c r="B77" s="75"/>
      <c r="C77" s="75"/>
      <c r="D77" s="78"/>
      <c r="E77" s="78"/>
      <c r="F77" s="58" t="s">
        <v>210</v>
      </c>
      <c r="G77" s="58" t="s">
        <v>847</v>
      </c>
      <c r="H77" s="58" t="s">
        <v>848</v>
      </c>
      <c r="I77" s="58" t="s">
        <v>504</v>
      </c>
      <c r="J77" s="58" t="s">
        <v>849</v>
      </c>
      <c r="K77" s="74" t="s">
        <v>850</v>
      </c>
      <c r="L77" s="58"/>
      <c r="M77" s="58"/>
      <c r="N77" s="58"/>
      <c r="O77" s="58"/>
      <c r="P77" s="58"/>
      <c r="Q77" s="58"/>
      <c r="R77" s="58"/>
      <c r="S77" s="58"/>
      <c r="T77" s="58"/>
      <c r="U77" s="58"/>
      <c r="V77" s="58"/>
      <c r="W77" s="58"/>
      <c r="X77" s="58" t="s">
        <v>519</v>
      </c>
      <c r="Y77" s="52"/>
      <c r="Z77" s="52"/>
      <c r="AA77" s="52"/>
      <c r="AB77" s="52"/>
      <c r="AC77" s="52"/>
    </row>
    <row r="78" ht="35.100000000000001" customHeight="1">
      <c r="A78" s="73">
        <v>66</v>
      </c>
      <c r="B78" s="75"/>
      <c r="C78" s="75"/>
      <c r="D78" s="58" t="s">
        <v>851</v>
      </c>
      <c r="E78" s="58" t="s">
        <v>852</v>
      </c>
      <c r="F78" s="58" t="s">
        <v>210</v>
      </c>
      <c r="G78" s="58" t="s">
        <v>853</v>
      </c>
      <c r="H78" s="58" t="s">
        <v>854</v>
      </c>
      <c r="I78" s="58" t="s">
        <v>504</v>
      </c>
      <c r="J78" s="58" t="s">
        <v>855</v>
      </c>
      <c r="K78" s="74" t="s">
        <v>856</v>
      </c>
      <c r="L78" s="58"/>
      <c r="M78" s="58"/>
      <c r="N78" s="58"/>
      <c r="O78" s="58"/>
      <c r="P78" s="58"/>
      <c r="Q78" s="58"/>
      <c r="R78" s="58"/>
      <c r="S78" s="58"/>
      <c r="T78" s="58"/>
      <c r="U78" s="58"/>
      <c r="V78" s="58"/>
      <c r="W78" s="58"/>
      <c r="X78" s="58" t="s">
        <v>519</v>
      </c>
      <c r="Y78" s="52"/>
      <c r="Z78" s="52"/>
      <c r="AA78" s="52"/>
      <c r="AB78" s="52"/>
      <c r="AC78" s="52"/>
    </row>
    <row r="79" ht="48.600000000000001" customHeight="1">
      <c r="A79" s="73">
        <v>67</v>
      </c>
      <c r="B79" s="75"/>
      <c r="C79" s="75"/>
      <c r="D79" s="58" t="s">
        <v>857</v>
      </c>
      <c r="E79" s="58" t="s">
        <v>858</v>
      </c>
      <c r="F79" s="58" t="s">
        <v>210</v>
      </c>
      <c r="G79" s="58" t="s">
        <v>859</v>
      </c>
      <c r="H79" s="58" t="s">
        <v>860</v>
      </c>
      <c r="I79" s="58" t="s">
        <v>504</v>
      </c>
      <c r="J79" s="58" t="s">
        <v>861</v>
      </c>
      <c r="K79" s="74" t="s">
        <v>862</v>
      </c>
      <c r="L79" s="58"/>
      <c r="M79" s="58"/>
      <c r="N79" s="58"/>
      <c r="O79" s="58"/>
      <c r="P79" s="58"/>
      <c r="Q79" s="58"/>
      <c r="R79" s="58"/>
      <c r="S79" s="58"/>
      <c r="T79" s="58"/>
      <c r="U79" s="58"/>
      <c r="V79" s="58"/>
      <c r="W79" s="77" t="s">
        <v>863</v>
      </c>
      <c r="X79" s="58" t="s">
        <v>864</v>
      </c>
      <c r="Y79" s="52"/>
      <c r="Z79" s="52"/>
      <c r="AA79" s="52"/>
      <c r="AB79" s="52"/>
      <c r="AC79" s="52"/>
    </row>
    <row r="80" ht="48.600000000000001" customHeight="1">
      <c r="A80" s="73">
        <v>68</v>
      </c>
      <c r="B80" s="75"/>
      <c r="C80" s="78"/>
      <c r="D80" s="78"/>
      <c r="E80" s="58" t="s">
        <v>865</v>
      </c>
      <c r="F80" s="58" t="s">
        <v>210</v>
      </c>
      <c r="G80" s="58" t="s">
        <v>866</v>
      </c>
      <c r="H80" s="58" t="s">
        <v>867</v>
      </c>
      <c r="I80" s="58" t="s">
        <v>504</v>
      </c>
      <c r="J80" s="58" t="s">
        <v>868</v>
      </c>
      <c r="K80" s="74" t="s">
        <v>869</v>
      </c>
      <c r="L80" s="58"/>
      <c r="M80" s="58"/>
      <c r="N80" s="58"/>
      <c r="O80" s="58"/>
      <c r="P80" s="58"/>
      <c r="Q80" s="58"/>
      <c r="R80" s="58"/>
      <c r="S80" s="58"/>
      <c r="T80" s="58"/>
      <c r="U80" s="58"/>
      <c r="V80" s="58"/>
      <c r="W80" s="77" t="s">
        <v>870</v>
      </c>
      <c r="X80" s="58" t="s">
        <v>864</v>
      </c>
      <c r="Y80" s="52"/>
      <c r="Z80" s="52"/>
      <c r="AA80" s="52"/>
      <c r="AB80" s="52"/>
      <c r="AC80" s="52"/>
    </row>
    <row r="81" ht="75.599999999999994" customHeight="1">
      <c r="A81" s="73">
        <v>69</v>
      </c>
      <c r="B81" s="75"/>
      <c r="C81" s="58" t="s">
        <v>101</v>
      </c>
      <c r="D81" s="58" t="s">
        <v>268</v>
      </c>
      <c r="E81" s="58" t="s">
        <v>871</v>
      </c>
      <c r="F81" s="58" t="s">
        <v>225</v>
      </c>
      <c r="G81" s="58" t="s">
        <v>872</v>
      </c>
      <c r="H81" s="58" t="s">
        <v>873</v>
      </c>
      <c r="I81" s="58" t="s">
        <v>504</v>
      </c>
      <c r="J81" s="58" t="s">
        <v>874</v>
      </c>
      <c r="K81" s="74" t="s">
        <v>875</v>
      </c>
      <c r="L81" s="58"/>
      <c r="M81" s="58"/>
      <c r="N81" s="58"/>
      <c r="O81" s="58"/>
      <c r="P81" s="58"/>
      <c r="Q81" s="58"/>
      <c r="R81" s="58"/>
      <c r="S81" s="58"/>
      <c r="T81" s="58"/>
      <c r="U81" s="58"/>
      <c r="V81" s="58"/>
      <c r="W81" s="58"/>
      <c r="X81" s="58" t="s">
        <v>519</v>
      </c>
      <c r="Y81" s="52"/>
      <c r="Z81" s="52"/>
      <c r="AA81" s="52"/>
      <c r="AB81" s="52"/>
      <c r="AC81" s="52"/>
    </row>
    <row r="82" ht="62.100000000000001" customHeight="1">
      <c r="A82" s="73">
        <v>70</v>
      </c>
      <c r="B82" s="75"/>
      <c r="C82" s="78"/>
      <c r="D82" s="58" t="s">
        <v>876</v>
      </c>
      <c r="E82" s="58" t="s">
        <v>877</v>
      </c>
      <c r="F82" s="58" t="s">
        <v>225</v>
      </c>
      <c r="G82" s="58" t="s">
        <v>878</v>
      </c>
      <c r="H82" s="58" t="s">
        <v>879</v>
      </c>
      <c r="I82" s="58" t="s">
        <v>504</v>
      </c>
      <c r="J82" s="58" t="s">
        <v>880</v>
      </c>
      <c r="K82" s="74" t="s">
        <v>881</v>
      </c>
      <c r="L82" s="58"/>
      <c r="M82" s="58"/>
      <c r="N82" s="58"/>
      <c r="O82" s="58"/>
      <c r="P82" s="58"/>
      <c r="Q82" s="58"/>
      <c r="R82" s="58"/>
      <c r="S82" s="58"/>
      <c r="T82" s="58"/>
      <c r="U82" s="58"/>
      <c r="V82" s="58"/>
      <c r="W82" s="58"/>
      <c r="X82" s="58" t="s">
        <v>519</v>
      </c>
      <c r="Y82" s="52"/>
      <c r="Z82" s="52"/>
      <c r="AA82" s="52"/>
      <c r="AB82" s="52"/>
      <c r="AC82" s="52"/>
    </row>
    <row r="83" ht="75.599999999999994" customHeight="1">
      <c r="A83" s="73">
        <v>71</v>
      </c>
      <c r="B83" s="75"/>
      <c r="C83" s="58" t="s">
        <v>102</v>
      </c>
      <c r="D83" s="58" t="s">
        <v>268</v>
      </c>
      <c r="E83" s="58" t="s">
        <v>882</v>
      </c>
      <c r="F83" s="58" t="s">
        <v>203</v>
      </c>
      <c r="G83" s="58" t="s">
        <v>883</v>
      </c>
      <c r="H83" s="58" t="s">
        <v>884</v>
      </c>
      <c r="I83" s="58" t="s">
        <v>885</v>
      </c>
      <c r="J83" s="58" t="s">
        <v>886</v>
      </c>
      <c r="K83" s="74" t="s">
        <v>887</v>
      </c>
      <c r="L83" s="58"/>
      <c r="M83" s="58"/>
      <c r="N83" s="58"/>
      <c r="O83" s="58"/>
      <c r="P83" s="58"/>
      <c r="Q83" s="58"/>
      <c r="R83" s="58"/>
      <c r="S83" s="58"/>
      <c r="T83" s="58"/>
      <c r="U83" s="58"/>
      <c r="V83" s="58"/>
      <c r="W83" s="58"/>
      <c r="X83" s="58" t="s">
        <v>519</v>
      </c>
      <c r="Y83" s="52"/>
      <c r="Z83" s="52"/>
      <c r="AA83" s="52"/>
      <c r="AB83" s="52"/>
      <c r="AC83" s="52"/>
    </row>
    <row r="84" ht="62.100000000000001" customHeight="1">
      <c r="A84" s="73">
        <v>72</v>
      </c>
      <c r="B84" s="75"/>
      <c r="C84" s="75"/>
      <c r="D84" s="75"/>
      <c r="E84" s="58" t="s">
        <v>888</v>
      </c>
      <c r="F84" s="58" t="s">
        <v>210</v>
      </c>
      <c r="G84" s="58" t="s">
        <v>889</v>
      </c>
      <c r="H84" s="58" t="s">
        <v>890</v>
      </c>
      <c r="I84" s="58" t="s">
        <v>891</v>
      </c>
      <c r="J84" s="58" t="s">
        <v>892</v>
      </c>
      <c r="K84" s="74" t="s">
        <v>893</v>
      </c>
      <c r="L84" s="58"/>
      <c r="M84" s="58"/>
      <c r="N84" s="58"/>
      <c r="O84" s="58"/>
      <c r="P84" s="58"/>
      <c r="Q84" s="58"/>
      <c r="R84" s="58"/>
      <c r="S84" s="58"/>
      <c r="T84" s="58"/>
      <c r="U84" s="58"/>
      <c r="V84" s="58"/>
      <c r="W84" s="58"/>
      <c r="X84" s="58" t="s">
        <v>519</v>
      </c>
      <c r="Y84" s="52"/>
      <c r="Z84" s="52"/>
      <c r="AA84" s="52"/>
      <c r="AB84" s="52"/>
      <c r="AC84" s="52"/>
    </row>
    <row r="85" ht="89.099999999999994" customHeight="1">
      <c r="A85" s="73">
        <v>73</v>
      </c>
      <c r="B85" s="75"/>
      <c r="C85" s="75"/>
      <c r="D85" s="75"/>
      <c r="E85" s="58" t="s">
        <v>894</v>
      </c>
      <c r="F85" s="58" t="s">
        <v>203</v>
      </c>
      <c r="G85" s="58" t="s">
        <v>895</v>
      </c>
      <c r="H85" s="58" t="s">
        <v>896</v>
      </c>
      <c r="I85" s="58" t="s">
        <v>897</v>
      </c>
      <c r="J85" s="58" t="s">
        <v>898</v>
      </c>
      <c r="K85" s="74" t="s">
        <v>899</v>
      </c>
      <c r="L85" s="58"/>
      <c r="M85" s="58"/>
      <c r="N85" s="58"/>
      <c r="O85" s="58"/>
      <c r="P85" s="58"/>
      <c r="Q85" s="58"/>
      <c r="R85" s="58"/>
      <c r="S85" s="58"/>
      <c r="T85" s="58"/>
      <c r="U85" s="58"/>
      <c r="V85" s="58"/>
      <c r="W85" s="58"/>
      <c r="X85" s="58" t="s">
        <v>519</v>
      </c>
      <c r="Y85" s="52"/>
      <c r="Z85" s="52"/>
      <c r="AA85" s="52"/>
      <c r="AB85" s="52"/>
      <c r="AC85" s="52"/>
    </row>
    <row r="86" ht="75.599999999999994" customHeight="1">
      <c r="A86" s="73">
        <v>74</v>
      </c>
      <c r="B86" s="75"/>
      <c r="C86" s="78"/>
      <c r="D86" s="78"/>
      <c r="E86" s="58" t="s">
        <v>900</v>
      </c>
      <c r="F86" s="58" t="s">
        <v>225</v>
      </c>
      <c r="G86" s="58" t="s">
        <v>901</v>
      </c>
      <c r="H86" s="58" t="s">
        <v>902</v>
      </c>
      <c r="I86" s="58" t="s">
        <v>903</v>
      </c>
      <c r="J86" s="58" t="s">
        <v>892</v>
      </c>
      <c r="K86" s="74" t="s">
        <v>904</v>
      </c>
      <c r="L86" s="58"/>
      <c r="M86" s="58"/>
      <c r="N86" s="58"/>
      <c r="O86" s="58"/>
      <c r="P86" s="58"/>
      <c r="Q86" s="58"/>
      <c r="R86" s="58"/>
      <c r="S86" s="58"/>
      <c r="T86" s="58"/>
      <c r="U86" s="58"/>
      <c r="V86" s="58"/>
      <c r="W86" s="58"/>
      <c r="X86" s="58" t="s">
        <v>519</v>
      </c>
      <c r="Y86" s="52"/>
      <c r="Z86" s="52"/>
      <c r="AA86" s="52"/>
      <c r="AB86" s="52"/>
      <c r="AC86" s="52"/>
    </row>
    <row r="87" ht="129.59999999999999" customHeight="1">
      <c r="A87" s="73">
        <v>75</v>
      </c>
      <c r="B87" s="75"/>
      <c r="C87" s="58" t="s">
        <v>103</v>
      </c>
      <c r="D87" s="58" t="s">
        <v>552</v>
      </c>
      <c r="E87" s="58" t="s">
        <v>905</v>
      </c>
      <c r="F87" s="58" t="s">
        <v>203</v>
      </c>
      <c r="G87" s="58" t="s">
        <v>906</v>
      </c>
      <c r="H87" s="58" t="s">
        <v>907</v>
      </c>
      <c r="I87" s="58" t="s">
        <v>504</v>
      </c>
      <c r="J87" s="58" t="s">
        <v>908</v>
      </c>
      <c r="K87" s="74" t="s">
        <v>909</v>
      </c>
      <c r="L87" s="58"/>
      <c r="M87" s="58"/>
      <c r="N87" s="58"/>
      <c r="O87" s="58"/>
      <c r="P87" s="58"/>
      <c r="Q87" s="58"/>
      <c r="R87" s="58"/>
      <c r="S87" s="58"/>
      <c r="T87" s="58"/>
      <c r="U87" s="58"/>
      <c r="V87" s="58"/>
      <c r="W87" s="77" t="s">
        <v>910</v>
      </c>
      <c r="X87" s="58" t="s">
        <v>864</v>
      </c>
      <c r="Y87" s="52"/>
      <c r="Z87" s="52"/>
      <c r="AA87" s="52"/>
      <c r="AB87" s="52"/>
      <c r="AC87" s="52"/>
    </row>
    <row r="88" ht="62.100000000000001" customHeight="1">
      <c r="A88" s="73">
        <v>76</v>
      </c>
      <c r="B88" s="75"/>
      <c r="C88" s="75"/>
      <c r="D88" s="58" t="s">
        <v>393</v>
      </c>
      <c r="E88" s="58" t="s">
        <v>911</v>
      </c>
      <c r="F88" s="58" t="s">
        <v>203</v>
      </c>
      <c r="G88" s="58" t="s">
        <v>912</v>
      </c>
      <c r="H88" s="58" t="s">
        <v>913</v>
      </c>
      <c r="I88" s="58" t="s">
        <v>504</v>
      </c>
      <c r="J88" s="58" t="s">
        <v>914</v>
      </c>
      <c r="K88" s="74" t="s">
        <v>915</v>
      </c>
      <c r="L88" s="58"/>
      <c r="M88" s="58"/>
      <c r="N88" s="58"/>
      <c r="O88" s="58"/>
      <c r="P88" s="58"/>
      <c r="Q88" s="58"/>
      <c r="R88" s="58"/>
      <c r="S88" s="58"/>
      <c r="T88" s="58"/>
      <c r="U88" s="58"/>
      <c r="V88" s="58"/>
      <c r="W88" s="77" t="s">
        <v>592</v>
      </c>
      <c r="X88" s="58" t="s">
        <v>864</v>
      </c>
      <c r="Y88" s="52"/>
      <c r="Z88" s="52"/>
      <c r="AA88" s="52"/>
      <c r="AB88" s="52"/>
      <c r="AC88" s="52"/>
    </row>
    <row r="89" ht="62.100000000000001" customHeight="1">
      <c r="A89" s="73">
        <v>77</v>
      </c>
      <c r="B89" s="75"/>
      <c r="C89" s="75"/>
      <c r="D89" s="75"/>
      <c r="E89" s="58" t="s">
        <v>916</v>
      </c>
      <c r="F89" s="58" t="s">
        <v>203</v>
      </c>
      <c r="G89" s="58" t="s">
        <v>917</v>
      </c>
      <c r="H89" s="58" t="s">
        <v>918</v>
      </c>
      <c r="I89" s="58" t="s">
        <v>504</v>
      </c>
      <c r="J89" s="58" t="s">
        <v>919</v>
      </c>
      <c r="K89" s="74" t="s">
        <v>920</v>
      </c>
      <c r="L89" s="58"/>
      <c r="M89" s="58"/>
      <c r="N89" s="58"/>
      <c r="O89" s="58"/>
      <c r="P89" s="58"/>
      <c r="Q89" s="58"/>
      <c r="R89" s="58"/>
      <c r="S89" s="58"/>
      <c r="T89" s="58"/>
      <c r="U89" s="58"/>
      <c r="V89" s="58"/>
      <c r="W89" s="77" t="s">
        <v>592</v>
      </c>
      <c r="X89" s="58" t="s">
        <v>864</v>
      </c>
      <c r="Y89" s="52"/>
      <c r="Z89" s="52"/>
      <c r="AA89" s="52"/>
      <c r="AB89" s="52"/>
      <c r="AC89" s="52"/>
    </row>
    <row r="90" ht="62.100000000000001" customHeight="1">
      <c r="A90" s="73">
        <v>78</v>
      </c>
      <c r="B90" s="75"/>
      <c r="C90" s="75"/>
      <c r="D90" s="75"/>
      <c r="E90" s="58" t="s">
        <v>921</v>
      </c>
      <c r="F90" s="58" t="s">
        <v>210</v>
      </c>
      <c r="G90" s="58" t="s">
        <v>922</v>
      </c>
      <c r="H90" s="58" t="s">
        <v>923</v>
      </c>
      <c r="I90" s="58" t="s">
        <v>504</v>
      </c>
      <c r="J90" s="58" t="s">
        <v>924</v>
      </c>
      <c r="K90" s="74" t="s">
        <v>925</v>
      </c>
      <c r="L90" s="58"/>
      <c r="M90" s="58"/>
      <c r="N90" s="58"/>
      <c r="O90" s="58"/>
      <c r="P90" s="58"/>
      <c r="Q90" s="58"/>
      <c r="R90" s="58"/>
      <c r="S90" s="58"/>
      <c r="T90" s="58"/>
      <c r="U90" s="58"/>
      <c r="V90" s="58"/>
      <c r="W90" s="77" t="s">
        <v>926</v>
      </c>
      <c r="X90" s="58" t="s">
        <v>864</v>
      </c>
      <c r="Y90" s="52"/>
      <c r="Z90" s="52"/>
      <c r="AA90" s="52"/>
      <c r="AB90" s="52"/>
      <c r="AC90" s="52"/>
    </row>
    <row r="91" ht="48.600000000000001" customHeight="1">
      <c r="A91" s="73">
        <v>79</v>
      </c>
      <c r="B91" s="75"/>
      <c r="C91" s="75"/>
      <c r="D91" s="75"/>
      <c r="E91" s="58" t="s">
        <v>622</v>
      </c>
      <c r="F91" s="58" t="s">
        <v>210</v>
      </c>
      <c r="G91" s="58" t="s">
        <v>927</v>
      </c>
      <c r="H91" s="58" t="s">
        <v>928</v>
      </c>
      <c r="I91" s="58" t="s">
        <v>504</v>
      </c>
      <c r="J91" s="58" t="s">
        <v>929</v>
      </c>
      <c r="K91" s="74" t="s">
        <v>930</v>
      </c>
      <c r="L91" s="58"/>
      <c r="M91" s="58"/>
      <c r="N91" s="58"/>
      <c r="O91" s="58"/>
      <c r="P91" s="58"/>
      <c r="Q91" s="58"/>
      <c r="R91" s="58"/>
      <c r="S91" s="58"/>
      <c r="T91" s="58"/>
      <c r="U91" s="58"/>
      <c r="V91" s="58"/>
      <c r="W91" s="58"/>
      <c r="X91" s="58" t="s">
        <v>864</v>
      </c>
      <c r="Y91" s="52"/>
      <c r="Z91" s="52"/>
      <c r="AA91" s="52"/>
      <c r="AB91" s="52"/>
      <c r="AC91" s="52"/>
    </row>
    <row r="92" ht="62.100000000000001" customHeight="1">
      <c r="A92" s="73">
        <v>80</v>
      </c>
      <c r="B92" s="75"/>
      <c r="C92" s="75"/>
      <c r="D92" s="78"/>
      <c r="E92" s="58" t="s">
        <v>931</v>
      </c>
      <c r="F92" s="58" t="s">
        <v>203</v>
      </c>
      <c r="G92" s="58" t="s">
        <v>932</v>
      </c>
      <c r="H92" s="58" t="s">
        <v>933</v>
      </c>
      <c r="I92" s="58" t="s">
        <v>934</v>
      </c>
      <c r="J92" s="58" t="s">
        <v>935</v>
      </c>
      <c r="K92" s="74" t="s">
        <v>936</v>
      </c>
      <c r="L92" s="58"/>
      <c r="M92" s="58"/>
      <c r="N92" s="58"/>
      <c r="O92" s="58"/>
      <c r="P92" s="58"/>
      <c r="Q92" s="58"/>
      <c r="R92" s="58"/>
      <c r="S92" s="58"/>
      <c r="T92" s="58"/>
      <c r="U92" s="58"/>
      <c r="V92" s="58"/>
      <c r="W92" s="77" t="s">
        <v>937</v>
      </c>
      <c r="X92" s="58" t="s">
        <v>864</v>
      </c>
      <c r="Y92" s="52"/>
      <c r="Z92" s="52"/>
      <c r="AA92" s="52"/>
      <c r="AB92" s="52"/>
      <c r="AC92" s="52"/>
    </row>
    <row r="93" ht="62.100000000000001" customHeight="1">
      <c r="A93" s="73">
        <v>81</v>
      </c>
      <c r="B93" s="75"/>
      <c r="C93" s="75"/>
      <c r="D93" s="58" t="s">
        <v>369</v>
      </c>
      <c r="E93" s="58" t="s">
        <v>938</v>
      </c>
      <c r="F93" s="58" t="s">
        <v>203</v>
      </c>
      <c r="G93" s="58" t="s">
        <v>939</v>
      </c>
      <c r="H93" s="58" t="s">
        <v>940</v>
      </c>
      <c r="I93" s="58" t="s">
        <v>504</v>
      </c>
      <c r="J93" s="58" t="s">
        <v>941</v>
      </c>
      <c r="K93" s="74" t="s">
        <v>942</v>
      </c>
      <c r="L93" s="58"/>
      <c r="M93" s="58"/>
      <c r="N93" s="58"/>
      <c r="O93" s="58"/>
      <c r="P93" s="58"/>
      <c r="Q93" s="58"/>
      <c r="R93" s="58"/>
      <c r="S93" s="58"/>
      <c r="T93" s="58"/>
      <c r="U93" s="58"/>
      <c r="V93" s="58"/>
      <c r="W93" s="58"/>
      <c r="X93" s="58" t="s">
        <v>864</v>
      </c>
      <c r="Y93" s="52"/>
      <c r="Z93" s="52"/>
      <c r="AA93" s="52"/>
      <c r="AB93" s="52"/>
      <c r="AC93" s="52"/>
    </row>
    <row r="94" ht="89.099999999999994" customHeight="1">
      <c r="A94" s="73">
        <v>82</v>
      </c>
      <c r="B94" s="75"/>
      <c r="C94" s="75"/>
      <c r="D94" s="75"/>
      <c r="E94" s="58" t="s">
        <v>943</v>
      </c>
      <c r="F94" s="58" t="s">
        <v>203</v>
      </c>
      <c r="G94" s="58" t="s">
        <v>944</v>
      </c>
      <c r="H94" s="58" t="s">
        <v>945</v>
      </c>
      <c r="I94" s="58" t="s">
        <v>504</v>
      </c>
      <c r="J94" s="58" t="s">
        <v>946</v>
      </c>
      <c r="K94" s="74" t="s">
        <v>947</v>
      </c>
      <c r="L94" s="58"/>
      <c r="M94" s="58"/>
      <c r="N94" s="58"/>
      <c r="O94" s="58"/>
      <c r="P94" s="58"/>
      <c r="Q94" s="58"/>
      <c r="R94" s="58"/>
      <c r="S94" s="58"/>
      <c r="T94" s="58"/>
      <c r="U94" s="58"/>
      <c r="V94" s="58"/>
      <c r="W94" s="58"/>
      <c r="X94" s="58" t="s">
        <v>864</v>
      </c>
      <c r="Y94" s="52"/>
      <c r="Z94" s="52"/>
      <c r="AA94" s="52"/>
      <c r="AB94" s="52"/>
      <c r="AC94" s="52"/>
    </row>
    <row r="95" ht="89.099999999999994" customHeight="1">
      <c r="A95" s="73">
        <v>83</v>
      </c>
      <c r="B95" s="75"/>
      <c r="C95" s="78"/>
      <c r="D95" s="78"/>
      <c r="E95" s="58" t="s">
        <v>948</v>
      </c>
      <c r="F95" s="58" t="s">
        <v>210</v>
      </c>
      <c r="G95" s="58" t="s">
        <v>949</v>
      </c>
      <c r="H95" s="58" t="s">
        <v>950</v>
      </c>
      <c r="I95" s="58" t="s">
        <v>504</v>
      </c>
      <c r="J95" s="58" t="s">
        <v>951</v>
      </c>
      <c r="K95" s="74" t="s">
        <v>952</v>
      </c>
      <c r="L95" s="58"/>
      <c r="M95" s="58"/>
      <c r="N95" s="58"/>
      <c r="O95" s="58"/>
      <c r="P95" s="58"/>
      <c r="Q95" s="58"/>
      <c r="R95" s="58"/>
      <c r="S95" s="58"/>
      <c r="T95" s="58"/>
      <c r="U95" s="58"/>
      <c r="V95" s="58"/>
      <c r="W95" s="58"/>
      <c r="X95" s="58" t="s">
        <v>864</v>
      </c>
      <c r="Y95" s="52"/>
      <c r="Z95" s="52"/>
      <c r="AA95" s="52"/>
      <c r="AB95" s="52"/>
      <c r="AC95" s="52"/>
    </row>
    <row r="96" ht="48">
      <c r="A96" s="73">
        <v>84</v>
      </c>
      <c r="B96" s="75"/>
      <c r="C96" s="58" t="s">
        <v>104</v>
      </c>
      <c r="D96" s="58" t="s">
        <v>953</v>
      </c>
      <c r="E96" s="58" t="s">
        <v>954</v>
      </c>
      <c r="F96" s="58" t="s">
        <v>210</v>
      </c>
      <c r="G96" s="58" t="s">
        <v>955</v>
      </c>
      <c r="H96" s="58" t="s">
        <v>956</v>
      </c>
      <c r="I96" s="58" t="s">
        <v>504</v>
      </c>
      <c r="J96" s="58" t="s">
        <v>957</v>
      </c>
      <c r="K96" s="82" t="s">
        <v>958</v>
      </c>
      <c r="L96" s="58"/>
      <c r="M96" s="58"/>
      <c r="N96" s="58"/>
      <c r="O96" s="58"/>
      <c r="P96" s="58"/>
      <c r="Q96" s="58"/>
      <c r="R96" s="58"/>
      <c r="S96" s="58"/>
      <c r="T96" s="58"/>
      <c r="U96" s="58"/>
      <c r="V96" s="58"/>
      <c r="W96" s="77" t="s">
        <v>959</v>
      </c>
      <c r="X96" s="58" t="s">
        <v>519</v>
      </c>
      <c r="Y96" s="52"/>
      <c r="Z96" s="52"/>
      <c r="AA96" s="52"/>
      <c r="AB96" s="52"/>
      <c r="AC96" s="52"/>
    </row>
    <row r="97" ht="129.59999999999999" customHeight="1">
      <c r="A97" s="73">
        <v>85</v>
      </c>
      <c r="B97" s="75"/>
      <c r="C97" s="75"/>
      <c r="D97" s="58" t="s">
        <v>268</v>
      </c>
      <c r="E97" s="58" t="s">
        <v>960</v>
      </c>
      <c r="F97" s="58" t="s">
        <v>203</v>
      </c>
      <c r="G97" s="58" t="s">
        <v>961</v>
      </c>
      <c r="H97" s="58" t="s">
        <v>962</v>
      </c>
      <c r="I97" s="58" t="s">
        <v>504</v>
      </c>
      <c r="J97" s="58" t="s">
        <v>963</v>
      </c>
      <c r="K97" s="74" t="s">
        <v>964</v>
      </c>
      <c r="L97" s="58"/>
      <c r="M97" s="58"/>
      <c r="N97" s="58"/>
      <c r="O97" s="58"/>
      <c r="P97" s="58"/>
      <c r="Q97" s="58"/>
      <c r="R97" s="58"/>
      <c r="S97" s="58"/>
      <c r="T97" s="58"/>
      <c r="U97" s="58"/>
      <c r="V97" s="58"/>
      <c r="W97" s="77" t="s">
        <v>965</v>
      </c>
      <c r="X97" s="58" t="s">
        <v>519</v>
      </c>
      <c r="Y97" s="52"/>
      <c r="Z97" s="52"/>
      <c r="AA97" s="52"/>
      <c r="AB97" s="52"/>
      <c r="AC97" s="52"/>
    </row>
    <row r="98" ht="48.600000000000001" customHeight="1">
      <c r="A98" s="73">
        <v>86</v>
      </c>
      <c r="B98" s="75"/>
      <c r="C98" s="75"/>
      <c r="D98" s="75"/>
      <c r="E98" s="58" t="s">
        <v>966</v>
      </c>
      <c r="F98" s="58" t="s">
        <v>210</v>
      </c>
      <c r="G98" s="58" t="s">
        <v>967</v>
      </c>
      <c r="H98" s="58" t="s">
        <v>968</v>
      </c>
      <c r="I98" s="58" t="s">
        <v>504</v>
      </c>
      <c r="J98" s="58" t="s">
        <v>969</v>
      </c>
      <c r="K98" s="74" t="s">
        <v>970</v>
      </c>
      <c r="L98" s="58"/>
      <c r="M98" s="58"/>
      <c r="N98" s="58"/>
      <c r="O98" s="58"/>
      <c r="P98" s="58"/>
      <c r="Q98" s="58"/>
      <c r="R98" s="58"/>
      <c r="S98" s="58"/>
      <c r="T98" s="58"/>
      <c r="U98" s="58"/>
      <c r="V98" s="58"/>
      <c r="W98" s="58"/>
      <c r="X98" s="58" t="s">
        <v>519</v>
      </c>
      <c r="Y98" s="52"/>
      <c r="Z98" s="52"/>
      <c r="AA98" s="52"/>
      <c r="AB98" s="52"/>
      <c r="AC98" s="52"/>
    </row>
    <row r="99" ht="62.100000000000001" customHeight="1">
      <c r="A99" s="73">
        <v>87</v>
      </c>
      <c r="B99" s="75"/>
      <c r="C99" s="75"/>
      <c r="D99" s="75"/>
      <c r="E99" s="58" t="s">
        <v>971</v>
      </c>
      <c r="F99" s="58" t="s">
        <v>203</v>
      </c>
      <c r="G99" s="58" t="s">
        <v>972</v>
      </c>
      <c r="H99" s="58" t="s">
        <v>973</v>
      </c>
      <c r="I99" s="58" t="s">
        <v>504</v>
      </c>
      <c r="J99" s="58" t="s">
        <v>974</v>
      </c>
      <c r="K99" s="74" t="s">
        <v>975</v>
      </c>
      <c r="L99" s="58"/>
      <c r="M99" s="58"/>
      <c r="N99" s="58"/>
      <c r="O99" s="58"/>
      <c r="P99" s="58"/>
      <c r="Q99" s="58"/>
      <c r="R99" s="58"/>
      <c r="S99" s="58"/>
      <c r="T99" s="58"/>
      <c r="U99" s="58"/>
      <c r="V99" s="58"/>
      <c r="W99" s="77" t="s">
        <v>976</v>
      </c>
      <c r="X99" s="58" t="s">
        <v>519</v>
      </c>
      <c r="Y99" s="52"/>
      <c r="Z99" s="52"/>
      <c r="AA99" s="52"/>
      <c r="AB99" s="52"/>
      <c r="AC99" s="52"/>
    </row>
    <row r="100" ht="48.600000000000001" customHeight="1">
      <c r="A100" s="73">
        <v>88</v>
      </c>
      <c r="B100" s="75"/>
      <c r="C100" s="75"/>
      <c r="D100" s="75"/>
      <c r="E100" s="78"/>
      <c r="F100" s="58" t="s">
        <v>210</v>
      </c>
      <c r="G100" s="58" t="s">
        <v>977</v>
      </c>
      <c r="H100" s="58" t="s">
        <v>978</v>
      </c>
      <c r="I100" s="58" t="s">
        <v>504</v>
      </c>
      <c r="J100" s="58" t="s">
        <v>979</v>
      </c>
      <c r="K100" s="74" t="s">
        <v>980</v>
      </c>
      <c r="L100" s="58"/>
      <c r="M100" s="58"/>
      <c r="N100" s="58"/>
      <c r="O100" s="58"/>
      <c r="P100" s="58"/>
      <c r="Q100" s="58"/>
      <c r="R100" s="58"/>
      <c r="S100" s="58"/>
      <c r="T100" s="58"/>
      <c r="U100" s="58"/>
      <c r="V100" s="58"/>
      <c r="W100" s="58"/>
      <c r="X100" s="58" t="s">
        <v>519</v>
      </c>
      <c r="Y100" s="52"/>
      <c r="Z100" s="52"/>
      <c r="AA100" s="52"/>
      <c r="AB100" s="52"/>
      <c r="AC100" s="52"/>
    </row>
    <row r="101" ht="62.100000000000001" customHeight="1">
      <c r="A101" s="73">
        <v>89</v>
      </c>
      <c r="B101" s="75"/>
      <c r="C101" s="75"/>
      <c r="D101" s="75"/>
      <c r="E101" s="58" t="s">
        <v>981</v>
      </c>
      <c r="F101" s="58" t="s">
        <v>203</v>
      </c>
      <c r="G101" s="58" t="s">
        <v>982</v>
      </c>
      <c r="H101" s="58" t="s">
        <v>983</v>
      </c>
      <c r="I101" s="58" t="s">
        <v>504</v>
      </c>
      <c r="J101" s="58" t="s">
        <v>984</v>
      </c>
      <c r="K101" s="74" t="s">
        <v>985</v>
      </c>
      <c r="L101" s="58"/>
      <c r="M101" s="58"/>
      <c r="N101" s="58"/>
      <c r="O101" s="58"/>
      <c r="P101" s="58"/>
      <c r="Q101" s="58"/>
      <c r="R101" s="58"/>
      <c r="S101" s="58"/>
      <c r="T101" s="58"/>
      <c r="U101" s="58"/>
      <c r="V101" s="58"/>
      <c r="W101" s="77" t="s">
        <v>986</v>
      </c>
      <c r="X101" s="58" t="s">
        <v>742</v>
      </c>
      <c r="Y101" s="52"/>
      <c r="Z101" s="52"/>
      <c r="AA101" s="52"/>
      <c r="AB101" s="52"/>
      <c r="AC101" s="52"/>
    </row>
    <row r="102" ht="62.100000000000001" customHeight="1">
      <c r="A102" s="73">
        <v>90</v>
      </c>
      <c r="B102" s="75"/>
      <c r="C102" s="75"/>
      <c r="D102" s="75"/>
      <c r="E102" s="75"/>
      <c r="F102" s="58" t="s">
        <v>210</v>
      </c>
      <c r="G102" s="58" t="s">
        <v>987</v>
      </c>
      <c r="H102" s="58" t="s">
        <v>988</v>
      </c>
      <c r="I102" s="58" t="s">
        <v>504</v>
      </c>
      <c r="J102" s="58" t="s">
        <v>989</v>
      </c>
      <c r="K102" s="74" t="s">
        <v>990</v>
      </c>
      <c r="L102" s="58"/>
      <c r="M102" s="58"/>
      <c r="N102" s="58"/>
      <c r="O102" s="58"/>
      <c r="P102" s="58"/>
      <c r="Q102" s="58"/>
      <c r="R102" s="58"/>
      <c r="S102" s="58"/>
      <c r="T102" s="58"/>
      <c r="U102" s="58"/>
      <c r="V102" s="58"/>
      <c r="W102" s="77" t="s">
        <v>986</v>
      </c>
      <c r="X102" s="58" t="s">
        <v>742</v>
      </c>
      <c r="Y102" s="52"/>
      <c r="Z102" s="52"/>
      <c r="AA102" s="52"/>
      <c r="AB102" s="52"/>
      <c r="AC102" s="52"/>
    </row>
    <row r="103" ht="62.100000000000001" customHeight="1">
      <c r="A103" s="73">
        <v>91</v>
      </c>
      <c r="B103" s="75"/>
      <c r="C103" s="75"/>
      <c r="D103" s="75"/>
      <c r="E103" s="75"/>
      <c r="F103" s="58" t="s">
        <v>210</v>
      </c>
      <c r="G103" s="58" t="s">
        <v>991</v>
      </c>
      <c r="H103" s="58" t="s">
        <v>992</v>
      </c>
      <c r="I103" s="58" t="s">
        <v>504</v>
      </c>
      <c r="J103" s="58" t="s">
        <v>993</v>
      </c>
      <c r="K103" s="74" t="s">
        <v>994</v>
      </c>
      <c r="L103" s="58"/>
      <c r="M103" s="58"/>
      <c r="N103" s="58"/>
      <c r="O103" s="58"/>
      <c r="P103" s="58"/>
      <c r="Q103" s="58"/>
      <c r="R103" s="58"/>
      <c r="S103" s="58"/>
      <c r="T103" s="58"/>
      <c r="U103" s="58"/>
      <c r="V103" s="58"/>
      <c r="W103" s="77" t="s">
        <v>986</v>
      </c>
      <c r="X103" s="58" t="s">
        <v>742</v>
      </c>
      <c r="Y103" s="52"/>
      <c r="Z103" s="52"/>
      <c r="AA103" s="52"/>
      <c r="AB103" s="52"/>
      <c r="AC103" s="52"/>
    </row>
    <row r="104" ht="62.100000000000001" customHeight="1">
      <c r="A104" s="73">
        <v>92</v>
      </c>
      <c r="B104" s="75"/>
      <c r="C104" s="75"/>
      <c r="D104" s="75"/>
      <c r="E104" s="78"/>
      <c r="F104" s="58" t="s">
        <v>210</v>
      </c>
      <c r="G104" s="58" t="s">
        <v>995</v>
      </c>
      <c r="H104" s="58" t="s">
        <v>996</v>
      </c>
      <c r="I104" s="58" t="s">
        <v>504</v>
      </c>
      <c r="J104" s="58" t="s">
        <v>997</v>
      </c>
      <c r="K104" s="74" t="s">
        <v>998</v>
      </c>
      <c r="L104" s="58"/>
      <c r="M104" s="58"/>
      <c r="N104" s="58"/>
      <c r="O104" s="58"/>
      <c r="P104" s="58"/>
      <c r="Q104" s="58"/>
      <c r="R104" s="58"/>
      <c r="S104" s="58"/>
      <c r="T104" s="58"/>
      <c r="U104" s="58"/>
      <c r="V104" s="58"/>
      <c r="W104" s="77" t="s">
        <v>986</v>
      </c>
      <c r="X104" s="58" t="s">
        <v>742</v>
      </c>
      <c r="Y104" s="52"/>
      <c r="Z104" s="52"/>
      <c r="AA104" s="52"/>
      <c r="AB104" s="52"/>
      <c r="AC104" s="52"/>
    </row>
    <row r="105" ht="48.600000000000001" customHeight="1">
      <c r="A105" s="73">
        <v>93</v>
      </c>
      <c r="B105" s="75"/>
      <c r="C105" s="75"/>
      <c r="D105" s="75"/>
      <c r="E105" s="58" t="s">
        <v>999</v>
      </c>
      <c r="F105" s="58" t="s">
        <v>210</v>
      </c>
      <c r="G105" s="58" t="s">
        <v>1000</v>
      </c>
      <c r="H105" s="58" t="s">
        <v>1001</v>
      </c>
      <c r="I105" s="58" t="s">
        <v>504</v>
      </c>
      <c r="J105" s="58" t="s">
        <v>1002</v>
      </c>
      <c r="K105" s="74" t="s">
        <v>1003</v>
      </c>
      <c r="L105" s="58"/>
      <c r="M105" s="58"/>
      <c r="N105" s="58"/>
      <c r="O105" s="58"/>
      <c r="P105" s="58"/>
      <c r="Q105" s="58"/>
      <c r="R105" s="58"/>
      <c r="S105" s="58"/>
      <c r="T105" s="58"/>
      <c r="U105" s="58"/>
      <c r="V105" s="58"/>
      <c r="W105" s="77" t="s">
        <v>1004</v>
      </c>
      <c r="X105" s="58" t="s">
        <v>519</v>
      </c>
      <c r="Y105" s="52"/>
      <c r="Z105" s="52"/>
      <c r="AA105" s="52"/>
      <c r="AB105" s="52"/>
      <c r="AC105" s="52"/>
    </row>
    <row r="106" ht="62.100000000000001" customHeight="1">
      <c r="A106" s="73">
        <v>94</v>
      </c>
      <c r="B106" s="75"/>
      <c r="C106" s="75"/>
      <c r="D106" s="78"/>
      <c r="E106" s="58" t="s">
        <v>1005</v>
      </c>
      <c r="F106" s="58" t="s">
        <v>210</v>
      </c>
      <c r="G106" s="58" t="s">
        <v>1006</v>
      </c>
      <c r="H106" s="58" t="s">
        <v>1007</v>
      </c>
      <c r="I106" s="58" t="s">
        <v>504</v>
      </c>
      <c r="J106" s="58" t="s">
        <v>1008</v>
      </c>
      <c r="K106" s="74" t="s">
        <v>1009</v>
      </c>
      <c r="L106" s="58"/>
      <c r="M106" s="58"/>
      <c r="N106" s="58"/>
      <c r="O106" s="58"/>
      <c r="P106" s="58"/>
      <c r="Q106" s="58"/>
      <c r="R106" s="58"/>
      <c r="S106" s="58"/>
      <c r="T106" s="58"/>
      <c r="U106" s="58"/>
      <c r="V106" s="58"/>
      <c r="W106" s="58"/>
      <c r="X106" s="58" t="s">
        <v>519</v>
      </c>
      <c r="Y106" s="52"/>
      <c r="Z106" s="52"/>
      <c r="AA106" s="52"/>
      <c r="AB106" s="52"/>
      <c r="AC106" s="52"/>
    </row>
    <row r="107" ht="48.600000000000001" customHeight="1">
      <c r="A107" s="73">
        <v>95</v>
      </c>
      <c r="B107" s="75"/>
      <c r="C107" s="78"/>
      <c r="D107" s="58" t="s">
        <v>448</v>
      </c>
      <c r="E107" s="58" t="s">
        <v>1010</v>
      </c>
      <c r="F107" s="58" t="s">
        <v>203</v>
      </c>
      <c r="G107" s="58" t="s">
        <v>1011</v>
      </c>
      <c r="H107" s="58" t="s">
        <v>1012</v>
      </c>
      <c r="I107" s="58" t="s">
        <v>504</v>
      </c>
      <c r="J107" s="58" t="s">
        <v>1013</v>
      </c>
      <c r="K107" s="74" t="s">
        <v>1014</v>
      </c>
      <c r="L107" s="58"/>
      <c r="M107" s="58"/>
      <c r="N107" s="58"/>
      <c r="O107" s="58"/>
      <c r="P107" s="58"/>
      <c r="Q107" s="58"/>
      <c r="R107" s="58"/>
      <c r="S107" s="58"/>
      <c r="T107" s="58"/>
      <c r="U107" s="58"/>
      <c r="V107" s="58"/>
      <c r="W107" s="58"/>
      <c r="X107" s="58" t="s">
        <v>519</v>
      </c>
      <c r="Y107" s="52"/>
      <c r="Z107" s="52"/>
      <c r="AA107" s="52"/>
      <c r="AB107" s="52"/>
      <c r="AC107" s="52"/>
    </row>
    <row r="108" ht="156.59999999999999" customHeight="1">
      <c r="A108" s="73">
        <v>96</v>
      </c>
      <c r="B108" s="75"/>
      <c r="C108" s="58" t="s">
        <v>105</v>
      </c>
      <c r="D108" s="58" t="s">
        <v>552</v>
      </c>
      <c r="E108" s="58" t="s">
        <v>1015</v>
      </c>
      <c r="F108" s="58" t="s">
        <v>203</v>
      </c>
      <c r="G108" s="58" t="s">
        <v>1016</v>
      </c>
      <c r="H108" s="58" t="s">
        <v>1017</v>
      </c>
      <c r="I108" s="58" t="s">
        <v>504</v>
      </c>
      <c r="J108" s="58" t="s">
        <v>1018</v>
      </c>
      <c r="K108" s="74" t="s">
        <v>1019</v>
      </c>
      <c r="L108" s="58"/>
      <c r="M108" s="58"/>
      <c r="N108" s="58"/>
      <c r="O108" s="58"/>
      <c r="P108" s="58"/>
      <c r="Q108" s="58"/>
      <c r="R108" s="58"/>
      <c r="S108" s="58"/>
      <c r="T108" s="58"/>
      <c r="U108" s="58"/>
      <c r="V108" s="58"/>
      <c r="W108" s="58"/>
      <c r="X108" s="58" t="s">
        <v>1020</v>
      </c>
      <c r="Y108" s="52"/>
      <c r="Z108" s="52"/>
      <c r="AA108" s="52"/>
      <c r="AB108" s="52"/>
      <c r="AC108" s="52"/>
    </row>
    <row r="109" ht="62.100000000000001" customHeight="1">
      <c r="A109" s="73">
        <v>97</v>
      </c>
      <c r="B109" s="75"/>
      <c r="C109" s="75"/>
      <c r="D109" s="58" t="s">
        <v>1021</v>
      </c>
      <c r="E109" s="58" t="s">
        <v>1022</v>
      </c>
      <c r="F109" s="58" t="s">
        <v>203</v>
      </c>
      <c r="G109" s="58" t="s">
        <v>1023</v>
      </c>
      <c r="H109" s="58" t="s">
        <v>1024</v>
      </c>
      <c r="I109" s="58" t="s">
        <v>504</v>
      </c>
      <c r="J109" s="58" t="s">
        <v>1025</v>
      </c>
      <c r="K109" s="74" t="s">
        <v>1026</v>
      </c>
      <c r="L109" s="58"/>
      <c r="M109" s="58"/>
      <c r="N109" s="58"/>
      <c r="O109" s="58"/>
      <c r="P109" s="58"/>
      <c r="Q109" s="58"/>
      <c r="R109" s="58"/>
      <c r="S109" s="58"/>
      <c r="T109" s="58"/>
      <c r="U109" s="58"/>
      <c r="V109" s="58"/>
      <c r="W109" s="58"/>
      <c r="X109" s="58" t="s">
        <v>1020</v>
      </c>
      <c r="Y109" s="52"/>
      <c r="Z109" s="52"/>
      <c r="AA109" s="52"/>
      <c r="AB109" s="52"/>
      <c r="AC109" s="52"/>
    </row>
    <row r="110" ht="62.100000000000001" customHeight="1">
      <c r="A110" s="73">
        <v>98</v>
      </c>
      <c r="B110" s="75"/>
      <c r="C110" s="75"/>
      <c r="D110" s="78"/>
      <c r="E110" s="58" t="s">
        <v>1027</v>
      </c>
      <c r="F110" s="58" t="s">
        <v>203</v>
      </c>
      <c r="G110" s="58" t="s">
        <v>1028</v>
      </c>
      <c r="H110" s="58" t="s">
        <v>1029</v>
      </c>
      <c r="I110" s="58" t="s">
        <v>504</v>
      </c>
      <c r="J110" s="58" t="s">
        <v>1030</v>
      </c>
      <c r="K110" s="74" t="s">
        <v>1031</v>
      </c>
      <c r="L110" s="58"/>
      <c r="M110" s="58"/>
      <c r="N110" s="58"/>
      <c r="O110" s="58"/>
      <c r="P110" s="58"/>
      <c r="Q110" s="58"/>
      <c r="R110" s="58"/>
      <c r="S110" s="58"/>
      <c r="T110" s="58"/>
      <c r="U110" s="58"/>
      <c r="V110" s="58"/>
      <c r="W110" s="77" t="s">
        <v>1032</v>
      </c>
      <c r="X110" s="58" t="s">
        <v>1020</v>
      </c>
      <c r="Y110" s="52"/>
      <c r="Z110" s="52"/>
      <c r="AA110" s="52"/>
      <c r="AB110" s="52"/>
      <c r="AC110" s="52"/>
    </row>
    <row r="111" ht="102.59999999999999" customHeight="1">
      <c r="A111" s="73">
        <v>99</v>
      </c>
      <c r="B111" s="75"/>
      <c r="C111" s="75"/>
      <c r="D111" s="58" t="s">
        <v>1033</v>
      </c>
      <c r="E111" s="58" t="s">
        <v>1034</v>
      </c>
      <c r="F111" s="58" t="s">
        <v>203</v>
      </c>
      <c r="G111" s="58" t="s">
        <v>1035</v>
      </c>
      <c r="H111" s="58" t="s">
        <v>1036</v>
      </c>
      <c r="I111" s="58" t="s">
        <v>504</v>
      </c>
      <c r="J111" s="58" t="s">
        <v>1037</v>
      </c>
      <c r="K111" s="74" t="s">
        <v>1038</v>
      </c>
      <c r="L111" s="58"/>
      <c r="M111" s="58"/>
      <c r="N111" s="58"/>
      <c r="O111" s="58"/>
      <c r="P111" s="58"/>
      <c r="Q111" s="58"/>
      <c r="R111" s="58"/>
      <c r="S111" s="58"/>
      <c r="T111" s="58"/>
      <c r="U111" s="58"/>
      <c r="V111" s="58"/>
      <c r="W111" s="77" t="s">
        <v>1039</v>
      </c>
      <c r="X111" s="58" t="s">
        <v>1020</v>
      </c>
      <c r="Y111" s="52"/>
      <c r="Z111" s="52"/>
      <c r="AA111" s="52"/>
      <c r="AB111" s="52"/>
      <c r="AC111" s="52"/>
    </row>
    <row r="112" ht="48.600000000000001" customHeight="1">
      <c r="A112" s="73">
        <v>100</v>
      </c>
      <c r="B112" s="75"/>
      <c r="C112" s="75"/>
      <c r="D112" s="78"/>
      <c r="E112" s="58" t="s">
        <v>1040</v>
      </c>
      <c r="F112" s="58" t="s">
        <v>210</v>
      </c>
      <c r="G112" s="58" t="s">
        <v>1041</v>
      </c>
      <c r="H112" s="58" t="s">
        <v>1042</v>
      </c>
      <c r="I112" s="58" t="s">
        <v>504</v>
      </c>
      <c r="J112" s="58" t="s">
        <v>1043</v>
      </c>
      <c r="K112" s="74" t="s">
        <v>1044</v>
      </c>
      <c r="L112" s="58"/>
      <c r="M112" s="58"/>
      <c r="N112" s="58"/>
      <c r="O112" s="58"/>
      <c r="P112" s="58"/>
      <c r="Q112" s="58"/>
      <c r="R112" s="58"/>
      <c r="S112" s="58"/>
      <c r="T112" s="58"/>
      <c r="U112" s="58"/>
      <c r="V112" s="58"/>
      <c r="W112" s="77" t="s">
        <v>1045</v>
      </c>
      <c r="X112" s="58" t="s">
        <v>1020</v>
      </c>
      <c r="Y112" s="52"/>
      <c r="Z112" s="52"/>
      <c r="AA112" s="52"/>
      <c r="AB112" s="52"/>
      <c r="AC112" s="52"/>
    </row>
    <row r="113" ht="48.600000000000001" customHeight="1">
      <c r="A113" s="73">
        <v>101</v>
      </c>
      <c r="B113" s="75"/>
      <c r="C113" s="75"/>
      <c r="D113" s="58" t="s">
        <v>393</v>
      </c>
      <c r="E113" s="58" t="s">
        <v>1046</v>
      </c>
      <c r="F113" s="58" t="s">
        <v>203</v>
      </c>
      <c r="G113" s="58" t="s">
        <v>1047</v>
      </c>
      <c r="H113" s="58" t="s">
        <v>1048</v>
      </c>
      <c r="I113" s="58" t="s">
        <v>504</v>
      </c>
      <c r="J113" s="58" t="s">
        <v>1049</v>
      </c>
      <c r="K113" s="74" t="s">
        <v>1050</v>
      </c>
      <c r="L113" s="58"/>
      <c r="M113" s="58"/>
      <c r="N113" s="58"/>
      <c r="O113" s="58"/>
      <c r="P113" s="58"/>
      <c r="Q113" s="58"/>
      <c r="R113" s="58"/>
      <c r="S113" s="58"/>
      <c r="T113" s="58"/>
      <c r="U113" s="58"/>
      <c r="V113" s="58"/>
      <c r="W113" s="77" t="s">
        <v>1051</v>
      </c>
      <c r="X113" s="58" t="s">
        <v>1020</v>
      </c>
      <c r="Y113" s="52"/>
      <c r="Z113" s="52"/>
      <c r="AA113" s="52"/>
      <c r="AB113" s="52"/>
      <c r="AC113" s="52"/>
    </row>
    <row r="114" ht="75.599999999999994" customHeight="1">
      <c r="A114" s="73">
        <v>102</v>
      </c>
      <c r="B114" s="75"/>
      <c r="C114" s="75"/>
      <c r="D114" s="75"/>
      <c r="E114" s="58" t="s">
        <v>1052</v>
      </c>
      <c r="F114" s="58" t="s">
        <v>203</v>
      </c>
      <c r="G114" s="58" t="s">
        <v>1053</v>
      </c>
      <c r="H114" s="58" t="s">
        <v>1054</v>
      </c>
      <c r="I114" s="58" t="s">
        <v>504</v>
      </c>
      <c r="J114" s="58" t="s">
        <v>1055</v>
      </c>
      <c r="K114" s="74" t="s">
        <v>1050</v>
      </c>
      <c r="L114" s="58"/>
      <c r="M114" s="58"/>
      <c r="N114" s="58"/>
      <c r="O114" s="58"/>
      <c r="P114" s="58"/>
      <c r="Q114" s="58"/>
      <c r="R114" s="58"/>
      <c r="S114" s="58"/>
      <c r="T114" s="58"/>
      <c r="U114" s="58"/>
      <c r="V114" s="58"/>
      <c r="W114" s="77" t="s">
        <v>1056</v>
      </c>
      <c r="X114" s="58" t="s">
        <v>1020</v>
      </c>
      <c r="Y114" s="52"/>
      <c r="Z114" s="52"/>
      <c r="AA114" s="52"/>
      <c r="AB114" s="52"/>
      <c r="AC114" s="52"/>
    </row>
    <row r="115" ht="62.100000000000001" customHeight="1">
      <c r="A115" s="73">
        <v>103</v>
      </c>
      <c r="B115" s="75"/>
      <c r="C115" s="75"/>
      <c r="D115" s="75"/>
      <c r="E115" s="58" t="s">
        <v>622</v>
      </c>
      <c r="F115" s="58" t="s">
        <v>210</v>
      </c>
      <c r="G115" s="58" t="s">
        <v>1057</v>
      </c>
      <c r="H115" s="58" t="s">
        <v>1058</v>
      </c>
      <c r="I115" s="58" t="s">
        <v>504</v>
      </c>
      <c r="J115" s="58" t="s">
        <v>1059</v>
      </c>
      <c r="K115" s="74" t="s">
        <v>1060</v>
      </c>
      <c r="L115" s="58"/>
      <c r="M115" s="58"/>
      <c r="N115" s="58"/>
      <c r="O115" s="58"/>
      <c r="P115" s="58"/>
      <c r="Q115" s="58"/>
      <c r="R115" s="58"/>
      <c r="S115" s="58"/>
      <c r="T115" s="58"/>
      <c r="U115" s="58"/>
      <c r="V115" s="58"/>
      <c r="W115" s="58"/>
      <c r="X115" s="58" t="s">
        <v>1020</v>
      </c>
      <c r="Y115" s="52"/>
      <c r="Z115" s="52"/>
      <c r="AA115" s="52"/>
      <c r="AB115" s="52"/>
      <c r="AC115" s="52"/>
    </row>
    <row r="116" ht="89.099999999999994" customHeight="1">
      <c r="A116" s="73">
        <v>104</v>
      </c>
      <c r="B116" s="75"/>
      <c r="C116" s="75"/>
      <c r="D116" s="58" t="s">
        <v>369</v>
      </c>
      <c r="E116" s="58" t="s">
        <v>1034</v>
      </c>
      <c r="F116" s="58" t="s">
        <v>203</v>
      </c>
      <c r="G116" s="58" t="s">
        <v>1061</v>
      </c>
      <c r="H116" s="58" t="s">
        <v>1062</v>
      </c>
      <c r="I116" s="58" t="s">
        <v>504</v>
      </c>
      <c r="J116" s="58" t="s">
        <v>1063</v>
      </c>
      <c r="K116" s="74" t="s">
        <v>1064</v>
      </c>
      <c r="L116" s="58"/>
      <c r="M116" s="58"/>
      <c r="N116" s="58"/>
      <c r="O116" s="58"/>
      <c r="P116" s="58"/>
      <c r="Q116" s="58"/>
      <c r="R116" s="58"/>
      <c r="S116" s="58"/>
      <c r="T116" s="58"/>
      <c r="U116" s="58"/>
      <c r="V116" s="58"/>
      <c r="W116" s="77" t="s">
        <v>1065</v>
      </c>
      <c r="X116" s="58" t="s">
        <v>1020</v>
      </c>
      <c r="Y116" s="52"/>
      <c r="Z116" s="52"/>
      <c r="AA116" s="52"/>
      <c r="AB116" s="52"/>
      <c r="AC116" s="52"/>
    </row>
    <row r="117" ht="89.099999999999994" customHeight="1">
      <c r="A117" s="73">
        <v>105</v>
      </c>
      <c r="B117" s="75"/>
      <c r="C117" s="75"/>
      <c r="D117" s="83"/>
      <c r="E117" s="58" t="s">
        <v>931</v>
      </c>
      <c r="F117" s="58" t="s">
        <v>210</v>
      </c>
      <c r="G117" s="58" t="s">
        <v>1066</v>
      </c>
      <c r="H117" s="58" t="s">
        <v>1067</v>
      </c>
      <c r="I117" s="58" t="s">
        <v>934</v>
      </c>
      <c r="J117" s="58" t="s">
        <v>1068</v>
      </c>
      <c r="K117" s="82" t="s">
        <v>1069</v>
      </c>
      <c r="L117" s="58"/>
      <c r="M117" s="58"/>
      <c r="N117" s="58"/>
      <c r="O117" s="58"/>
      <c r="P117" s="58"/>
      <c r="Q117" s="58"/>
      <c r="R117" s="58"/>
      <c r="S117" s="58"/>
      <c r="T117" s="58"/>
      <c r="U117" s="58"/>
      <c r="V117" s="58"/>
      <c r="W117" s="77"/>
      <c r="X117" s="58"/>
      <c r="Y117" s="52"/>
      <c r="Z117" s="52"/>
      <c r="AA117" s="52"/>
      <c r="AB117" s="52"/>
      <c r="AC117" s="52"/>
    </row>
    <row r="118" ht="62.100000000000001" customHeight="1">
      <c r="A118" s="73">
        <v>106</v>
      </c>
      <c r="B118" s="75"/>
      <c r="C118" s="75"/>
      <c r="D118" s="75"/>
      <c r="E118" s="58" t="s">
        <v>1070</v>
      </c>
      <c r="F118" s="58" t="s">
        <v>210</v>
      </c>
      <c r="G118" s="58" t="s">
        <v>1071</v>
      </c>
      <c r="H118" s="58" t="s">
        <v>1072</v>
      </c>
      <c r="I118" s="58" t="s">
        <v>504</v>
      </c>
      <c r="J118" s="58" t="s">
        <v>1073</v>
      </c>
      <c r="K118" s="74" t="s">
        <v>1074</v>
      </c>
      <c r="L118" s="58"/>
      <c r="M118" s="58"/>
      <c r="N118" s="58"/>
      <c r="O118" s="58"/>
      <c r="P118" s="58"/>
      <c r="Q118" s="58"/>
      <c r="R118" s="58"/>
      <c r="S118" s="58"/>
      <c r="T118" s="58"/>
      <c r="U118" s="58"/>
      <c r="V118" s="58"/>
      <c r="W118" s="77" t="s">
        <v>1075</v>
      </c>
      <c r="X118" s="58" t="s">
        <v>1020</v>
      </c>
      <c r="Y118" s="52"/>
      <c r="Z118" s="52"/>
      <c r="AA118" s="52"/>
      <c r="AB118" s="52"/>
      <c r="AC118" s="52"/>
    </row>
    <row r="119" ht="62.100000000000001" customHeight="1">
      <c r="A119" s="73">
        <v>107</v>
      </c>
      <c r="B119" s="75"/>
      <c r="C119" s="78"/>
      <c r="D119" s="78"/>
      <c r="E119" s="58" t="s">
        <v>1076</v>
      </c>
      <c r="F119" s="58" t="s">
        <v>203</v>
      </c>
      <c r="G119" s="58" t="s">
        <v>1077</v>
      </c>
      <c r="H119" s="58" t="s">
        <v>1078</v>
      </c>
      <c r="I119" s="58" t="s">
        <v>1079</v>
      </c>
      <c r="J119" s="58" t="s">
        <v>1080</v>
      </c>
      <c r="K119" s="74" t="s">
        <v>1081</v>
      </c>
      <c r="L119" s="58"/>
      <c r="M119" s="58"/>
      <c r="N119" s="58"/>
      <c r="O119" s="58"/>
      <c r="P119" s="58"/>
      <c r="Q119" s="58"/>
      <c r="R119" s="58"/>
      <c r="S119" s="58"/>
      <c r="T119" s="58"/>
      <c r="U119" s="58"/>
      <c r="V119" s="58"/>
      <c r="W119" s="77" t="s">
        <v>1082</v>
      </c>
      <c r="X119" s="58" t="s">
        <v>1083</v>
      </c>
      <c r="Y119" s="52"/>
      <c r="Z119" s="52"/>
      <c r="AA119" s="52"/>
      <c r="AB119" s="52"/>
      <c r="AC119" s="52"/>
    </row>
    <row r="120" ht="89.099999999999994" customHeight="1">
      <c r="A120" s="73">
        <v>108</v>
      </c>
      <c r="B120" s="75"/>
      <c r="C120" s="58" t="s">
        <v>106</v>
      </c>
      <c r="D120" s="58" t="s">
        <v>552</v>
      </c>
      <c r="E120" s="58" t="s">
        <v>1084</v>
      </c>
      <c r="F120" s="58" t="s">
        <v>203</v>
      </c>
      <c r="G120" s="58" t="s">
        <v>1085</v>
      </c>
      <c r="H120" s="58" t="s">
        <v>1086</v>
      </c>
      <c r="I120" s="58" t="s">
        <v>504</v>
      </c>
      <c r="J120" s="58" t="s">
        <v>1087</v>
      </c>
      <c r="K120" s="74" t="s">
        <v>1088</v>
      </c>
      <c r="L120" s="58"/>
      <c r="M120" s="58"/>
      <c r="N120" s="58"/>
      <c r="O120" s="58"/>
      <c r="P120" s="58"/>
      <c r="Q120" s="58"/>
      <c r="R120" s="58"/>
      <c r="S120" s="58"/>
      <c r="T120" s="58"/>
      <c r="U120" s="58"/>
      <c r="V120" s="58"/>
      <c r="W120" s="77" t="s">
        <v>1089</v>
      </c>
      <c r="X120" s="58" t="s">
        <v>1090</v>
      </c>
      <c r="Y120" s="52"/>
      <c r="Z120" s="52"/>
      <c r="AA120" s="52"/>
      <c r="AB120" s="52"/>
      <c r="AC120" s="52"/>
    </row>
    <row r="121" ht="183.59999999999999" customHeight="1">
      <c r="A121" s="73">
        <v>109</v>
      </c>
      <c r="B121" s="75"/>
      <c r="C121" s="75"/>
      <c r="D121" s="78"/>
      <c r="E121" s="58" t="s">
        <v>1091</v>
      </c>
      <c r="F121" s="58" t="s">
        <v>203</v>
      </c>
      <c r="G121" s="58" t="s">
        <v>1092</v>
      </c>
      <c r="H121" s="58" t="s">
        <v>1093</v>
      </c>
      <c r="I121" s="58" t="s">
        <v>1094</v>
      </c>
      <c r="J121" s="58" t="s">
        <v>1095</v>
      </c>
      <c r="K121" s="74" t="s">
        <v>1096</v>
      </c>
      <c r="L121" s="58"/>
      <c r="M121" s="58"/>
      <c r="N121" s="58"/>
      <c r="O121" s="58"/>
      <c r="P121" s="58"/>
      <c r="Q121" s="58"/>
      <c r="R121" s="58"/>
      <c r="S121" s="58"/>
      <c r="T121" s="58"/>
      <c r="U121" s="58"/>
      <c r="V121" s="58"/>
      <c r="W121" s="77" t="s">
        <v>1097</v>
      </c>
      <c r="X121" s="58" t="s">
        <v>1090</v>
      </c>
      <c r="Y121" s="52"/>
      <c r="Z121" s="52"/>
      <c r="AA121" s="52"/>
      <c r="AB121" s="52"/>
      <c r="AC121" s="52"/>
    </row>
    <row r="122" ht="75.599999999999994" customHeight="1">
      <c r="A122" s="73">
        <v>110</v>
      </c>
      <c r="B122" s="75"/>
      <c r="C122" s="75"/>
      <c r="D122" s="58" t="s">
        <v>393</v>
      </c>
      <c r="E122" s="58" t="s">
        <v>622</v>
      </c>
      <c r="F122" s="58" t="s">
        <v>210</v>
      </c>
      <c r="G122" s="58" t="s">
        <v>1098</v>
      </c>
      <c r="H122" s="58" t="s">
        <v>1099</v>
      </c>
      <c r="I122" s="58" t="s">
        <v>504</v>
      </c>
      <c r="J122" s="58" t="s">
        <v>1100</v>
      </c>
      <c r="K122" s="74" t="s">
        <v>1101</v>
      </c>
      <c r="L122" s="58"/>
      <c r="M122" s="58"/>
      <c r="N122" s="58"/>
      <c r="O122" s="58"/>
      <c r="P122" s="58"/>
      <c r="Q122" s="58"/>
      <c r="R122" s="58"/>
      <c r="S122" s="58"/>
      <c r="T122" s="58"/>
      <c r="U122" s="58"/>
      <c r="V122" s="58"/>
      <c r="W122" s="77" t="s">
        <v>1102</v>
      </c>
      <c r="X122" s="58" t="s">
        <v>1090</v>
      </c>
      <c r="Y122" s="52"/>
      <c r="Z122" s="52"/>
      <c r="AA122" s="52"/>
      <c r="AB122" s="52"/>
      <c r="AC122" s="52"/>
    </row>
    <row r="123" ht="62.100000000000001" customHeight="1">
      <c r="A123" s="73">
        <v>111</v>
      </c>
      <c r="B123" s="75"/>
      <c r="C123" s="75"/>
      <c r="D123" s="78"/>
      <c r="E123" s="58" t="s">
        <v>1103</v>
      </c>
      <c r="F123" s="58" t="s">
        <v>225</v>
      </c>
      <c r="G123" s="58" t="s">
        <v>1104</v>
      </c>
      <c r="H123" s="58" t="s">
        <v>1105</v>
      </c>
      <c r="I123" s="58" t="s">
        <v>1094</v>
      </c>
      <c r="J123" s="58" t="s">
        <v>1106</v>
      </c>
      <c r="K123" s="74" t="s">
        <v>1101</v>
      </c>
      <c r="L123" s="58"/>
      <c r="M123" s="58"/>
      <c r="N123" s="58"/>
      <c r="O123" s="58"/>
      <c r="P123" s="58"/>
      <c r="Q123" s="58"/>
      <c r="R123" s="58"/>
      <c r="S123" s="58"/>
      <c r="T123" s="58"/>
      <c r="U123" s="58"/>
      <c r="V123" s="58"/>
      <c r="W123" s="77" t="s">
        <v>1102</v>
      </c>
      <c r="X123" s="58" t="s">
        <v>1090</v>
      </c>
      <c r="Y123" s="52"/>
      <c r="Z123" s="52"/>
      <c r="AA123" s="52"/>
      <c r="AB123" s="52"/>
      <c r="AC123" s="52"/>
    </row>
    <row r="124" ht="89.099999999999994" customHeight="1">
      <c r="A124" s="73">
        <v>112</v>
      </c>
      <c r="B124" s="75"/>
      <c r="C124" s="75"/>
      <c r="D124" s="58" t="s">
        <v>369</v>
      </c>
      <c r="E124" s="58" t="s">
        <v>1107</v>
      </c>
      <c r="F124" s="58" t="s">
        <v>203</v>
      </c>
      <c r="G124" s="58" t="s">
        <v>1108</v>
      </c>
      <c r="H124" s="58" t="s">
        <v>1109</v>
      </c>
      <c r="I124" s="58" t="s">
        <v>504</v>
      </c>
      <c r="J124" s="58" t="s">
        <v>1110</v>
      </c>
      <c r="K124" s="74" t="s">
        <v>1111</v>
      </c>
      <c r="L124" s="58"/>
      <c r="M124" s="58"/>
      <c r="N124" s="58"/>
      <c r="O124" s="58"/>
      <c r="P124" s="58"/>
      <c r="Q124" s="58"/>
      <c r="R124" s="58"/>
      <c r="S124" s="58"/>
      <c r="T124" s="58"/>
      <c r="U124" s="58"/>
      <c r="V124" s="58"/>
      <c r="W124" s="77" t="s">
        <v>1112</v>
      </c>
      <c r="X124" s="58" t="s">
        <v>1090</v>
      </c>
      <c r="Y124" s="52"/>
      <c r="Z124" s="52"/>
      <c r="AA124" s="52"/>
      <c r="AB124" s="52"/>
      <c r="AC124" s="52"/>
    </row>
    <row r="125" ht="75.599999999999994" customHeight="1">
      <c r="A125" s="73">
        <v>113</v>
      </c>
      <c r="B125" s="75"/>
      <c r="C125" s="78"/>
      <c r="D125" s="78"/>
      <c r="E125" s="58" t="s">
        <v>1113</v>
      </c>
      <c r="F125" s="58" t="s">
        <v>210</v>
      </c>
      <c r="G125" s="58" t="s">
        <v>1114</v>
      </c>
      <c r="H125" s="58" t="s">
        <v>1115</v>
      </c>
      <c r="I125" s="58" t="s">
        <v>504</v>
      </c>
      <c r="J125" s="58" t="s">
        <v>1116</v>
      </c>
      <c r="K125" s="84" t="s">
        <v>1117</v>
      </c>
      <c r="L125" s="58"/>
      <c r="M125" s="58"/>
      <c r="N125" s="58"/>
      <c r="O125" s="58"/>
      <c r="P125" s="58"/>
      <c r="Q125" s="58"/>
      <c r="R125" s="58"/>
      <c r="S125" s="58"/>
      <c r="T125" s="58"/>
      <c r="U125" s="58"/>
      <c r="V125" s="58"/>
      <c r="W125" s="77" t="s">
        <v>1118</v>
      </c>
      <c r="X125" s="58" t="s">
        <v>1090</v>
      </c>
      <c r="Y125" s="52"/>
      <c r="Z125" s="52"/>
      <c r="AA125" s="52"/>
      <c r="AB125" s="52"/>
      <c r="AC125" s="52"/>
    </row>
    <row r="126" ht="116.09999999999999" customHeight="1">
      <c r="A126" s="73">
        <v>114</v>
      </c>
      <c r="B126" s="75"/>
      <c r="C126" s="58" t="s">
        <v>107</v>
      </c>
      <c r="D126" s="58" t="s">
        <v>268</v>
      </c>
      <c r="E126" s="58" t="s">
        <v>960</v>
      </c>
      <c r="F126" s="58" t="s">
        <v>203</v>
      </c>
      <c r="G126" s="58" t="s">
        <v>1119</v>
      </c>
      <c r="H126" s="58" t="s">
        <v>1120</v>
      </c>
      <c r="I126" s="58" t="s">
        <v>504</v>
      </c>
      <c r="J126" s="58" t="s">
        <v>1121</v>
      </c>
      <c r="K126" s="74" t="s">
        <v>1122</v>
      </c>
      <c r="L126" s="58"/>
      <c r="M126" s="58"/>
      <c r="N126" s="58"/>
      <c r="O126" s="58"/>
      <c r="P126" s="58"/>
      <c r="Q126" s="58"/>
      <c r="R126" s="58"/>
      <c r="S126" s="58"/>
      <c r="T126" s="58"/>
      <c r="U126" s="58"/>
      <c r="V126" s="58"/>
      <c r="W126" s="58"/>
      <c r="X126" s="58" t="s">
        <v>1123</v>
      </c>
      <c r="Y126" s="52"/>
      <c r="Z126" s="52"/>
      <c r="AA126" s="52"/>
      <c r="AB126" s="52"/>
      <c r="AC126" s="52"/>
    </row>
    <row r="127" ht="48.600000000000001" customHeight="1">
      <c r="A127" s="73">
        <v>115</v>
      </c>
      <c r="B127" s="75"/>
      <c r="C127" s="75"/>
      <c r="D127" s="75"/>
      <c r="E127" s="58" t="s">
        <v>1124</v>
      </c>
      <c r="F127" s="58" t="s">
        <v>210</v>
      </c>
      <c r="G127" s="58" t="s">
        <v>1125</v>
      </c>
      <c r="H127" s="58" t="s">
        <v>1126</v>
      </c>
      <c r="I127" s="58" t="s">
        <v>504</v>
      </c>
      <c r="J127" s="58" t="s">
        <v>1127</v>
      </c>
      <c r="K127" s="74" t="s">
        <v>1128</v>
      </c>
      <c r="L127" s="58"/>
      <c r="M127" s="58"/>
      <c r="N127" s="58"/>
      <c r="O127" s="58"/>
      <c r="P127" s="58"/>
      <c r="Q127" s="58"/>
      <c r="R127" s="58"/>
      <c r="S127" s="58"/>
      <c r="T127" s="58"/>
      <c r="U127" s="58"/>
      <c r="V127" s="58"/>
      <c r="W127" s="58"/>
      <c r="X127" s="58" t="s">
        <v>1123</v>
      </c>
      <c r="Y127" s="52"/>
      <c r="Z127" s="52"/>
      <c r="AA127" s="52"/>
      <c r="AB127" s="52"/>
      <c r="AC127" s="52"/>
    </row>
    <row r="128" ht="48.600000000000001" customHeight="1">
      <c r="A128" s="73">
        <v>116</v>
      </c>
      <c r="B128" s="75"/>
      <c r="C128" s="78"/>
      <c r="D128" s="78"/>
      <c r="E128" s="58" t="s">
        <v>1129</v>
      </c>
      <c r="F128" s="58" t="s">
        <v>210</v>
      </c>
      <c r="G128" s="58" t="s">
        <v>1130</v>
      </c>
      <c r="H128" s="58" t="s">
        <v>1131</v>
      </c>
      <c r="I128" s="58" t="s">
        <v>504</v>
      </c>
      <c r="J128" s="58" t="s">
        <v>1132</v>
      </c>
      <c r="K128" s="74" t="s">
        <v>1133</v>
      </c>
      <c r="L128" s="58"/>
      <c r="M128" s="58"/>
      <c r="N128" s="58"/>
      <c r="O128" s="58"/>
      <c r="P128" s="58"/>
      <c r="Q128" s="58"/>
      <c r="R128" s="58"/>
      <c r="S128" s="58"/>
      <c r="T128" s="58"/>
      <c r="U128" s="58"/>
      <c r="V128" s="58"/>
      <c r="W128" s="58"/>
      <c r="X128" s="58" t="s">
        <v>1123</v>
      </c>
      <c r="Y128" s="52"/>
      <c r="Z128" s="52"/>
      <c r="AA128" s="52"/>
      <c r="AB128" s="52"/>
      <c r="AC128" s="52"/>
    </row>
    <row r="129" ht="224.09999999999999" customHeight="1">
      <c r="A129" s="73">
        <v>117</v>
      </c>
      <c r="B129" s="75"/>
      <c r="C129" s="58" t="s">
        <v>108</v>
      </c>
      <c r="D129" s="58" t="s">
        <v>552</v>
      </c>
      <c r="E129" s="58" t="s">
        <v>1134</v>
      </c>
      <c r="F129" s="58" t="s">
        <v>203</v>
      </c>
      <c r="G129" s="58" t="s">
        <v>1135</v>
      </c>
      <c r="H129" s="58" t="s">
        <v>1136</v>
      </c>
      <c r="I129" s="58" t="s">
        <v>504</v>
      </c>
      <c r="J129" s="58" t="s">
        <v>1137</v>
      </c>
      <c r="K129" s="74" t="s">
        <v>1138</v>
      </c>
      <c r="L129" s="58"/>
      <c r="M129" s="58"/>
      <c r="N129" s="58"/>
      <c r="O129" s="58"/>
      <c r="P129" s="58"/>
      <c r="Q129" s="58"/>
      <c r="R129" s="58"/>
      <c r="S129" s="58"/>
      <c r="T129" s="58"/>
      <c r="U129" s="58"/>
      <c r="V129" s="58"/>
      <c r="W129" s="58"/>
      <c r="X129" s="58" t="s">
        <v>1123</v>
      </c>
      <c r="Y129" s="52"/>
      <c r="Z129" s="52"/>
      <c r="AA129" s="52"/>
      <c r="AB129" s="52"/>
      <c r="AC129" s="52"/>
    </row>
    <row r="130" ht="36">
      <c r="A130" s="73">
        <v>118</v>
      </c>
      <c r="B130" s="75"/>
      <c r="C130" s="75"/>
      <c r="D130" s="78"/>
      <c r="E130" s="85" t="s">
        <v>1139</v>
      </c>
      <c r="F130" s="86" t="s">
        <v>203</v>
      </c>
      <c r="G130" s="58" t="s">
        <v>1140</v>
      </c>
      <c r="H130" s="86" t="s">
        <v>1141</v>
      </c>
      <c r="I130" s="86" t="s">
        <v>504</v>
      </c>
      <c r="J130" s="86" t="s">
        <v>1142</v>
      </c>
      <c r="K130" s="87" t="s">
        <v>1143</v>
      </c>
      <c r="L130" s="58"/>
      <c r="M130" s="58"/>
      <c r="N130" s="58"/>
      <c r="O130" s="58"/>
      <c r="P130" s="58"/>
      <c r="Q130" s="58"/>
      <c r="R130" s="58"/>
      <c r="S130" s="58"/>
      <c r="T130" s="58"/>
      <c r="U130" s="58"/>
      <c r="V130" s="58"/>
      <c r="W130" s="77" t="s">
        <v>1144</v>
      </c>
      <c r="X130" s="58" t="s">
        <v>1123</v>
      </c>
      <c r="Y130" s="52"/>
      <c r="Z130" s="52"/>
      <c r="AA130" s="52"/>
      <c r="AB130" s="52"/>
      <c r="AC130" s="52"/>
    </row>
    <row r="131" ht="48.600000000000001" customHeight="1">
      <c r="A131" s="73">
        <v>119</v>
      </c>
      <c r="B131" s="75"/>
      <c r="C131" s="75"/>
      <c r="D131" s="58" t="s">
        <v>393</v>
      </c>
      <c r="E131" s="58" t="s">
        <v>622</v>
      </c>
      <c r="F131" s="58" t="s">
        <v>210</v>
      </c>
      <c r="G131" s="58" t="s">
        <v>1145</v>
      </c>
      <c r="H131" s="58" t="s">
        <v>1146</v>
      </c>
      <c r="I131" s="58" t="s">
        <v>504</v>
      </c>
      <c r="J131" s="58" t="s">
        <v>1147</v>
      </c>
      <c r="K131" s="74" t="s">
        <v>1148</v>
      </c>
      <c r="L131" s="58"/>
      <c r="M131" s="58"/>
      <c r="N131" s="58"/>
      <c r="O131" s="58"/>
      <c r="P131" s="58"/>
      <c r="Q131" s="58"/>
      <c r="R131" s="58"/>
      <c r="S131" s="58"/>
      <c r="T131" s="58"/>
      <c r="U131" s="58"/>
      <c r="V131" s="58"/>
      <c r="W131" s="58"/>
      <c r="X131" s="58" t="s">
        <v>1123</v>
      </c>
      <c r="Y131" s="52"/>
      <c r="Z131" s="52"/>
      <c r="AA131" s="52"/>
      <c r="AB131" s="52"/>
      <c r="AC131" s="52"/>
    </row>
    <row r="132" ht="75.599999999999994" customHeight="1">
      <c r="A132" s="73">
        <v>120</v>
      </c>
      <c r="B132" s="75"/>
      <c r="C132" s="75"/>
      <c r="D132" s="58" t="s">
        <v>369</v>
      </c>
      <c r="E132" s="58" t="s">
        <v>1149</v>
      </c>
      <c r="F132" s="58" t="s">
        <v>203</v>
      </c>
      <c r="G132" s="58" t="s">
        <v>1150</v>
      </c>
      <c r="H132" s="58" t="s">
        <v>1151</v>
      </c>
      <c r="I132" s="58" t="s">
        <v>504</v>
      </c>
      <c r="J132" s="58" t="s">
        <v>1152</v>
      </c>
      <c r="K132" s="74" t="s">
        <v>1153</v>
      </c>
      <c r="L132" s="58"/>
      <c r="M132" s="58"/>
      <c r="N132" s="58"/>
      <c r="O132" s="58"/>
      <c r="P132" s="58"/>
      <c r="Q132" s="58"/>
      <c r="R132" s="58"/>
      <c r="S132" s="58"/>
      <c r="T132" s="58"/>
      <c r="U132" s="58"/>
      <c r="V132" s="58"/>
      <c r="W132" s="58"/>
      <c r="X132" s="58" t="s">
        <v>1123</v>
      </c>
      <c r="Y132" s="52"/>
      <c r="Z132" s="52"/>
      <c r="AA132" s="52"/>
      <c r="AB132" s="52"/>
      <c r="AC132" s="52"/>
    </row>
    <row r="133" ht="62.100000000000001" customHeight="1">
      <c r="A133" s="73">
        <v>121</v>
      </c>
      <c r="B133" s="75"/>
      <c r="C133" s="75"/>
      <c r="D133" s="75"/>
      <c r="E133" s="58" t="s">
        <v>1154</v>
      </c>
      <c r="F133" s="58" t="s">
        <v>203</v>
      </c>
      <c r="G133" s="58" t="s">
        <v>1155</v>
      </c>
      <c r="H133" s="58" t="s">
        <v>1156</v>
      </c>
      <c r="I133" s="58" t="s">
        <v>504</v>
      </c>
      <c r="J133" s="58" t="s">
        <v>1157</v>
      </c>
      <c r="K133" s="74" t="s">
        <v>1158</v>
      </c>
      <c r="L133" s="58"/>
      <c r="M133" s="58"/>
      <c r="N133" s="58"/>
      <c r="O133" s="58"/>
      <c r="P133" s="58"/>
      <c r="Q133" s="58"/>
      <c r="R133" s="58"/>
      <c r="S133" s="58"/>
      <c r="T133" s="58"/>
      <c r="U133" s="58"/>
      <c r="V133" s="58"/>
      <c r="W133" s="58"/>
      <c r="X133" s="58" t="s">
        <v>1123</v>
      </c>
      <c r="Y133" s="52"/>
      <c r="Z133" s="52"/>
      <c r="AA133" s="52"/>
      <c r="AB133" s="52"/>
      <c r="AC133" s="52"/>
    </row>
    <row r="134" ht="62.100000000000001" customHeight="1">
      <c r="A134" s="73">
        <v>122</v>
      </c>
      <c r="B134" s="75"/>
      <c r="C134" s="75"/>
      <c r="D134" s="75"/>
      <c r="E134" s="58" t="s">
        <v>1159</v>
      </c>
      <c r="F134" s="58" t="s">
        <v>210</v>
      </c>
      <c r="G134" s="58" t="s">
        <v>1160</v>
      </c>
      <c r="H134" s="58" t="s">
        <v>1161</v>
      </c>
      <c r="I134" s="58" t="s">
        <v>504</v>
      </c>
      <c r="J134" s="58" t="s">
        <v>1162</v>
      </c>
      <c r="K134" s="74" t="s">
        <v>1163</v>
      </c>
      <c r="L134" s="58"/>
      <c r="M134" s="58"/>
      <c r="N134" s="58"/>
      <c r="O134" s="58"/>
      <c r="P134" s="58"/>
      <c r="Q134" s="58"/>
      <c r="R134" s="58"/>
      <c r="S134" s="58"/>
      <c r="T134" s="58"/>
      <c r="U134" s="58"/>
      <c r="V134" s="58"/>
      <c r="W134" s="58"/>
      <c r="X134" s="58" t="s">
        <v>1164</v>
      </c>
      <c r="Y134" s="52"/>
      <c r="Z134" s="52"/>
      <c r="AA134" s="52"/>
      <c r="AB134" s="52"/>
      <c r="AC134" s="52"/>
    </row>
    <row r="135" ht="62.100000000000001" customHeight="1">
      <c r="A135" s="73">
        <v>123</v>
      </c>
      <c r="B135" s="75"/>
      <c r="C135" s="75"/>
      <c r="D135" s="75"/>
      <c r="E135" s="58" t="s">
        <v>1165</v>
      </c>
      <c r="F135" s="58" t="s">
        <v>203</v>
      </c>
      <c r="G135" s="58" t="s">
        <v>1166</v>
      </c>
      <c r="H135" s="58" t="s">
        <v>1167</v>
      </c>
      <c r="I135" s="58" t="s">
        <v>504</v>
      </c>
      <c r="J135" s="58" t="s">
        <v>1168</v>
      </c>
      <c r="K135" s="74" t="s">
        <v>1169</v>
      </c>
      <c r="L135" s="58"/>
      <c r="M135" s="58"/>
      <c r="N135" s="58"/>
      <c r="O135" s="58"/>
      <c r="P135" s="58"/>
      <c r="Q135" s="58"/>
      <c r="R135" s="58"/>
      <c r="S135" s="58"/>
      <c r="T135" s="58"/>
      <c r="U135" s="58"/>
      <c r="V135" s="58"/>
      <c r="W135" s="77" t="s">
        <v>1170</v>
      </c>
      <c r="X135" s="58" t="s">
        <v>1123</v>
      </c>
      <c r="Y135" s="52"/>
      <c r="Z135" s="52"/>
      <c r="AA135" s="52"/>
      <c r="AB135" s="52"/>
      <c r="AC135" s="52"/>
    </row>
    <row r="136" ht="75.599999999999994" customHeight="1">
      <c r="A136" s="73">
        <v>124</v>
      </c>
      <c r="B136" s="75"/>
      <c r="C136" s="78"/>
      <c r="D136" s="78"/>
      <c r="E136" s="58" t="s">
        <v>1171</v>
      </c>
      <c r="F136" s="58" t="s">
        <v>203</v>
      </c>
      <c r="G136" s="58" t="s">
        <v>1172</v>
      </c>
      <c r="H136" s="58" t="s">
        <v>1173</v>
      </c>
      <c r="I136" s="58" t="s">
        <v>504</v>
      </c>
      <c r="J136" s="58" t="s">
        <v>1174</v>
      </c>
      <c r="K136" s="74" t="s">
        <v>1175</v>
      </c>
      <c r="L136" s="58"/>
      <c r="M136" s="58"/>
      <c r="N136" s="58"/>
      <c r="O136" s="58"/>
      <c r="P136" s="58"/>
      <c r="Q136" s="58"/>
      <c r="R136" s="58"/>
      <c r="S136" s="58"/>
      <c r="T136" s="58"/>
      <c r="U136" s="58"/>
      <c r="V136" s="58"/>
      <c r="W136" s="77" t="s">
        <v>1176</v>
      </c>
      <c r="X136" s="58" t="s">
        <v>1123</v>
      </c>
      <c r="Y136" s="52"/>
      <c r="Z136" s="52"/>
      <c r="AA136" s="52"/>
      <c r="AB136" s="52"/>
      <c r="AC136" s="52"/>
    </row>
    <row r="137" ht="89.099999999999994" customHeight="1">
      <c r="A137" s="73">
        <v>125</v>
      </c>
      <c r="B137" s="78"/>
      <c r="C137" s="58" t="s">
        <v>109</v>
      </c>
      <c r="D137" s="58" t="s">
        <v>268</v>
      </c>
      <c r="E137" s="58" t="s">
        <v>1177</v>
      </c>
      <c r="F137" s="58" t="s">
        <v>210</v>
      </c>
      <c r="G137" s="58" t="s">
        <v>1178</v>
      </c>
      <c r="H137" s="58" t="s">
        <v>1179</v>
      </c>
      <c r="I137" s="58" t="s">
        <v>504</v>
      </c>
      <c r="J137" s="58" t="s">
        <v>1180</v>
      </c>
      <c r="K137" s="74" t="s">
        <v>1181</v>
      </c>
      <c r="L137" s="58"/>
      <c r="M137" s="58"/>
      <c r="N137" s="58"/>
      <c r="O137" s="58"/>
      <c r="P137" s="58"/>
      <c r="Q137" s="58"/>
      <c r="R137" s="58"/>
      <c r="S137" s="58"/>
      <c r="T137" s="58"/>
      <c r="U137" s="58"/>
      <c r="V137" s="58"/>
      <c r="W137" s="77" t="s">
        <v>1182</v>
      </c>
      <c r="X137" s="58" t="s">
        <v>742</v>
      </c>
      <c r="Y137" s="52"/>
      <c r="Z137" s="52"/>
      <c r="AA137" s="52"/>
      <c r="AB137" s="52"/>
      <c r="AC137" s="52"/>
    </row>
    <row r="138" ht="62.100000000000001" customHeight="1">
      <c r="A138" s="73">
        <v>126</v>
      </c>
      <c r="B138" s="58" t="s">
        <v>110</v>
      </c>
      <c r="C138" s="58" t="s">
        <v>111</v>
      </c>
      <c r="D138" s="58" t="s">
        <v>1183</v>
      </c>
      <c r="E138" s="58" t="s">
        <v>1184</v>
      </c>
      <c r="F138" s="58" t="s">
        <v>203</v>
      </c>
      <c r="G138" s="58" t="s">
        <v>1185</v>
      </c>
      <c r="H138" s="58" t="s">
        <v>1186</v>
      </c>
      <c r="I138" s="58" t="s">
        <v>1187</v>
      </c>
      <c r="J138" s="58" t="s">
        <v>542</v>
      </c>
      <c r="K138" s="74" t="s">
        <v>1188</v>
      </c>
      <c r="L138" s="58"/>
      <c r="M138" s="58"/>
      <c r="N138" s="58"/>
      <c r="O138" s="58"/>
      <c r="P138" s="58"/>
      <c r="Q138" s="58"/>
      <c r="R138" s="58"/>
      <c r="S138" s="58"/>
      <c r="T138" s="58"/>
      <c r="U138" s="58"/>
      <c r="V138" s="58"/>
      <c r="W138" s="58"/>
      <c r="X138" s="58" t="s">
        <v>507</v>
      </c>
      <c r="Y138" s="52"/>
      <c r="Z138" s="52"/>
      <c r="AA138" s="52"/>
      <c r="AB138" s="52"/>
      <c r="AC138" s="52"/>
    </row>
    <row r="139" ht="62.100000000000001" customHeight="1">
      <c r="A139" s="73">
        <v>127</v>
      </c>
      <c r="B139" s="75"/>
      <c r="C139" s="75"/>
      <c r="D139" s="78"/>
      <c r="E139" s="58" t="s">
        <v>1189</v>
      </c>
      <c r="F139" s="58" t="s">
        <v>225</v>
      </c>
      <c r="G139" s="58" t="s">
        <v>1190</v>
      </c>
      <c r="H139" s="58" t="s">
        <v>1191</v>
      </c>
      <c r="I139" s="58" t="s">
        <v>1187</v>
      </c>
      <c r="J139" s="58" t="s">
        <v>1192</v>
      </c>
      <c r="K139" s="74" t="s">
        <v>1193</v>
      </c>
      <c r="L139" s="58"/>
      <c r="M139" s="58"/>
      <c r="N139" s="58"/>
      <c r="O139" s="58"/>
      <c r="P139" s="58"/>
      <c r="Q139" s="58"/>
      <c r="R139" s="58"/>
      <c r="S139" s="58"/>
      <c r="T139" s="58"/>
      <c r="U139" s="58"/>
      <c r="V139" s="58"/>
      <c r="W139" s="77" t="s">
        <v>1194</v>
      </c>
      <c r="X139" s="58" t="s">
        <v>507</v>
      </c>
      <c r="Y139" s="52"/>
      <c r="Z139" s="52"/>
      <c r="AA139" s="52"/>
      <c r="AB139" s="52"/>
      <c r="AC139" s="52"/>
    </row>
    <row r="140" ht="89.099999999999994" customHeight="1">
      <c r="A140" s="73">
        <v>128</v>
      </c>
      <c r="B140" s="75"/>
      <c r="C140" s="75"/>
      <c r="D140" s="58" t="s">
        <v>1195</v>
      </c>
      <c r="E140" s="58" t="s">
        <v>1196</v>
      </c>
      <c r="F140" s="58" t="s">
        <v>203</v>
      </c>
      <c r="G140" s="58" t="s">
        <v>1197</v>
      </c>
      <c r="H140" s="58" t="s">
        <v>1198</v>
      </c>
      <c r="I140" s="58" t="s">
        <v>1187</v>
      </c>
      <c r="J140" s="58" t="s">
        <v>1199</v>
      </c>
      <c r="K140" s="74" t="s">
        <v>1200</v>
      </c>
      <c r="L140" s="58"/>
      <c r="M140" s="58"/>
      <c r="N140" s="58"/>
      <c r="O140" s="58"/>
      <c r="P140" s="58"/>
      <c r="Q140" s="58"/>
      <c r="R140" s="58"/>
      <c r="S140" s="58"/>
      <c r="T140" s="58"/>
      <c r="U140" s="58"/>
      <c r="V140" s="58"/>
      <c r="W140" s="58"/>
      <c r="X140" s="58" t="s">
        <v>519</v>
      </c>
      <c r="Y140" s="52"/>
      <c r="Z140" s="52"/>
      <c r="AA140" s="52"/>
      <c r="AB140" s="52"/>
      <c r="AC140" s="52"/>
    </row>
    <row r="141" ht="62.100000000000001" customHeight="1">
      <c r="A141" s="73">
        <v>129</v>
      </c>
      <c r="B141" s="75"/>
      <c r="C141" s="78"/>
      <c r="D141" s="78"/>
      <c r="E141" s="58" t="s">
        <v>1201</v>
      </c>
      <c r="F141" s="58" t="s">
        <v>203</v>
      </c>
      <c r="G141" s="58" t="s">
        <v>1202</v>
      </c>
      <c r="H141" s="58" t="s">
        <v>1203</v>
      </c>
      <c r="I141" s="58" t="s">
        <v>1187</v>
      </c>
      <c r="J141" s="58" t="s">
        <v>1204</v>
      </c>
      <c r="K141" s="74" t="s">
        <v>1205</v>
      </c>
      <c r="L141" s="58"/>
      <c r="M141" s="58"/>
      <c r="N141" s="58"/>
      <c r="O141" s="58"/>
      <c r="P141" s="58"/>
      <c r="Q141" s="58"/>
      <c r="R141" s="58"/>
      <c r="S141" s="58"/>
      <c r="T141" s="58"/>
      <c r="U141" s="58"/>
      <c r="V141" s="58"/>
      <c r="W141" s="77" t="s">
        <v>1206</v>
      </c>
      <c r="X141" s="58" t="s">
        <v>222</v>
      </c>
      <c r="Y141" s="52"/>
      <c r="Z141" s="52"/>
      <c r="AA141" s="52"/>
      <c r="AB141" s="52"/>
      <c r="AC141" s="52"/>
    </row>
    <row r="142" ht="48.600000000000001" customHeight="1">
      <c r="A142" s="73">
        <v>130</v>
      </c>
      <c r="B142" s="75"/>
      <c r="C142" s="88" t="s">
        <v>112</v>
      </c>
      <c r="D142" s="80" t="s">
        <v>1207</v>
      </c>
      <c r="E142" s="80" t="s">
        <v>1208</v>
      </c>
      <c r="F142" s="80" t="s">
        <v>203</v>
      </c>
      <c r="G142" s="58" t="s">
        <v>1209</v>
      </c>
      <c r="H142" s="80" t="s">
        <v>1210</v>
      </c>
      <c r="I142" s="88" t="s">
        <v>1211</v>
      </c>
      <c r="J142" s="88" t="s">
        <v>1212</v>
      </c>
      <c r="K142" s="82" t="s">
        <v>1213</v>
      </c>
      <c r="L142" s="58"/>
      <c r="M142" s="58"/>
      <c r="N142" s="58"/>
      <c r="O142" s="58"/>
      <c r="P142" s="58"/>
      <c r="Q142" s="58"/>
      <c r="R142" s="58"/>
      <c r="S142" s="58"/>
      <c r="T142" s="58"/>
      <c r="U142" s="58"/>
      <c r="V142" s="58"/>
      <c r="W142" s="77" t="s">
        <v>1214</v>
      </c>
      <c r="X142" s="58" t="s">
        <v>222</v>
      </c>
      <c r="Y142" s="52"/>
      <c r="Z142" s="52"/>
      <c r="AA142" s="52"/>
      <c r="AB142" s="52"/>
      <c r="AC142" s="52"/>
    </row>
    <row r="143" ht="102.59999999999999" customHeight="1">
      <c r="A143" s="73">
        <v>131</v>
      </c>
      <c r="B143" s="75"/>
      <c r="C143" s="58" t="s">
        <v>113</v>
      </c>
      <c r="D143" s="58" t="s">
        <v>1215</v>
      </c>
      <c r="E143" s="58" t="s">
        <v>1216</v>
      </c>
      <c r="F143" s="58" t="s">
        <v>203</v>
      </c>
      <c r="G143" s="58" t="s">
        <v>1217</v>
      </c>
      <c r="H143" s="58" t="s">
        <v>1218</v>
      </c>
      <c r="I143" s="58" t="s">
        <v>1219</v>
      </c>
      <c r="J143" s="58" t="s">
        <v>1220</v>
      </c>
      <c r="K143" s="74" t="s">
        <v>1221</v>
      </c>
      <c r="L143" s="58"/>
      <c r="M143" s="58"/>
      <c r="N143" s="58"/>
      <c r="O143" s="58"/>
      <c r="P143" s="58"/>
      <c r="Q143" s="58"/>
      <c r="R143" s="58"/>
      <c r="S143" s="58"/>
      <c r="T143" s="58"/>
      <c r="U143" s="58"/>
      <c r="V143" s="58"/>
      <c r="W143" s="77" t="s">
        <v>1222</v>
      </c>
      <c r="X143" s="58" t="s">
        <v>519</v>
      </c>
      <c r="Y143" s="52"/>
      <c r="Z143" s="52"/>
      <c r="AA143" s="52"/>
      <c r="AB143" s="52"/>
      <c r="AC143" s="52"/>
    </row>
    <row r="144" ht="62.100000000000001" customHeight="1">
      <c r="A144" s="73">
        <v>132</v>
      </c>
      <c r="B144" s="78"/>
      <c r="C144" s="78"/>
      <c r="D144" s="58" t="s">
        <v>1223</v>
      </c>
      <c r="E144" s="58" t="s">
        <v>1224</v>
      </c>
      <c r="F144" s="58" t="s">
        <v>203</v>
      </c>
      <c r="G144" s="58" t="s">
        <v>1225</v>
      </c>
      <c r="H144" s="58" t="s">
        <v>1226</v>
      </c>
      <c r="I144" s="58" t="s">
        <v>1227</v>
      </c>
      <c r="J144" s="58" t="s">
        <v>1228</v>
      </c>
      <c r="K144" s="74" t="s">
        <v>1229</v>
      </c>
      <c r="L144" s="58"/>
      <c r="M144" s="58"/>
      <c r="N144" s="58"/>
      <c r="O144" s="58"/>
      <c r="P144" s="58"/>
      <c r="Q144" s="58"/>
      <c r="R144" s="58"/>
      <c r="S144" s="58"/>
      <c r="T144" s="58"/>
      <c r="U144" s="58"/>
      <c r="V144" s="58"/>
      <c r="W144" s="77" t="s">
        <v>1222</v>
      </c>
      <c r="X144" s="58" t="s">
        <v>222</v>
      </c>
      <c r="Y144" s="52"/>
      <c r="Z144" s="52"/>
      <c r="AA144" s="52"/>
      <c r="AB144" s="52"/>
      <c r="AC144" s="52"/>
    </row>
    <row r="145" ht="62.100000000000001" customHeight="1">
      <c r="A145" s="73">
        <v>133</v>
      </c>
      <c r="B145" s="58" t="s">
        <v>89</v>
      </c>
      <c r="C145" s="58" t="s">
        <v>114</v>
      </c>
      <c r="D145" s="58" t="s">
        <v>1183</v>
      </c>
      <c r="E145" s="58" t="s">
        <v>1230</v>
      </c>
      <c r="F145" s="58" t="s">
        <v>203</v>
      </c>
      <c r="G145" s="58" t="s">
        <v>1231</v>
      </c>
      <c r="H145" s="58" t="s">
        <v>1232</v>
      </c>
      <c r="I145" s="58" t="s">
        <v>1233</v>
      </c>
      <c r="J145" s="58" t="s">
        <v>542</v>
      </c>
      <c r="K145" s="74" t="s">
        <v>1234</v>
      </c>
      <c r="L145" s="58"/>
      <c r="M145" s="58"/>
      <c r="N145" s="58"/>
      <c r="O145" s="58"/>
      <c r="P145" s="58"/>
      <c r="Q145" s="58"/>
      <c r="R145" s="58"/>
      <c r="S145" s="58"/>
      <c r="T145" s="58"/>
      <c r="U145" s="58"/>
      <c r="V145" s="58"/>
      <c r="W145" s="58"/>
      <c r="X145" s="58" t="s">
        <v>222</v>
      </c>
      <c r="Y145" s="52"/>
      <c r="Z145" s="52"/>
      <c r="AA145" s="52"/>
      <c r="AB145" s="52"/>
      <c r="AC145" s="52"/>
    </row>
    <row r="146" ht="62.100000000000001" customHeight="1">
      <c r="A146" s="73">
        <v>134</v>
      </c>
      <c r="B146" s="75"/>
      <c r="C146" s="78"/>
      <c r="D146" s="58" t="s">
        <v>1235</v>
      </c>
      <c r="E146" s="58" t="s">
        <v>1236</v>
      </c>
      <c r="F146" s="58" t="s">
        <v>203</v>
      </c>
      <c r="G146" s="58" t="s">
        <v>1237</v>
      </c>
      <c r="H146" s="58" t="s">
        <v>1238</v>
      </c>
      <c r="I146" s="58" t="s">
        <v>1233</v>
      </c>
      <c r="J146" s="58" t="s">
        <v>1239</v>
      </c>
      <c r="K146" s="74" t="s">
        <v>1240</v>
      </c>
      <c r="L146" s="58"/>
      <c r="M146" s="58"/>
      <c r="N146" s="58"/>
      <c r="O146" s="58"/>
      <c r="P146" s="58"/>
      <c r="Q146" s="58"/>
      <c r="R146" s="58"/>
      <c r="S146" s="58"/>
      <c r="T146" s="58"/>
      <c r="U146" s="58"/>
      <c r="V146" s="58"/>
      <c r="W146" s="77" t="s">
        <v>1206</v>
      </c>
      <c r="X146" s="58" t="s">
        <v>222</v>
      </c>
      <c r="Y146" s="52"/>
      <c r="Z146" s="52"/>
      <c r="AA146" s="52"/>
      <c r="AB146" s="52"/>
      <c r="AC146" s="52"/>
    </row>
    <row r="147" ht="116.09999999999999" customHeight="1">
      <c r="A147" s="73">
        <v>135</v>
      </c>
      <c r="B147" s="75"/>
      <c r="C147" s="58" t="s">
        <v>115</v>
      </c>
      <c r="D147" s="58" t="s">
        <v>1241</v>
      </c>
      <c r="E147" s="58" t="s">
        <v>1242</v>
      </c>
      <c r="F147" s="58" t="s">
        <v>203</v>
      </c>
      <c r="G147" s="58" t="s">
        <v>1243</v>
      </c>
      <c r="H147" s="58" t="s">
        <v>1244</v>
      </c>
      <c r="I147" s="58" t="s">
        <v>504</v>
      </c>
      <c r="J147" s="58" t="s">
        <v>1245</v>
      </c>
      <c r="K147" s="74" t="s">
        <v>1246</v>
      </c>
      <c r="L147" s="58"/>
      <c r="M147" s="58"/>
      <c r="N147" s="58"/>
      <c r="O147" s="58"/>
      <c r="P147" s="58"/>
      <c r="Q147" s="58"/>
      <c r="R147" s="58"/>
      <c r="S147" s="58"/>
      <c r="T147" s="58"/>
      <c r="U147" s="58"/>
      <c r="V147" s="58"/>
      <c r="W147" s="58"/>
      <c r="X147" s="58" t="s">
        <v>551</v>
      </c>
      <c r="Y147" s="52"/>
      <c r="Z147" s="52"/>
      <c r="AA147" s="52"/>
      <c r="AB147" s="52"/>
      <c r="AC147" s="52"/>
    </row>
    <row r="148" ht="62.100000000000001" customHeight="1">
      <c r="A148" s="73">
        <v>136</v>
      </c>
      <c r="B148" s="78"/>
      <c r="C148" s="85" t="s">
        <v>116</v>
      </c>
      <c r="D148" s="86" t="s">
        <v>1247</v>
      </c>
      <c r="E148" s="86" t="s">
        <v>1248</v>
      </c>
      <c r="F148" s="86" t="s">
        <v>210</v>
      </c>
      <c r="G148" s="89" t="s">
        <v>1249</v>
      </c>
      <c r="H148" s="86" t="s">
        <v>1250</v>
      </c>
      <c r="I148" s="86" t="s">
        <v>504</v>
      </c>
      <c r="J148" s="86" t="s">
        <v>1251</v>
      </c>
      <c r="K148" s="76"/>
      <c r="L148" s="58"/>
      <c r="M148" s="58"/>
      <c r="N148" s="58"/>
      <c r="O148" s="58"/>
      <c r="P148" s="58"/>
      <c r="Q148" s="58"/>
      <c r="R148" s="58"/>
      <c r="S148" s="58"/>
      <c r="T148" s="58"/>
      <c r="U148" s="58"/>
      <c r="V148" s="58"/>
      <c r="W148" s="77" t="s">
        <v>1252</v>
      </c>
      <c r="X148" s="58" t="s">
        <v>496</v>
      </c>
      <c r="Y148" s="52"/>
      <c r="Z148" s="52"/>
      <c r="AA148" s="52"/>
      <c r="AB148" s="52"/>
      <c r="AC148" s="52"/>
    </row>
  </sheetData>
  <mergeCells count="84">
    <mergeCell ref="K2:S2"/>
    <mergeCell ref="K4:K5"/>
    <mergeCell ref="L4:L5"/>
    <mergeCell ref="K6:K7"/>
    <mergeCell ref="L6:L7"/>
    <mergeCell ref="M10:Q10"/>
    <mergeCell ref="R10:V10"/>
    <mergeCell ref="B11:D11"/>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B13:B17"/>
    <mergeCell ref="C13:C14"/>
    <mergeCell ref="C15:C17"/>
    <mergeCell ref="D16:D17"/>
    <mergeCell ref="B18:B73"/>
    <mergeCell ref="C20:C39"/>
    <mergeCell ref="D21:D22"/>
    <mergeCell ref="D23:D24"/>
    <mergeCell ref="D25:D26"/>
    <mergeCell ref="D27:D36"/>
    <mergeCell ref="D37:D39"/>
    <mergeCell ref="C40:C46"/>
    <mergeCell ref="D41:D46"/>
    <mergeCell ref="C47:C68"/>
    <mergeCell ref="D47:D65"/>
    <mergeCell ref="E49:E52"/>
    <mergeCell ref="E56:E65"/>
    <mergeCell ref="D66:D68"/>
    <mergeCell ref="C69:C73"/>
    <mergeCell ref="D69:D70"/>
    <mergeCell ref="D72:D73"/>
    <mergeCell ref="B74:B137"/>
    <mergeCell ref="C74:C80"/>
    <mergeCell ref="D74:D77"/>
    <mergeCell ref="E75:E77"/>
    <mergeCell ref="D79:D80"/>
    <mergeCell ref="C81:C82"/>
    <mergeCell ref="C83:C86"/>
    <mergeCell ref="D83:D86"/>
    <mergeCell ref="C87:C95"/>
    <mergeCell ref="D88:D92"/>
    <mergeCell ref="D93:D95"/>
    <mergeCell ref="C96:C107"/>
    <mergeCell ref="D97:D106"/>
    <mergeCell ref="E99:E100"/>
    <mergeCell ref="E101:E104"/>
    <mergeCell ref="C108:C119"/>
    <mergeCell ref="D109:D110"/>
    <mergeCell ref="D111:D112"/>
    <mergeCell ref="D113:D115"/>
    <mergeCell ref="D116:D119"/>
    <mergeCell ref="C120:C125"/>
    <mergeCell ref="D120:D121"/>
    <mergeCell ref="D122:D123"/>
    <mergeCell ref="D124:D125"/>
    <mergeCell ref="C126:C128"/>
    <mergeCell ref="D126:D128"/>
    <mergeCell ref="C129:C136"/>
    <mergeCell ref="D129:D130"/>
    <mergeCell ref="D132:D136"/>
    <mergeCell ref="B138:B144"/>
    <mergeCell ref="C138:C141"/>
    <mergeCell ref="D138:D139"/>
    <mergeCell ref="D140:D141"/>
    <mergeCell ref="C143:C144"/>
    <mergeCell ref="B145:B148"/>
    <mergeCell ref="C145:C146"/>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B32E2E74-BC54-4E60-AFFC-0E6665A27FA5}" type="list" allowBlank="1" errorStyle="stop" imeMode="noControl" operator="between" showDropDown="0" showErrorMessage="0" showInputMessage="0">
          <x14:formula1>
            <xm:f>"High,Medium,Low,Critical"</xm:f>
          </x14:formula1>
          <xm:sqref>F13:F116 F118:F148</xm:sqref>
        </x14:dataValidation>
        <x14:dataValidation xr:uid="{CD9C4AAA-C9B4-4D28-9E9B-ABEEC03069AF}" type="list" allowBlank="1" errorStyle="stop" imeMode="noControl" operator="between" showDropDown="0" showErrorMessage="0" showInputMessage="0">
          <x14:formula1>
            <xm:f>"Passed,Failed,Pending,Blocked,NA,Not execute"</xm:f>
          </x14:formula1>
          <xm:sqref>M13:M148 R13:R148</xm:sqref>
        </x14:dataValidation>
        <x14:dataValidation xr:uid="{F926CBE1-409F-41D2-B031-C93FDE836B01}" type="list" allowBlank="1" errorStyle="stop" imeMode="noControl" operator="between" showDropDown="0" showErrorMessage="0" showInputMessage="0">
          <x14:formula1>
            <xm:f>"High,Medium,Low,Critical"</xm:f>
          </x14:formula1>
          <xm:sqref>F117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customWidth="1" min="22" max="22" style="49" width="17.710937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29.25" customHeight="1">
      <c r="A3" s="51"/>
      <c r="B3" s="54" t="s">
        <v>171</v>
      </c>
      <c r="C3" s="55" t="s">
        <v>1868</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24" customHeight="1">
      <c r="A4" s="51"/>
      <c r="B4" s="54" t="s">
        <v>174</v>
      </c>
      <c r="C4" s="58" t="s">
        <v>1869</v>
      </c>
      <c r="D4" s="59"/>
      <c r="E4" s="52"/>
      <c r="F4" s="52"/>
      <c r="G4" s="52"/>
      <c r="H4" s="52"/>
      <c r="I4" s="52"/>
      <c r="J4" s="52"/>
      <c r="K4" s="54" t="s">
        <v>176</v>
      </c>
      <c r="L4" s="60">
        <f>COUNTA($G$13:$G$74)</f>
        <v>62</v>
      </c>
      <c r="M4" s="61">
        <f>COUNTIF($M$13:$M$74,M3)</f>
        <v>0</v>
      </c>
      <c r="N4" s="61">
        <f>COUNTIF($M$13:$M$74,N3)</f>
        <v>0</v>
      </c>
      <c r="O4" s="61">
        <f>COUNTIF($M$13:$M$74,O3)</f>
        <v>0</v>
      </c>
      <c r="P4" s="62">
        <f>COUNTIF($M$13:$M$74,P3)</f>
        <v>0</v>
      </c>
      <c r="Q4" s="61">
        <f>COUNTIF($M$13:$M$74,Q3)</f>
        <v>0</v>
      </c>
      <c r="R4" s="61">
        <f>L4-SUM(M4:Q4)</f>
        <v>62</v>
      </c>
      <c r="S4" s="63"/>
      <c r="T4" s="52"/>
      <c r="U4" s="52"/>
      <c r="V4" s="52"/>
      <c r="W4" s="52"/>
      <c r="X4" s="52"/>
      <c r="Y4" s="52"/>
      <c r="Z4" s="52"/>
      <c r="AA4" s="52"/>
      <c r="AB4" s="52"/>
      <c r="AC4" s="52"/>
    </row>
    <row r="5" ht="15.75" customHeight="1">
      <c r="A5" s="51"/>
      <c r="B5" s="54" t="s">
        <v>3</v>
      </c>
      <c r="C5" s="58" t="s">
        <v>1870</v>
      </c>
      <c r="D5" s="59"/>
      <c r="E5" s="52"/>
      <c r="F5" s="52"/>
      <c r="G5" s="52"/>
      <c r="H5" s="52"/>
      <c r="I5" s="52"/>
      <c r="J5" s="52"/>
      <c r="K5" s="12"/>
      <c r="L5" s="12"/>
      <c r="M5" s="64">
        <f t="shared" ref="M5:R5" si="24">M4/$L$4</f>
        <v>0</v>
      </c>
      <c r="N5" s="64">
        <f t="shared" si="24"/>
        <v>0</v>
      </c>
      <c r="O5" s="64">
        <f t="shared" si="24"/>
        <v>0</v>
      </c>
      <c r="P5" s="65">
        <f t="shared" si="24"/>
        <v>0</v>
      </c>
      <c r="Q5" s="64">
        <f t="shared" si="24"/>
        <v>0</v>
      </c>
      <c r="R5" s="64">
        <f t="shared" si="24"/>
        <v>1</v>
      </c>
      <c r="S5" s="52"/>
      <c r="T5" s="52"/>
      <c r="U5" s="52"/>
      <c r="V5" s="52"/>
      <c r="W5" s="52"/>
      <c r="X5" s="52"/>
      <c r="Y5" s="52"/>
      <c r="Z5" s="52"/>
      <c r="AA5" s="52"/>
      <c r="AB5" s="52"/>
      <c r="AC5" s="52"/>
    </row>
    <row r="6" ht="15.75" customHeight="1">
      <c r="A6" s="51"/>
      <c r="B6" s="54" t="s">
        <v>178</v>
      </c>
      <c r="C6" s="66" t="s">
        <v>33</v>
      </c>
      <c r="D6" s="59"/>
      <c r="E6" s="52"/>
      <c r="F6" s="52"/>
      <c r="G6" s="52"/>
      <c r="H6" s="52"/>
      <c r="I6" s="52"/>
      <c r="J6" s="52"/>
      <c r="K6" s="54" t="s">
        <v>179</v>
      </c>
      <c r="L6" s="60">
        <f>COUNTA($G$13:$G$74)</f>
        <v>62</v>
      </c>
      <c r="M6" s="61">
        <f>COUNTIF($R$13:$R$74,M3)</f>
        <v>0</v>
      </c>
      <c r="N6" s="61">
        <f>COUNTIF($R$13:$R$74,N3)</f>
        <v>0</v>
      </c>
      <c r="O6" s="61">
        <f>COUNTIF($R$13:$R$74,O3)</f>
        <v>0</v>
      </c>
      <c r="P6" s="62">
        <f>COUNTIF($R$13:$R$74,P3)</f>
        <v>0</v>
      </c>
      <c r="Q6" s="61">
        <f>COUNTIF($R$13:$R$74,Q3)</f>
        <v>0</v>
      </c>
      <c r="R6" s="61">
        <f>L6-SUM(M6:Q6)</f>
        <v>62</v>
      </c>
      <c r="S6" s="63"/>
      <c r="T6" s="52"/>
      <c r="U6" s="52"/>
      <c r="V6" s="52"/>
      <c r="W6" s="52"/>
      <c r="X6" s="52"/>
      <c r="Y6" s="52"/>
      <c r="Z6" s="52"/>
      <c r="AA6" s="52"/>
      <c r="AB6" s="52"/>
      <c r="AC6" s="52"/>
    </row>
    <row r="7" ht="15.75" customHeight="1">
      <c r="A7" s="51"/>
      <c r="B7" s="54" t="s">
        <v>17</v>
      </c>
      <c r="C7" s="67" t="s">
        <v>1871</v>
      </c>
      <c r="D7" s="68"/>
      <c r="E7" s="52"/>
      <c r="F7" s="52"/>
      <c r="G7" s="52"/>
      <c r="H7" s="52"/>
      <c r="I7" s="52"/>
      <c r="J7" s="52"/>
      <c r="K7" s="12"/>
      <c r="L7" s="12"/>
      <c r="M7" s="64">
        <f t="shared" ref="M7:R7" si="25">M6/$L$6</f>
        <v>0</v>
      </c>
      <c r="N7" s="64">
        <f t="shared" si="25"/>
        <v>0</v>
      </c>
      <c r="O7" s="64">
        <f t="shared" si="25"/>
        <v>0</v>
      </c>
      <c r="P7" s="65">
        <f t="shared" si="25"/>
        <v>0</v>
      </c>
      <c r="Q7" s="64">
        <f t="shared" si="25"/>
        <v>0</v>
      </c>
      <c r="R7" s="64">
        <f t="shared" si="25"/>
        <v>1</v>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ht="48.600000000000001" customHeight="1">
      <c r="A13" s="73">
        <v>1</v>
      </c>
      <c r="B13" s="58" t="s">
        <v>80</v>
      </c>
      <c r="C13" s="58" t="s">
        <v>145</v>
      </c>
      <c r="D13" s="58" t="s">
        <v>500</v>
      </c>
      <c r="E13" s="58" t="s">
        <v>1872</v>
      </c>
      <c r="F13" s="58" t="s">
        <v>203</v>
      </c>
      <c r="G13" s="58" t="s">
        <v>204</v>
      </c>
      <c r="H13" s="58" t="s">
        <v>1873</v>
      </c>
      <c r="I13" s="58" t="s">
        <v>1874</v>
      </c>
      <c r="J13" s="58" t="s">
        <v>1875</v>
      </c>
      <c r="K13" s="74" t="s">
        <v>1876</v>
      </c>
      <c r="L13" s="58"/>
      <c r="M13" s="58"/>
      <c r="N13" s="58"/>
      <c r="O13" s="58"/>
      <c r="P13" s="58"/>
      <c r="Q13" s="58"/>
      <c r="R13" s="58"/>
      <c r="S13" s="58"/>
      <c r="T13" s="58"/>
      <c r="U13" s="58"/>
      <c r="V13" s="58"/>
      <c r="W13" s="77" t="s">
        <v>1877</v>
      </c>
      <c r="X13" s="58" t="s">
        <v>1878</v>
      </c>
      <c r="Y13" s="52"/>
      <c r="Z13" s="52"/>
      <c r="AA13" s="52"/>
      <c r="AB13" s="52"/>
      <c r="AC13" s="52"/>
    </row>
    <row r="14" ht="47.450000000000003" customHeight="1">
      <c r="A14" s="73">
        <v>2</v>
      </c>
      <c r="B14" s="75"/>
      <c r="C14" s="78"/>
      <c r="D14" s="78"/>
      <c r="E14" s="58" t="s">
        <v>1879</v>
      </c>
      <c r="F14" s="58" t="s">
        <v>203</v>
      </c>
      <c r="G14" s="58" t="s">
        <v>211</v>
      </c>
      <c r="H14" s="58" t="s">
        <v>1880</v>
      </c>
      <c r="I14" s="58" t="s">
        <v>1881</v>
      </c>
      <c r="J14" s="58" t="s">
        <v>1882</v>
      </c>
      <c r="K14" s="74" t="s">
        <v>1883</v>
      </c>
      <c r="L14" s="58"/>
      <c r="M14" s="58"/>
      <c r="N14" s="58"/>
      <c r="O14" s="58"/>
      <c r="P14" s="58"/>
      <c r="Q14" s="58"/>
      <c r="R14" s="58"/>
      <c r="S14" s="58"/>
      <c r="T14" s="58"/>
      <c r="U14" s="58"/>
      <c r="V14" s="58"/>
      <c r="W14" s="77" t="s">
        <v>1884</v>
      </c>
      <c r="X14" s="58" t="s">
        <v>1878</v>
      </c>
      <c r="Y14" s="52"/>
      <c r="Z14" s="52"/>
      <c r="AA14" s="52"/>
      <c r="AB14" s="52"/>
      <c r="AC14" s="52"/>
    </row>
    <row r="15" ht="60.950000000000003" customHeight="1">
      <c r="A15" s="73">
        <v>3</v>
      </c>
      <c r="B15" s="78"/>
      <c r="C15" s="58" t="s">
        <v>146</v>
      </c>
      <c r="D15" s="58" t="s">
        <v>513</v>
      </c>
      <c r="E15" s="58" t="s">
        <v>1885</v>
      </c>
      <c r="F15" s="58" t="s">
        <v>203</v>
      </c>
      <c r="G15" s="58" t="s">
        <v>217</v>
      </c>
      <c r="H15" s="58" t="s">
        <v>1886</v>
      </c>
      <c r="I15" s="58" t="s">
        <v>1887</v>
      </c>
      <c r="J15" s="58" t="s">
        <v>1888</v>
      </c>
      <c r="K15" s="74" t="s">
        <v>1889</v>
      </c>
      <c r="L15" s="58"/>
      <c r="M15" s="58"/>
      <c r="N15" s="58"/>
      <c r="O15" s="58"/>
      <c r="P15" s="58"/>
      <c r="Q15" s="58"/>
      <c r="R15" s="58"/>
      <c r="S15" s="58"/>
      <c r="T15" s="58"/>
      <c r="U15" s="58"/>
      <c r="V15" s="58"/>
      <c r="W15" s="58"/>
      <c r="X15" s="58" t="s">
        <v>1890</v>
      </c>
      <c r="Y15" s="52"/>
      <c r="Z15" s="52"/>
      <c r="AA15" s="52"/>
      <c r="AB15" s="52"/>
      <c r="AC15" s="52"/>
    </row>
    <row r="16" ht="87.950000000000003" customHeight="1">
      <c r="A16" s="73">
        <v>4</v>
      </c>
      <c r="B16" s="58" t="s">
        <v>147</v>
      </c>
      <c r="C16" s="58" t="s">
        <v>148</v>
      </c>
      <c r="D16" s="58" t="s">
        <v>538</v>
      </c>
      <c r="E16" s="58" t="s">
        <v>1891</v>
      </c>
      <c r="F16" s="58" t="s">
        <v>203</v>
      </c>
      <c r="G16" s="58" t="s">
        <v>226</v>
      </c>
      <c r="H16" s="58" t="s">
        <v>1892</v>
      </c>
      <c r="I16" s="58" t="s">
        <v>1893</v>
      </c>
      <c r="J16" s="58" t="s">
        <v>1894</v>
      </c>
      <c r="K16" s="74" t="s">
        <v>1895</v>
      </c>
      <c r="L16" s="58"/>
      <c r="M16" s="58"/>
      <c r="N16" s="58"/>
      <c r="O16" s="58"/>
      <c r="P16" s="58"/>
      <c r="Q16" s="58"/>
      <c r="R16" s="58"/>
      <c r="S16" s="58"/>
      <c r="T16" s="58"/>
      <c r="U16" s="58"/>
      <c r="V16" s="58"/>
      <c r="W16" s="58"/>
      <c r="X16" s="58" t="s">
        <v>1878</v>
      </c>
      <c r="Y16" s="52"/>
      <c r="Z16" s="52"/>
      <c r="AA16" s="52"/>
      <c r="AB16" s="52"/>
      <c r="AC16" s="52"/>
    </row>
    <row r="17" ht="128.44999999999999" customHeight="1">
      <c r="A17" s="73">
        <v>5</v>
      </c>
      <c r="B17" s="75"/>
      <c r="C17" s="78"/>
      <c r="D17" s="58" t="s">
        <v>138</v>
      </c>
      <c r="E17" s="58" t="s">
        <v>1896</v>
      </c>
      <c r="F17" s="58" t="s">
        <v>203</v>
      </c>
      <c r="G17" s="58" t="s">
        <v>232</v>
      </c>
      <c r="H17" s="58" t="s">
        <v>1897</v>
      </c>
      <c r="I17" s="58" t="s">
        <v>1898</v>
      </c>
      <c r="J17" s="58" t="s">
        <v>1899</v>
      </c>
      <c r="K17" s="74" t="s">
        <v>1900</v>
      </c>
      <c r="L17" s="58"/>
      <c r="M17" s="58"/>
      <c r="N17" s="58"/>
      <c r="O17" s="58"/>
      <c r="P17" s="58"/>
      <c r="Q17" s="58"/>
      <c r="R17" s="58"/>
      <c r="S17" s="58"/>
      <c r="T17" s="58"/>
      <c r="U17" s="58"/>
      <c r="V17" s="58"/>
      <c r="W17" s="77" t="s">
        <v>1901</v>
      </c>
      <c r="X17" s="58" t="s">
        <v>1878</v>
      </c>
      <c r="Y17" s="52"/>
      <c r="Z17" s="52"/>
      <c r="AA17" s="52"/>
      <c r="AB17" s="52"/>
      <c r="AC17" s="52"/>
    </row>
    <row r="18" ht="75.599999999999994" customHeight="1">
      <c r="A18" s="73">
        <v>6</v>
      </c>
      <c r="B18" s="78"/>
      <c r="C18" s="58" t="s">
        <v>149</v>
      </c>
      <c r="D18" s="58" t="s">
        <v>268</v>
      </c>
      <c r="E18" s="58" t="s">
        <v>1902</v>
      </c>
      <c r="F18" s="58" t="s">
        <v>210</v>
      </c>
      <c r="G18" s="58" t="s">
        <v>237</v>
      </c>
      <c r="H18" s="58" t="s">
        <v>1903</v>
      </c>
      <c r="I18" s="58" t="s">
        <v>1904</v>
      </c>
      <c r="J18" s="58" t="s">
        <v>1905</v>
      </c>
      <c r="K18" s="74" t="s">
        <v>1906</v>
      </c>
      <c r="L18" s="58"/>
      <c r="M18" s="58"/>
      <c r="N18" s="58"/>
      <c r="O18" s="58"/>
      <c r="P18" s="58"/>
      <c r="Q18" s="58"/>
      <c r="R18" s="58"/>
      <c r="S18" s="58"/>
      <c r="T18" s="58"/>
      <c r="U18" s="58"/>
      <c r="V18" s="58"/>
      <c r="W18" s="77" t="s">
        <v>1907</v>
      </c>
      <c r="X18" s="58" t="s">
        <v>1878</v>
      </c>
      <c r="Y18" s="52"/>
      <c r="Z18" s="52"/>
      <c r="AA18" s="52"/>
      <c r="AB18" s="52"/>
      <c r="AC18" s="52"/>
    </row>
    <row r="19" ht="101.45" customHeight="1">
      <c r="A19" s="73">
        <v>7</v>
      </c>
      <c r="B19" s="58" t="s">
        <v>150</v>
      </c>
      <c r="C19" s="58" t="s">
        <v>151</v>
      </c>
      <c r="D19" s="58" t="s">
        <v>111</v>
      </c>
      <c r="E19" s="58" t="s">
        <v>1908</v>
      </c>
      <c r="F19" s="58" t="s">
        <v>203</v>
      </c>
      <c r="G19" s="58" t="s">
        <v>242</v>
      </c>
      <c r="H19" s="58" t="s">
        <v>1909</v>
      </c>
      <c r="I19" s="58" t="s">
        <v>1910</v>
      </c>
      <c r="J19" s="58" t="s">
        <v>1911</v>
      </c>
      <c r="K19" s="74" t="s">
        <v>1912</v>
      </c>
      <c r="L19" s="58"/>
      <c r="M19" s="58"/>
      <c r="N19" s="58"/>
      <c r="O19" s="58"/>
      <c r="P19" s="58"/>
      <c r="Q19" s="58"/>
      <c r="R19" s="58"/>
      <c r="S19" s="58"/>
      <c r="T19" s="58"/>
      <c r="U19" s="58"/>
      <c r="V19" s="58"/>
      <c r="W19" s="77" t="s">
        <v>1913</v>
      </c>
      <c r="X19" s="58" t="s">
        <v>1890</v>
      </c>
      <c r="Y19" s="52"/>
      <c r="Z19" s="52"/>
      <c r="AA19" s="52"/>
      <c r="AB19" s="52"/>
      <c r="AC19" s="52"/>
    </row>
    <row r="20" ht="62.100000000000001" customHeight="1">
      <c r="A20" s="73">
        <v>8</v>
      </c>
      <c r="B20" s="78"/>
      <c r="C20" s="78"/>
      <c r="D20" s="58" t="s">
        <v>1914</v>
      </c>
      <c r="E20" s="58" t="s">
        <v>1902</v>
      </c>
      <c r="F20" s="58" t="s">
        <v>210</v>
      </c>
      <c r="G20" s="58" t="s">
        <v>248</v>
      </c>
      <c r="H20" s="58" t="s">
        <v>1915</v>
      </c>
      <c r="I20" s="58" t="s">
        <v>1916</v>
      </c>
      <c r="J20" s="58" t="s">
        <v>1917</v>
      </c>
      <c r="K20" s="76"/>
      <c r="L20" s="58"/>
      <c r="M20" s="58"/>
      <c r="N20" s="58"/>
      <c r="O20" s="58"/>
      <c r="P20" s="58"/>
      <c r="Q20" s="58"/>
      <c r="R20" s="58"/>
      <c r="S20" s="58"/>
      <c r="T20" s="58"/>
      <c r="U20" s="58"/>
      <c r="V20" s="58"/>
      <c r="W20" s="77" t="s">
        <v>1918</v>
      </c>
      <c r="X20" s="58" t="s">
        <v>1890</v>
      </c>
      <c r="Y20" s="52"/>
      <c r="Z20" s="52"/>
      <c r="AA20" s="52"/>
      <c r="AB20" s="52"/>
      <c r="AC20" s="52"/>
    </row>
    <row r="21" ht="62.100000000000001" customHeight="1">
      <c r="A21" s="73">
        <v>9</v>
      </c>
      <c r="B21" s="58" t="s">
        <v>152</v>
      </c>
      <c r="C21" s="58" t="s">
        <v>153</v>
      </c>
      <c r="D21" s="58" t="s">
        <v>538</v>
      </c>
      <c r="E21" s="58" t="s">
        <v>1919</v>
      </c>
      <c r="F21" s="58" t="s">
        <v>203</v>
      </c>
      <c r="G21" s="58" t="s">
        <v>254</v>
      </c>
      <c r="H21" s="58" t="s">
        <v>1920</v>
      </c>
      <c r="I21" s="58" t="s">
        <v>1887</v>
      </c>
      <c r="J21" s="58" t="s">
        <v>1921</v>
      </c>
      <c r="K21" s="74" t="s">
        <v>1922</v>
      </c>
      <c r="L21" s="58"/>
      <c r="M21" s="58"/>
      <c r="N21" s="58"/>
      <c r="O21" s="58"/>
      <c r="P21" s="58"/>
      <c r="Q21" s="58"/>
      <c r="R21" s="58"/>
      <c r="S21" s="58"/>
      <c r="T21" s="58"/>
      <c r="U21" s="58"/>
      <c r="V21" s="58"/>
      <c r="W21" s="58"/>
      <c r="X21" s="58" t="s">
        <v>1923</v>
      </c>
      <c r="Y21" s="52"/>
      <c r="Z21" s="52"/>
      <c r="AA21" s="52"/>
      <c r="AB21" s="52"/>
      <c r="AC21" s="52"/>
    </row>
    <row r="22" ht="60.950000000000003" customHeight="1">
      <c r="A22" s="73">
        <v>10</v>
      </c>
      <c r="B22" s="75"/>
      <c r="C22" s="78"/>
      <c r="D22" s="58" t="s">
        <v>138</v>
      </c>
      <c r="E22" s="58" t="s">
        <v>1924</v>
      </c>
      <c r="F22" s="58" t="s">
        <v>203</v>
      </c>
      <c r="G22" s="58" t="s">
        <v>259</v>
      </c>
      <c r="H22" s="58" t="s">
        <v>1925</v>
      </c>
      <c r="I22" s="58" t="s">
        <v>1881</v>
      </c>
      <c r="J22" s="58" t="s">
        <v>1921</v>
      </c>
      <c r="K22" s="74" t="s">
        <v>1926</v>
      </c>
      <c r="L22" s="58"/>
      <c r="M22" s="58"/>
      <c r="N22" s="58"/>
      <c r="O22" s="58"/>
      <c r="P22" s="58"/>
      <c r="Q22" s="58"/>
      <c r="R22" s="58"/>
      <c r="S22" s="58"/>
      <c r="T22" s="58"/>
      <c r="U22" s="58"/>
      <c r="V22" s="58"/>
      <c r="W22" s="58"/>
      <c r="X22" s="58" t="s">
        <v>1923</v>
      </c>
      <c r="Y22" s="52"/>
      <c r="Z22" s="52"/>
      <c r="AA22" s="52"/>
      <c r="AB22" s="52"/>
      <c r="AC22" s="52"/>
    </row>
    <row r="23" ht="75.599999999999994" customHeight="1">
      <c r="A23" s="73">
        <v>11</v>
      </c>
      <c r="B23" s="75"/>
      <c r="C23" s="58" t="s">
        <v>154</v>
      </c>
      <c r="D23" s="58" t="s">
        <v>369</v>
      </c>
      <c r="E23" s="58" t="s">
        <v>1927</v>
      </c>
      <c r="F23" s="58" t="s">
        <v>203</v>
      </c>
      <c r="G23" s="58" t="s">
        <v>264</v>
      </c>
      <c r="H23" s="58" t="s">
        <v>1928</v>
      </c>
      <c r="I23" s="58" t="s">
        <v>1887</v>
      </c>
      <c r="J23" s="58" t="s">
        <v>1929</v>
      </c>
      <c r="K23" s="74" t="s">
        <v>1930</v>
      </c>
      <c r="L23" s="58"/>
      <c r="M23" s="58"/>
      <c r="N23" s="58"/>
      <c r="O23" s="58"/>
      <c r="P23" s="58"/>
      <c r="Q23" s="58"/>
      <c r="R23" s="58"/>
      <c r="S23" s="58"/>
      <c r="T23" s="58"/>
      <c r="U23" s="58"/>
      <c r="V23" s="58"/>
      <c r="W23" s="58"/>
      <c r="X23" s="58" t="s">
        <v>1923</v>
      </c>
      <c r="Y23" s="52"/>
      <c r="Z23" s="52"/>
      <c r="AA23" s="52"/>
      <c r="AB23" s="52"/>
      <c r="AC23" s="52"/>
    </row>
    <row r="24" ht="74.450000000000003" customHeight="1">
      <c r="A24" s="73">
        <v>12</v>
      </c>
      <c r="B24" s="75"/>
      <c r="C24" s="75"/>
      <c r="D24" s="75"/>
      <c r="E24" s="58" t="s">
        <v>1931</v>
      </c>
      <c r="F24" s="58" t="s">
        <v>203</v>
      </c>
      <c r="G24" s="58" t="s">
        <v>270</v>
      </c>
      <c r="H24" s="58" t="s">
        <v>1932</v>
      </c>
      <c r="I24" s="58" t="s">
        <v>1933</v>
      </c>
      <c r="J24" s="58" t="s">
        <v>1934</v>
      </c>
      <c r="K24" s="74" t="s">
        <v>1935</v>
      </c>
      <c r="L24" s="58"/>
      <c r="M24" s="58"/>
      <c r="N24" s="58"/>
      <c r="O24" s="58"/>
      <c r="P24" s="58"/>
      <c r="Q24" s="58"/>
      <c r="R24" s="58"/>
      <c r="S24" s="58"/>
      <c r="T24" s="58"/>
      <c r="U24" s="58"/>
      <c r="V24" s="58"/>
      <c r="W24" s="77" t="s">
        <v>1936</v>
      </c>
      <c r="X24" s="58" t="s">
        <v>1937</v>
      </c>
      <c r="Y24" s="52"/>
      <c r="Z24" s="52"/>
      <c r="AA24" s="52"/>
      <c r="AB24" s="52"/>
      <c r="AC24" s="52"/>
    </row>
    <row r="25" ht="74.450000000000003" customHeight="1">
      <c r="A25" s="73">
        <v>13</v>
      </c>
      <c r="B25" s="75"/>
      <c r="C25" s="75"/>
      <c r="D25" s="75"/>
      <c r="E25" s="58" t="s">
        <v>1938</v>
      </c>
      <c r="F25" s="58" t="s">
        <v>203</v>
      </c>
      <c r="G25" s="58" t="s">
        <v>275</v>
      </c>
      <c r="H25" s="58" t="s">
        <v>1939</v>
      </c>
      <c r="I25" s="58" t="s">
        <v>1933</v>
      </c>
      <c r="J25" s="58" t="s">
        <v>1940</v>
      </c>
      <c r="K25" s="74" t="s">
        <v>1941</v>
      </c>
      <c r="L25" s="58"/>
      <c r="M25" s="58"/>
      <c r="N25" s="58"/>
      <c r="O25" s="58"/>
      <c r="P25" s="58"/>
      <c r="Q25" s="58"/>
      <c r="R25" s="58"/>
      <c r="S25" s="58"/>
      <c r="T25" s="58"/>
      <c r="U25" s="58"/>
      <c r="V25" s="58"/>
      <c r="W25" s="58"/>
      <c r="X25" s="58" t="s">
        <v>1942</v>
      </c>
      <c r="Y25" s="52"/>
      <c r="Z25" s="52"/>
      <c r="AA25" s="52"/>
      <c r="AB25" s="52"/>
      <c r="AC25" s="52"/>
    </row>
    <row r="26" ht="62.100000000000001" customHeight="1">
      <c r="A26" s="73">
        <v>14</v>
      </c>
      <c r="B26" s="75"/>
      <c r="C26" s="75"/>
      <c r="D26" s="75"/>
      <c r="E26" s="58" t="s">
        <v>1943</v>
      </c>
      <c r="F26" s="58" t="s">
        <v>210</v>
      </c>
      <c r="G26" s="58" t="s">
        <v>281</v>
      </c>
      <c r="H26" s="58" t="s">
        <v>1944</v>
      </c>
      <c r="I26" s="58" t="s">
        <v>1945</v>
      </c>
      <c r="J26" s="58" t="s">
        <v>1946</v>
      </c>
      <c r="K26" s="76"/>
      <c r="L26" s="58"/>
      <c r="M26" s="58"/>
      <c r="N26" s="58"/>
      <c r="O26" s="58"/>
      <c r="P26" s="58"/>
      <c r="Q26" s="58"/>
      <c r="R26" s="58"/>
      <c r="S26" s="58"/>
      <c r="T26" s="58"/>
      <c r="U26" s="58"/>
      <c r="V26" s="58"/>
      <c r="W26" s="77" t="s">
        <v>1947</v>
      </c>
      <c r="X26" s="58" t="s">
        <v>1890</v>
      </c>
      <c r="Y26" s="52"/>
      <c r="Z26" s="52"/>
      <c r="AA26" s="52"/>
      <c r="AB26" s="52"/>
      <c r="AC26" s="52"/>
    </row>
    <row r="27" ht="60.950000000000003" customHeight="1">
      <c r="A27" s="73">
        <v>15</v>
      </c>
      <c r="B27" s="75"/>
      <c r="C27" s="75"/>
      <c r="D27" s="75"/>
      <c r="E27" s="58" t="s">
        <v>112</v>
      </c>
      <c r="F27" s="58" t="s">
        <v>210</v>
      </c>
      <c r="G27" s="58" t="s">
        <v>286</v>
      </c>
      <c r="H27" s="58" t="s">
        <v>1948</v>
      </c>
      <c r="I27" s="58" t="s">
        <v>1887</v>
      </c>
      <c r="J27" s="58" t="s">
        <v>1949</v>
      </c>
      <c r="K27" s="74" t="s">
        <v>1950</v>
      </c>
      <c r="L27" s="58"/>
      <c r="M27" s="58"/>
      <c r="N27" s="58"/>
      <c r="O27" s="58"/>
      <c r="P27" s="58"/>
      <c r="Q27" s="58"/>
      <c r="R27" s="58"/>
      <c r="S27" s="58"/>
      <c r="T27" s="58"/>
      <c r="U27" s="58"/>
      <c r="V27" s="58"/>
      <c r="W27" s="58"/>
      <c r="X27" s="58" t="s">
        <v>1923</v>
      </c>
      <c r="Y27" s="52"/>
      <c r="Z27" s="52"/>
      <c r="AA27" s="52"/>
      <c r="AB27" s="52"/>
      <c r="AC27" s="52"/>
    </row>
    <row r="28" ht="60.950000000000003" customHeight="1">
      <c r="A28" s="73">
        <v>16</v>
      </c>
      <c r="B28" s="75"/>
      <c r="C28" s="75"/>
      <c r="D28" s="75"/>
      <c r="E28" s="58" t="s">
        <v>538</v>
      </c>
      <c r="F28" s="58" t="s">
        <v>210</v>
      </c>
      <c r="G28" s="58" t="s">
        <v>291</v>
      </c>
      <c r="H28" s="58" t="s">
        <v>1951</v>
      </c>
      <c r="I28" s="58" t="s">
        <v>1887</v>
      </c>
      <c r="J28" s="58" t="s">
        <v>1952</v>
      </c>
      <c r="K28" s="74" t="s">
        <v>1953</v>
      </c>
      <c r="L28" s="58"/>
      <c r="M28" s="58"/>
      <c r="N28" s="58"/>
      <c r="O28" s="58"/>
      <c r="P28" s="58"/>
      <c r="Q28" s="58"/>
      <c r="R28" s="58"/>
      <c r="S28" s="58"/>
      <c r="T28" s="58"/>
      <c r="U28" s="58"/>
      <c r="V28" s="58"/>
      <c r="W28" s="58"/>
      <c r="X28" s="58" t="s">
        <v>1923</v>
      </c>
      <c r="Y28" s="52"/>
      <c r="Z28" s="52"/>
      <c r="AA28" s="52"/>
      <c r="AB28" s="52"/>
      <c r="AC28" s="52"/>
    </row>
    <row r="29" ht="75.599999999999994" customHeight="1">
      <c r="A29" s="73">
        <v>17</v>
      </c>
      <c r="B29" s="75"/>
      <c r="C29" s="75"/>
      <c r="D29" s="78"/>
      <c r="E29" s="58" t="s">
        <v>140</v>
      </c>
      <c r="F29" s="58" t="s">
        <v>203</v>
      </c>
      <c r="G29" s="58" t="s">
        <v>297</v>
      </c>
      <c r="H29" s="58" t="s">
        <v>1954</v>
      </c>
      <c r="I29" s="58" t="s">
        <v>1881</v>
      </c>
      <c r="J29" s="58" t="s">
        <v>1955</v>
      </c>
      <c r="K29" s="74" t="s">
        <v>1956</v>
      </c>
      <c r="L29" s="58"/>
      <c r="M29" s="58"/>
      <c r="N29" s="58"/>
      <c r="O29" s="58"/>
      <c r="P29" s="58"/>
      <c r="Q29" s="58"/>
      <c r="R29" s="58"/>
      <c r="S29" s="58"/>
      <c r="T29" s="58"/>
      <c r="U29" s="58"/>
      <c r="V29" s="58"/>
      <c r="W29" s="58"/>
      <c r="X29" s="58" t="s">
        <v>1923</v>
      </c>
      <c r="Y29" s="52"/>
      <c r="Z29" s="52"/>
      <c r="AA29" s="52"/>
      <c r="AB29" s="52"/>
      <c r="AC29" s="52"/>
    </row>
    <row r="30" ht="60.950000000000003" customHeight="1">
      <c r="A30" s="73">
        <v>18</v>
      </c>
      <c r="B30" s="75"/>
      <c r="C30" s="75"/>
      <c r="D30" s="58" t="s">
        <v>393</v>
      </c>
      <c r="E30" s="58" t="s">
        <v>1957</v>
      </c>
      <c r="F30" s="58" t="s">
        <v>210</v>
      </c>
      <c r="G30" s="58" t="s">
        <v>302</v>
      </c>
      <c r="H30" s="58" t="s">
        <v>1958</v>
      </c>
      <c r="I30" s="58" t="s">
        <v>1887</v>
      </c>
      <c r="J30" s="58" t="s">
        <v>1959</v>
      </c>
      <c r="K30" s="74" t="s">
        <v>1960</v>
      </c>
      <c r="L30" s="58"/>
      <c r="M30" s="58"/>
      <c r="N30" s="58"/>
      <c r="O30" s="58"/>
      <c r="P30" s="58"/>
      <c r="Q30" s="58"/>
      <c r="R30" s="58"/>
      <c r="S30" s="58"/>
      <c r="T30" s="58"/>
      <c r="U30" s="58"/>
      <c r="V30" s="58"/>
      <c r="W30" s="77" t="s">
        <v>1961</v>
      </c>
      <c r="X30" s="58" t="s">
        <v>1923</v>
      </c>
      <c r="Y30" s="52"/>
      <c r="Z30" s="52"/>
      <c r="AA30" s="52"/>
      <c r="AB30" s="52"/>
      <c r="AC30" s="52"/>
    </row>
    <row r="31" ht="62.100000000000001" customHeight="1">
      <c r="A31" s="73">
        <v>19</v>
      </c>
      <c r="B31" s="75"/>
      <c r="C31" s="75"/>
      <c r="D31" s="75"/>
      <c r="E31" s="58" t="s">
        <v>1962</v>
      </c>
      <c r="F31" s="58" t="s">
        <v>210</v>
      </c>
      <c r="G31" s="58" t="s">
        <v>308</v>
      </c>
      <c r="H31" s="58" t="s">
        <v>1963</v>
      </c>
      <c r="I31" s="58" t="s">
        <v>1887</v>
      </c>
      <c r="J31" s="58" t="s">
        <v>1964</v>
      </c>
      <c r="K31" s="74" t="s">
        <v>1960</v>
      </c>
      <c r="L31" s="58"/>
      <c r="M31" s="58"/>
      <c r="N31" s="58"/>
      <c r="O31" s="58"/>
      <c r="P31" s="58"/>
      <c r="Q31" s="58"/>
      <c r="R31" s="58"/>
      <c r="S31" s="58"/>
      <c r="T31" s="58"/>
      <c r="U31" s="58"/>
      <c r="V31" s="58"/>
      <c r="W31" s="77" t="s">
        <v>1961</v>
      </c>
      <c r="X31" s="58" t="s">
        <v>1923</v>
      </c>
      <c r="Y31" s="52"/>
      <c r="Z31" s="52"/>
      <c r="AA31" s="52"/>
      <c r="AB31" s="52"/>
      <c r="AC31" s="52"/>
    </row>
    <row r="32" ht="62.100000000000001" customHeight="1">
      <c r="A32" s="73">
        <v>20</v>
      </c>
      <c r="B32" s="75"/>
      <c r="C32" s="75"/>
      <c r="D32" s="75"/>
      <c r="E32" s="58" t="s">
        <v>1965</v>
      </c>
      <c r="F32" s="58" t="s">
        <v>210</v>
      </c>
      <c r="G32" s="58" t="s">
        <v>314</v>
      </c>
      <c r="H32" s="58" t="s">
        <v>1966</v>
      </c>
      <c r="I32" s="58" t="s">
        <v>1887</v>
      </c>
      <c r="J32" s="58" t="s">
        <v>1967</v>
      </c>
      <c r="K32" s="74" t="s">
        <v>1960</v>
      </c>
      <c r="L32" s="58"/>
      <c r="M32" s="58"/>
      <c r="N32" s="58"/>
      <c r="O32" s="58"/>
      <c r="P32" s="58"/>
      <c r="Q32" s="58"/>
      <c r="R32" s="58"/>
      <c r="S32" s="58"/>
      <c r="T32" s="58"/>
      <c r="U32" s="58"/>
      <c r="V32" s="58"/>
      <c r="W32" s="77" t="s">
        <v>1961</v>
      </c>
      <c r="X32" s="58" t="s">
        <v>1923</v>
      </c>
      <c r="Y32" s="52"/>
      <c r="Z32" s="52"/>
      <c r="AA32" s="52"/>
      <c r="AB32" s="52"/>
      <c r="AC32" s="52"/>
    </row>
    <row r="33" ht="62.100000000000001" customHeight="1">
      <c r="A33" s="73">
        <v>21</v>
      </c>
      <c r="B33" s="75"/>
      <c r="C33" s="75"/>
      <c r="D33" s="75"/>
      <c r="E33" s="58" t="s">
        <v>1968</v>
      </c>
      <c r="F33" s="58" t="s">
        <v>203</v>
      </c>
      <c r="G33" s="58" t="s">
        <v>318</v>
      </c>
      <c r="H33" s="58" t="s">
        <v>1969</v>
      </c>
      <c r="I33" s="58" t="s">
        <v>1887</v>
      </c>
      <c r="J33" s="58" t="s">
        <v>1970</v>
      </c>
      <c r="K33" s="76"/>
      <c r="L33" s="58"/>
      <c r="M33" s="58"/>
      <c r="N33" s="58"/>
      <c r="O33" s="58"/>
      <c r="P33" s="58"/>
      <c r="Q33" s="58"/>
      <c r="R33" s="58"/>
      <c r="S33" s="58"/>
      <c r="T33" s="58"/>
      <c r="U33" s="58"/>
      <c r="V33" s="58"/>
      <c r="W33" s="77" t="s">
        <v>1971</v>
      </c>
      <c r="X33" s="58" t="s">
        <v>1923</v>
      </c>
      <c r="Y33" s="52"/>
      <c r="Z33" s="52"/>
      <c r="AA33" s="52"/>
      <c r="AB33" s="52"/>
      <c r="AC33" s="52"/>
    </row>
    <row r="34" ht="62.100000000000001" customHeight="1">
      <c r="A34" s="73">
        <v>22</v>
      </c>
      <c r="B34" s="75"/>
      <c r="C34" s="75"/>
      <c r="D34" s="75"/>
      <c r="E34" s="58" t="s">
        <v>1972</v>
      </c>
      <c r="F34" s="58" t="s">
        <v>210</v>
      </c>
      <c r="G34" s="58" t="s">
        <v>323</v>
      </c>
      <c r="H34" s="58" t="s">
        <v>1973</v>
      </c>
      <c r="I34" s="58" t="s">
        <v>1916</v>
      </c>
      <c r="J34" s="58" t="s">
        <v>1974</v>
      </c>
      <c r="K34" s="76"/>
      <c r="L34" s="58"/>
      <c r="M34" s="58"/>
      <c r="N34" s="58"/>
      <c r="O34" s="58"/>
      <c r="P34" s="58"/>
      <c r="Q34" s="58"/>
      <c r="R34" s="58"/>
      <c r="S34" s="58"/>
      <c r="T34" s="58"/>
      <c r="U34" s="58"/>
      <c r="V34" s="58"/>
      <c r="W34" s="77" t="s">
        <v>1971</v>
      </c>
      <c r="X34" s="58" t="s">
        <v>1923</v>
      </c>
      <c r="Y34" s="52"/>
      <c r="Z34" s="52"/>
      <c r="AA34" s="52"/>
      <c r="AB34" s="52"/>
      <c r="AC34" s="52"/>
    </row>
    <row r="35" ht="62.100000000000001" customHeight="1">
      <c r="A35" s="73">
        <v>23</v>
      </c>
      <c r="B35" s="75"/>
      <c r="C35" s="75"/>
      <c r="D35" s="75"/>
      <c r="E35" s="58" t="s">
        <v>1975</v>
      </c>
      <c r="F35" s="58" t="s">
        <v>210</v>
      </c>
      <c r="G35" s="58" t="s">
        <v>328</v>
      </c>
      <c r="H35" s="58" t="s">
        <v>1976</v>
      </c>
      <c r="I35" s="58" t="s">
        <v>1887</v>
      </c>
      <c r="J35" s="58" t="s">
        <v>1977</v>
      </c>
      <c r="K35" s="76"/>
      <c r="L35" s="58"/>
      <c r="M35" s="58"/>
      <c r="N35" s="58"/>
      <c r="O35" s="58"/>
      <c r="P35" s="58"/>
      <c r="Q35" s="58"/>
      <c r="R35" s="58"/>
      <c r="S35" s="58"/>
      <c r="T35" s="58"/>
      <c r="U35" s="58"/>
      <c r="V35" s="58"/>
      <c r="W35" s="77" t="s">
        <v>1971</v>
      </c>
      <c r="X35" s="58" t="s">
        <v>1923</v>
      </c>
      <c r="Y35" s="52"/>
      <c r="Z35" s="52"/>
      <c r="AA35" s="52"/>
      <c r="AB35" s="52"/>
      <c r="AC35" s="52"/>
    </row>
    <row r="36" ht="62.100000000000001" customHeight="1">
      <c r="A36" s="73">
        <v>24</v>
      </c>
      <c r="B36" s="75"/>
      <c r="C36" s="78"/>
      <c r="D36" s="78"/>
      <c r="E36" s="58" t="s">
        <v>1978</v>
      </c>
      <c r="F36" s="58" t="s">
        <v>225</v>
      </c>
      <c r="G36" s="58" t="s">
        <v>332</v>
      </c>
      <c r="H36" s="58" t="s">
        <v>1979</v>
      </c>
      <c r="I36" s="58" t="s">
        <v>1887</v>
      </c>
      <c r="J36" s="58" t="s">
        <v>1980</v>
      </c>
      <c r="K36" s="74" t="s">
        <v>1960</v>
      </c>
      <c r="L36" s="58"/>
      <c r="M36" s="58"/>
      <c r="N36" s="58"/>
      <c r="O36" s="58"/>
      <c r="P36" s="58"/>
      <c r="Q36" s="58"/>
      <c r="R36" s="58"/>
      <c r="S36" s="58"/>
      <c r="T36" s="58"/>
      <c r="U36" s="58"/>
      <c r="V36" s="58"/>
      <c r="W36" s="58"/>
      <c r="X36" s="58" t="s">
        <v>1923</v>
      </c>
      <c r="Y36" s="52"/>
      <c r="Z36" s="52"/>
      <c r="AA36" s="52"/>
      <c r="AB36" s="52"/>
      <c r="AC36" s="52"/>
    </row>
    <row r="37" ht="62.100000000000001" customHeight="1">
      <c r="A37" s="73">
        <v>25</v>
      </c>
      <c r="B37" s="75"/>
      <c r="C37" s="58" t="s">
        <v>155</v>
      </c>
      <c r="D37" s="58" t="s">
        <v>1981</v>
      </c>
      <c r="E37" s="58" t="s">
        <v>1982</v>
      </c>
      <c r="F37" s="58" t="s">
        <v>203</v>
      </c>
      <c r="G37" s="58" t="s">
        <v>335</v>
      </c>
      <c r="H37" s="58" t="s">
        <v>1983</v>
      </c>
      <c r="I37" s="58" t="s">
        <v>1916</v>
      </c>
      <c r="J37" s="58" t="s">
        <v>1984</v>
      </c>
      <c r="K37" s="74" t="s">
        <v>1985</v>
      </c>
      <c r="L37" s="58"/>
      <c r="M37" s="58"/>
      <c r="N37" s="58"/>
      <c r="O37" s="58"/>
      <c r="P37" s="58"/>
      <c r="Q37" s="58"/>
      <c r="R37" s="58"/>
      <c r="S37" s="58"/>
      <c r="T37" s="58"/>
      <c r="U37" s="58"/>
      <c r="V37" s="58"/>
      <c r="W37" s="58"/>
      <c r="X37" s="58" t="s">
        <v>1923</v>
      </c>
      <c r="Y37" s="52"/>
      <c r="Z37" s="52"/>
      <c r="AA37" s="52"/>
      <c r="AB37" s="52"/>
      <c r="AC37" s="52"/>
    </row>
    <row r="38" ht="62.100000000000001" customHeight="1">
      <c r="A38" s="73">
        <v>26</v>
      </c>
      <c r="B38" s="75"/>
      <c r="C38" s="75"/>
      <c r="D38" s="78"/>
      <c r="E38" s="58" t="s">
        <v>1986</v>
      </c>
      <c r="F38" s="58" t="s">
        <v>210</v>
      </c>
      <c r="G38" s="58" t="s">
        <v>339</v>
      </c>
      <c r="H38" s="58" t="s">
        <v>1987</v>
      </c>
      <c r="I38" s="58" t="s">
        <v>1988</v>
      </c>
      <c r="J38" s="58" t="s">
        <v>1989</v>
      </c>
      <c r="K38" s="76"/>
      <c r="L38" s="58"/>
      <c r="M38" s="58"/>
      <c r="N38" s="58"/>
      <c r="O38" s="58"/>
      <c r="P38" s="58"/>
      <c r="Q38" s="58"/>
      <c r="R38" s="58"/>
      <c r="S38" s="58"/>
      <c r="T38" s="58"/>
      <c r="U38" s="58"/>
      <c r="V38" s="58"/>
      <c r="W38" s="77" t="s">
        <v>1990</v>
      </c>
      <c r="X38" s="58" t="s">
        <v>1923</v>
      </c>
      <c r="Y38" s="52"/>
      <c r="Z38" s="52"/>
      <c r="AA38" s="52"/>
      <c r="AB38" s="52"/>
      <c r="AC38" s="52"/>
    </row>
    <row r="39" ht="62.100000000000001" customHeight="1">
      <c r="A39" s="73">
        <v>27</v>
      </c>
      <c r="B39" s="75"/>
      <c r="C39" s="75"/>
      <c r="D39" s="58" t="s">
        <v>1991</v>
      </c>
      <c r="E39" s="58" t="s">
        <v>1992</v>
      </c>
      <c r="F39" s="58" t="s">
        <v>203</v>
      </c>
      <c r="G39" s="58" t="s">
        <v>344</v>
      </c>
      <c r="H39" s="58" t="s">
        <v>1993</v>
      </c>
      <c r="I39" s="58" t="s">
        <v>1916</v>
      </c>
      <c r="J39" s="58" t="s">
        <v>1994</v>
      </c>
      <c r="K39" s="76"/>
      <c r="L39" s="58"/>
      <c r="M39" s="58"/>
      <c r="N39" s="58"/>
      <c r="O39" s="58"/>
      <c r="P39" s="58"/>
      <c r="Q39" s="58"/>
      <c r="R39" s="58"/>
      <c r="S39" s="58"/>
      <c r="T39" s="58"/>
      <c r="U39" s="58"/>
      <c r="V39" s="58"/>
      <c r="W39" s="77" t="s">
        <v>1995</v>
      </c>
      <c r="X39" s="58" t="s">
        <v>1923</v>
      </c>
      <c r="Y39" s="52"/>
      <c r="Z39" s="52"/>
      <c r="AA39" s="52"/>
      <c r="AB39" s="52"/>
      <c r="AC39" s="52"/>
    </row>
    <row r="40" ht="62.100000000000001" customHeight="1">
      <c r="A40" s="73">
        <v>28</v>
      </c>
      <c r="B40" s="78"/>
      <c r="C40" s="78"/>
      <c r="D40" s="78"/>
      <c r="E40" s="58" t="s">
        <v>1996</v>
      </c>
      <c r="F40" s="58" t="s">
        <v>203</v>
      </c>
      <c r="G40" s="58" t="s">
        <v>349</v>
      </c>
      <c r="H40" s="58" t="s">
        <v>1997</v>
      </c>
      <c r="I40" s="58" t="s">
        <v>1998</v>
      </c>
      <c r="J40" s="58" t="s">
        <v>1999</v>
      </c>
      <c r="K40" s="74" t="s">
        <v>2000</v>
      </c>
      <c r="L40" s="58"/>
      <c r="M40" s="58"/>
      <c r="N40" s="58"/>
      <c r="O40" s="58"/>
      <c r="P40" s="58"/>
      <c r="Q40" s="58"/>
      <c r="R40" s="58"/>
      <c r="S40" s="58"/>
      <c r="T40" s="58"/>
      <c r="U40" s="58"/>
      <c r="V40" s="58"/>
      <c r="W40" s="77" t="s">
        <v>2001</v>
      </c>
      <c r="X40" s="58" t="s">
        <v>1923</v>
      </c>
      <c r="Y40" s="52"/>
      <c r="Z40" s="52"/>
      <c r="AA40" s="52"/>
      <c r="AB40" s="52"/>
      <c r="AC40" s="52"/>
    </row>
    <row r="41" ht="60.950000000000003" customHeight="1">
      <c r="A41" s="73">
        <v>29</v>
      </c>
      <c r="B41" s="58" t="s">
        <v>156</v>
      </c>
      <c r="C41" s="58" t="s">
        <v>156</v>
      </c>
      <c r="D41" s="58" t="s">
        <v>369</v>
      </c>
      <c r="E41" s="58" t="s">
        <v>2002</v>
      </c>
      <c r="F41" s="58" t="s">
        <v>203</v>
      </c>
      <c r="G41" s="58" t="s">
        <v>354</v>
      </c>
      <c r="H41" s="58" t="s">
        <v>2003</v>
      </c>
      <c r="I41" s="58" t="s">
        <v>1887</v>
      </c>
      <c r="J41" s="58" t="s">
        <v>2004</v>
      </c>
      <c r="K41" s="74" t="s">
        <v>2005</v>
      </c>
      <c r="L41" s="58"/>
      <c r="M41" s="58"/>
      <c r="N41" s="58"/>
      <c r="O41" s="58"/>
      <c r="P41" s="58"/>
      <c r="Q41" s="58"/>
      <c r="R41" s="58"/>
      <c r="S41" s="58"/>
      <c r="T41" s="58"/>
      <c r="U41" s="58"/>
      <c r="V41" s="58"/>
      <c r="W41" s="58"/>
      <c r="X41" s="58" t="s">
        <v>2006</v>
      </c>
      <c r="Y41" s="52"/>
      <c r="Z41" s="52"/>
      <c r="AA41" s="52"/>
      <c r="AB41" s="52"/>
      <c r="AC41" s="52"/>
    </row>
    <row r="42" ht="74.450000000000003" customHeight="1">
      <c r="A42" s="73">
        <v>30</v>
      </c>
      <c r="B42" s="75"/>
      <c r="C42" s="75"/>
      <c r="D42" s="75"/>
      <c r="E42" s="58" t="s">
        <v>2007</v>
      </c>
      <c r="F42" s="58" t="s">
        <v>203</v>
      </c>
      <c r="G42" s="58" t="s">
        <v>360</v>
      </c>
      <c r="H42" s="58" t="s">
        <v>2008</v>
      </c>
      <c r="I42" s="58" t="s">
        <v>2009</v>
      </c>
      <c r="J42" s="58" t="s">
        <v>2010</v>
      </c>
      <c r="K42" s="74" t="s">
        <v>2011</v>
      </c>
      <c r="L42" s="58"/>
      <c r="M42" s="58"/>
      <c r="N42" s="58"/>
      <c r="O42" s="58"/>
      <c r="P42" s="58"/>
      <c r="Q42" s="58"/>
      <c r="R42" s="58"/>
      <c r="S42" s="58"/>
      <c r="T42" s="58"/>
      <c r="U42" s="58"/>
      <c r="V42" s="58"/>
      <c r="W42" s="58"/>
      <c r="X42" s="58" t="s">
        <v>2006</v>
      </c>
      <c r="Y42" s="52"/>
      <c r="Z42" s="52"/>
      <c r="AA42" s="52"/>
      <c r="AB42" s="52"/>
      <c r="AC42" s="52"/>
    </row>
    <row r="43" ht="114.95" customHeight="1">
      <c r="A43" s="73">
        <v>31</v>
      </c>
      <c r="B43" s="75"/>
      <c r="C43" s="75"/>
      <c r="D43" s="75"/>
      <c r="E43" s="58" t="s">
        <v>2012</v>
      </c>
      <c r="F43" s="58" t="s">
        <v>210</v>
      </c>
      <c r="G43" s="58" t="s">
        <v>365</v>
      </c>
      <c r="H43" s="58" t="s">
        <v>2013</v>
      </c>
      <c r="I43" s="58" t="s">
        <v>2014</v>
      </c>
      <c r="J43" s="58" t="s">
        <v>2015</v>
      </c>
      <c r="K43" s="76"/>
      <c r="L43" s="58"/>
      <c r="M43" s="58"/>
      <c r="N43" s="58"/>
      <c r="O43" s="58"/>
      <c r="P43" s="58"/>
      <c r="Q43" s="58"/>
      <c r="R43" s="58"/>
      <c r="S43" s="58"/>
      <c r="T43" s="58"/>
      <c r="U43" s="58"/>
      <c r="V43" s="58"/>
      <c r="W43" s="77" t="s">
        <v>2016</v>
      </c>
      <c r="X43" s="58" t="s">
        <v>2006</v>
      </c>
      <c r="Y43" s="52"/>
      <c r="Z43" s="52"/>
      <c r="AA43" s="52"/>
      <c r="AB43" s="52"/>
      <c r="AC43" s="52"/>
    </row>
    <row r="44" ht="74.450000000000003" customHeight="1">
      <c r="A44" s="73">
        <v>32</v>
      </c>
      <c r="B44" s="75"/>
      <c r="C44" s="75"/>
      <c r="D44" s="75"/>
      <c r="E44" s="58" t="s">
        <v>2017</v>
      </c>
      <c r="F44" s="58" t="s">
        <v>203</v>
      </c>
      <c r="G44" s="58" t="s">
        <v>371</v>
      </c>
      <c r="H44" s="58" t="s">
        <v>2018</v>
      </c>
      <c r="I44" s="58" t="s">
        <v>2019</v>
      </c>
      <c r="J44" s="58" t="s">
        <v>2020</v>
      </c>
      <c r="K44" s="74" t="s">
        <v>2021</v>
      </c>
      <c r="L44" s="58"/>
      <c r="M44" s="58"/>
      <c r="N44" s="58"/>
      <c r="O44" s="58"/>
      <c r="P44" s="58"/>
      <c r="Q44" s="58"/>
      <c r="R44" s="58"/>
      <c r="S44" s="58"/>
      <c r="T44" s="58"/>
      <c r="U44" s="58"/>
      <c r="V44" s="58"/>
      <c r="W44" s="58"/>
      <c r="X44" s="58" t="s">
        <v>2006</v>
      </c>
      <c r="Y44" s="52"/>
      <c r="Z44" s="52"/>
      <c r="AA44" s="52"/>
      <c r="AB44" s="52"/>
      <c r="AC44" s="52"/>
    </row>
    <row r="45" ht="47.450000000000003" customHeight="1">
      <c r="A45" s="73">
        <v>33</v>
      </c>
      <c r="B45" s="75"/>
      <c r="C45" s="75"/>
      <c r="D45" s="78"/>
      <c r="E45" s="58" t="s">
        <v>2022</v>
      </c>
      <c r="F45" s="58" t="s">
        <v>210</v>
      </c>
      <c r="G45" s="58" t="s">
        <v>377</v>
      </c>
      <c r="H45" s="58" t="s">
        <v>2023</v>
      </c>
      <c r="I45" s="58" t="s">
        <v>1881</v>
      </c>
      <c r="J45" s="58" t="s">
        <v>2024</v>
      </c>
      <c r="K45" s="74" t="s">
        <v>2025</v>
      </c>
      <c r="L45" s="58"/>
      <c r="M45" s="58"/>
      <c r="N45" s="58"/>
      <c r="O45" s="58"/>
      <c r="P45" s="58"/>
      <c r="Q45" s="58"/>
      <c r="R45" s="58"/>
      <c r="S45" s="58"/>
      <c r="T45" s="58"/>
      <c r="U45" s="58"/>
      <c r="V45" s="58"/>
      <c r="W45" s="58"/>
      <c r="X45" s="58" t="s">
        <v>2006</v>
      </c>
      <c r="Y45" s="52"/>
      <c r="Z45" s="52"/>
      <c r="AA45" s="52"/>
      <c r="AB45" s="52"/>
      <c r="AC45" s="52"/>
    </row>
    <row r="46" ht="74.450000000000003" customHeight="1">
      <c r="A46" s="73">
        <v>34</v>
      </c>
      <c r="B46" s="75"/>
      <c r="C46" s="75"/>
      <c r="D46" s="58" t="s">
        <v>393</v>
      </c>
      <c r="E46" s="58" t="s">
        <v>2026</v>
      </c>
      <c r="F46" s="58" t="s">
        <v>203</v>
      </c>
      <c r="G46" s="58" t="s">
        <v>383</v>
      </c>
      <c r="H46" s="58" t="s">
        <v>2027</v>
      </c>
      <c r="I46" s="58" t="s">
        <v>2028</v>
      </c>
      <c r="J46" s="58" t="s">
        <v>2029</v>
      </c>
      <c r="K46" s="74" t="s">
        <v>2030</v>
      </c>
      <c r="L46" s="58"/>
      <c r="M46" s="58"/>
      <c r="N46" s="58"/>
      <c r="O46" s="58"/>
      <c r="P46" s="58"/>
      <c r="Q46" s="58"/>
      <c r="R46" s="58"/>
      <c r="S46" s="58"/>
      <c r="T46" s="58"/>
      <c r="U46" s="58"/>
      <c r="V46" s="58"/>
      <c r="W46" s="77" t="s">
        <v>2031</v>
      </c>
      <c r="X46" s="58" t="s">
        <v>2006</v>
      </c>
      <c r="Y46" s="52"/>
      <c r="Z46" s="52"/>
      <c r="AA46" s="52"/>
      <c r="AB46" s="52"/>
      <c r="AC46" s="52"/>
    </row>
    <row r="47" ht="60.950000000000003" customHeight="1">
      <c r="A47" s="73">
        <v>35</v>
      </c>
      <c r="B47" s="75"/>
      <c r="C47" s="75"/>
      <c r="D47" s="78"/>
      <c r="E47" s="58" t="s">
        <v>2032</v>
      </c>
      <c r="F47" s="58" t="s">
        <v>225</v>
      </c>
      <c r="G47" s="58" t="s">
        <v>388</v>
      </c>
      <c r="H47" s="58" t="s">
        <v>2033</v>
      </c>
      <c r="I47" s="58" t="s">
        <v>1887</v>
      </c>
      <c r="J47" s="58" t="s">
        <v>2034</v>
      </c>
      <c r="K47" s="74" t="s">
        <v>2035</v>
      </c>
      <c r="L47" s="58"/>
      <c r="M47" s="58"/>
      <c r="N47" s="58"/>
      <c r="O47" s="58"/>
      <c r="P47" s="58"/>
      <c r="Q47" s="58"/>
      <c r="R47" s="58"/>
      <c r="S47" s="58"/>
      <c r="T47" s="58"/>
      <c r="U47" s="58"/>
      <c r="V47" s="58"/>
      <c r="W47" s="58"/>
      <c r="X47" s="58" t="s">
        <v>2006</v>
      </c>
      <c r="Y47" s="52"/>
      <c r="Z47" s="52"/>
      <c r="AA47" s="52"/>
      <c r="AB47" s="52"/>
      <c r="AC47" s="52"/>
    </row>
    <row r="48" ht="62.100000000000001" customHeight="1">
      <c r="A48" s="73">
        <v>36</v>
      </c>
      <c r="B48" s="75"/>
      <c r="C48" s="75"/>
      <c r="D48" s="58" t="s">
        <v>2036</v>
      </c>
      <c r="E48" s="58" t="s">
        <v>2037</v>
      </c>
      <c r="F48" s="58" t="s">
        <v>210</v>
      </c>
      <c r="G48" s="58" t="s">
        <v>395</v>
      </c>
      <c r="H48" s="58" t="s">
        <v>2038</v>
      </c>
      <c r="I48" s="58" t="s">
        <v>2019</v>
      </c>
      <c r="J48" s="58" t="s">
        <v>2029</v>
      </c>
      <c r="K48" s="76"/>
      <c r="L48" s="58"/>
      <c r="M48" s="58"/>
      <c r="N48" s="58"/>
      <c r="O48" s="58"/>
      <c r="P48" s="58"/>
      <c r="Q48" s="58"/>
      <c r="R48" s="58"/>
      <c r="S48" s="58"/>
      <c r="T48" s="58"/>
      <c r="U48" s="58"/>
      <c r="V48" s="58"/>
      <c r="W48" s="77" t="s">
        <v>2039</v>
      </c>
      <c r="X48" s="58" t="s">
        <v>2006</v>
      </c>
      <c r="Y48" s="52"/>
      <c r="Z48" s="52"/>
      <c r="AA48" s="52"/>
      <c r="AB48" s="52"/>
      <c r="AC48" s="52"/>
    </row>
    <row r="49" ht="62.100000000000001" customHeight="1">
      <c r="A49" s="73">
        <v>37</v>
      </c>
      <c r="B49" s="78"/>
      <c r="C49" s="78"/>
      <c r="D49" s="58" t="s">
        <v>2040</v>
      </c>
      <c r="E49" s="58" t="s">
        <v>2041</v>
      </c>
      <c r="F49" s="58" t="s">
        <v>203</v>
      </c>
      <c r="G49" s="58" t="s">
        <v>401</v>
      </c>
      <c r="H49" s="58" t="s">
        <v>2042</v>
      </c>
      <c r="I49" s="58" t="s">
        <v>2043</v>
      </c>
      <c r="J49" s="58" t="s">
        <v>2044</v>
      </c>
      <c r="K49" s="76"/>
      <c r="L49" s="58"/>
      <c r="M49" s="58"/>
      <c r="N49" s="58"/>
      <c r="O49" s="58"/>
      <c r="P49" s="58"/>
      <c r="Q49" s="58"/>
      <c r="R49" s="58"/>
      <c r="S49" s="58"/>
      <c r="T49" s="58"/>
      <c r="U49" s="58"/>
      <c r="V49" s="58"/>
      <c r="W49" s="77" t="s">
        <v>2045</v>
      </c>
      <c r="X49" s="58" t="s">
        <v>2006</v>
      </c>
      <c r="Y49" s="52"/>
      <c r="Z49" s="52"/>
      <c r="AA49" s="52"/>
      <c r="AB49" s="52"/>
      <c r="AC49" s="52"/>
    </row>
    <row r="50" ht="62.100000000000001" customHeight="1">
      <c r="A50" s="73">
        <v>38</v>
      </c>
      <c r="B50" s="58" t="s">
        <v>157</v>
      </c>
      <c r="C50" s="58" t="s">
        <v>158</v>
      </c>
      <c r="D50" s="58" t="s">
        <v>369</v>
      </c>
      <c r="E50" s="58" t="s">
        <v>2046</v>
      </c>
      <c r="F50" s="58" t="s">
        <v>203</v>
      </c>
      <c r="G50" s="58" t="s">
        <v>407</v>
      </c>
      <c r="H50" s="58" t="s">
        <v>2047</v>
      </c>
      <c r="I50" s="58" t="s">
        <v>2048</v>
      </c>
      <c r="J50" s="58" t="s">
        <v>2049</v>
      </c>
      <c r="K50" s="74" t="s">
        <v>2050</v>
      </c>
      <c r="L50" s="58"/>
      <c r="M50" s="58"/>
      <c r="N50" s="58"/>
      <c r="O50" s="58"/>
      <c r="P50" s="58"/>
      <c r="Q50" s="58"/>
      <c r="R50" s="58"/>
      <c r="S50" s="58"/>
      <c r="T50" s="58"/>
      <c r="U50" s="58"/>
      <c r="V50" s="58"/>
      <c r="W50" s="58"/>
      <c r="X50" s="58" t="s">
        <v>2051</v>
      </c>
      <c r="Y50" s="52"/>
      <c r="Z50" s="52"/>
      <c r="AA50" s="52"/>
      <c r="AB50" s="52"/>
      <c r="AC50" s="52"/>
    </row>
    <row r="51" ht="74.450000000000003" customHeight="1">
      <c r="A51" s="73">
        <v>39</v>
      </c>
      <c r="B51" s="75"/>
      <c r="C51" s="75"/>
      <c r="D51" s="75"/>
      <c r="E51" s="58" t="s">
        <v>2052</v>
      </c>
      <c r="F51" s="58" t="s">
        <v>203</v>
      </c>
      <c r="G51" s="58" t="s">
        <v>415</v>
      </c>
      <c r="H51" s="58" t="s">
        <v>2053</v>
      </c>
      <c r="I51" s="58" t="s">
        <v>2054</v>
      </c>
      <c r="J51" s="58" t="s">
        <v>2055</v>
      </c>
      <c r="K51" s="74" t="s">
        <v>2056</v>
      </c>
      <c r="L51" s="58"/>
      <c r="M51" s="58"/>
      <c r="N51" s="58"/>
      <c r="O51" s="58"/>
      <c r="P51" s="58"/>
      <c r="Q51" s="58"/>
      <c r="R51" s="58"/>
      <c r="S51" s="58"/>
      <c r="T51" s="58"/>
      <c r="U51" s="58"/>
      <c r="V51" s="58"/>
      <c r="W51" s="58"/>
      <c r="X51" s="58" t="s">
        <v>2051</v>
      </c>
      <c r="Y51" s="52"/>
      <c r="Z51" s="52"/>
      <c r="AA51" s="52"/>
      <c r="AB51" s="52"/>
      <c r="AC51" s="52"/>
    </row>
    <row r="52" ht="101.45" customHeight="1">
      <c r="A52" s="73">
        <v>40</v>
      </c>
      <c r="B52" s="75"/>
      <c r="C52" s="75"/>
      <c r="D52" s="75"/>
      <c r="E52" s="58" t="s">
        <v>2057</v>
      </c>
      <c r="F52" s="58" t="s">
        <v>210</v>
      </c>
      <c r="G52" s="58" t="s">
        <v>421</v>
      </c>
      <c r="H52" s="58" t="s">
        <v>2058</v>
      </c>
      <c r="I52" s="58" t="s">
        <v>2059</v>
      </c>
      <c r="J52" s="58" t="s">
        <v>2060</v>
      </c>
      <c r="K52" s="74" t="s">
        <v>2061</v>
      </c>
      <c r="L52" s="58"/>
      <c r="M52" s="58"/>
      <c r="N52" s="58"/>
      <c r="O52" s="58"/>
      <c r="P52" s="58"/>
      <c r="Q52" s="58"/>
      <c r="R52" s="58"/>
      <c r="S52" s="58"/>
      <c r="T52" s="58"/>
      <c r="U52" s="58"/>
      <c r="V52" s="58"/>
      <c r="W52" s="58"/>
      <c r="X52" s="58" t="s">
        <v>2051</v>
      </c>
      <c r="Y52" s="52"/>
      <c r="Z52" s="52"/>
      <c r="AA52" s="52"/>
      <c r="AB52" s="52"/>
      <c r="AC52" s="52"/>
    </row>
    <row r="53" ht="74.450000000000003" customHeight="1">
      <c r="A53" s="73">
        <v>41</v>
      </c>
      <c r="B53" s="75"/>
      <c r="C53" s="75"/>
      <c r="D53" s="75"/>
      <c r="E53" s="58" t="s">
        <v>2062</v>
      </c>
      <c r="F53" s="58" t="s">
        <v>210</v>
      </c>
      <c r="G53" s="58" t="s">
        <v>426</v>
      </c>
      <c r="H53" s="58" t="s">
        <v>2063</v>
      </c>
      <c r="I53" s="58" t="s">
        <v>2064</v>
      </c>
      <c r="J53" s="58" t="s">
        <v>2065</v>
      </c>
      <c r="K53" s="74" t="s">
        <v>2066</v>
      </c>
      <c r="L53" s="58"/>
      <c r="M53" s="58"/>
      <c r="N53" s="58"/>
      <c r="O53" s="58"/>
      <c r="P53" s="58"/>
      <c r="Q53" s="58"/>
      <c r="R53" s="58"/>
      <c r="S53" s="58"/>
      <c r="T53" s="58"/>
      <c r="U53" s="58"/>
      <c r="V53" s="58"/>
      <c r="W53" s="58"/>
      <c r="X53" s="58" t="s">
        <v>2051</v>
      </c>
      <c r="Y53" s="52"/>
      <c r="Z53" s="52"/>
      <c r="AA53" s="52"/>
      <c r="AB53" s="52"/>
      <c r="AC53" s="52"/>
    </row>
    <row r="54" ht="75.599999999999994" customHeight="1">
      <c r="A54" s="73">
        <v>42</v>
      </c>
      <c r="B54" s="75"/>
      <c r="C54" s="75"/>
      <c r="D54" s="78"/>
      <c r="E54" s="58" t="s">
        <v>2067</v>
      </c>
      <c r="F54" s="58" t="s">
        <v>210</v>
      </c>
      <c r="G54" s="58" t="s">
        <v>434</v>
      </c>
      <c r="H54" s="58" t="s">
        <v>2068</v>
      </c>
      <c r="I54" s="58" t="s">
        <v>1904</v>
      </c>
      <c r="J54" s="58" t="s">
        <v>2069</v>
      </c>
      <c r="K54" s="74" t="s">
        <v>2070</v>
      </c>
      <c r="L54" s="58"/>
      <c r="M54" s="58"/>
      <c r="N54" s="58"/>
      <c r="O54" s="58"/>
      <c r="P54" s="58"/>
      <c r="Q54" s="58"/>
      <c r="R54" s="58"/>
      <c r="S54" s="58"/>
      <c r="T54" s="58"/>
      <c r="U54" s="58"/>
      <c r="V54" s="58"/>
      <c r="W54" s="58"/>
      <c r="X54" s="58" t="s">
        <v>2051</v>
      </c>
      <c r="Y54" s="52"/>
      <c r="Z54" s="52"/>
      <c r="AA54" s="52"/>
      <c r="AB54" s="52"/>
      <c r="AC54" s="52"/>
    </row>
    <row r="55" ht="60.950000000000003" customHeight="1">
      <c r="A55" s="73">
        <v>43</v>
      </c>
      <c r="B55" s="75"/>
      <c r="C55" s="78"/>
      <c r="D55" s="58" t="s">
        <v>393</v>
      </c>
      <c r="E55" s="58" t="s">
        <v>2032</v>
      </c>
      <c r="F55" s="58" t="s">
        <v>225</v>
      </c>
      <c r="G55" s="58" t="s">
        <v>439</v>
      </c>
      <c r="H55" s="58" t="s">
        <v>2071</v>
      </c>
      <c r="I55" s="58" t="s">
        <v>1887</v>
      </c>
      <c r="J55" s="58" t="s">
        <v>2072</v>
      </c>
      <c r="K55" s="74" t="s">
        <v>2073</v>
      </c>
      <c r="L55" s="58"/>
      <c r="M55" s="58"/>
      <c r="N55" s="58"/>
      <c r="O55" s="58"/>
      <c r="P55" s="58"/>
      <c r="Q55" s="58"/>
      <c r="R55" s="58"/>
      <c r="S55" s="58"/>
      <c r="T55" s="58"/>
      <c r="U55" s="58"/>
      <c r="V55" s="58"/>
      <c r="W55" s="58"/>
      <c r="X55" s="58" t="s">
        <v>2051</v>
      </c>
      <c r="Y55" s="52"/>
      <c r="Z55" s="52"/>
      <c r="AA55" s="52"/>
      <c r="AB55" s="52"/>
      <c r="AC55" s="52"/>
    </row>
    <row r="56" ht="62.100000000000001" customHeight="1">
      <c r="A56" s="73">
        <v>44</v>
      </c>
      <c r="B56" s="75"/>
      <c r="C56" s="58" t="s">
        <v>159</v>
      </c>
      <c r="D56" s="58" t="s">
        <v>369</v>
      </c>
      <c r="E56" s="58" t="s">
        <v>2046</v>
      </c>
      <c r="F56" s="58" t="s">
        <v>203</v>
      </c>
      <c r="G56" s="58" t="s">
        <v>444</v>
      </c>
      <c r="H56" s="58" t="s">
        <v>2074</v>
      </c>
      <c r="I56" s="58" t="s">
        <v>2048</v>
      </c>
      <c r="J56" s="58" t="s">
        <v>2075</v>
      </c>
      <c r="K56" s="74" t="s">
        <v>2076</v>
      </c>
      <c r="L56" s="58"/>
      <c r="M56" s="58"/>
      <c r="N56" s="58"/>
      <c r="O56" s="58"/>
      <c r="P56" s="58"/>
      <c r="Q56" s="58"/>
      <c r="R56" s="58"/>
      <c r="S56" s="58"/>
      <c r="T56" s="58"/>
      <c r="U56" s="58"/>
      <c r="V56" s="58"/>
      <c r="W56" s="77" t="s">
        <v>2077</v>
      </c>
      <c r="X56" s="58" t="s">
        <v>2051</v>
      </c>
      <c r="Y56" s="52"/>
      <c r="Z56" s="52"/>
      <c r="AA56" s="52"/>
      <c r="AB56" s="52"/>
      <c r="AC56" s="52"/>
    </row>
    <row r="57" ht="74.450000000000003" customHeight="1">
      <c r="A57" s="73">
        <v>45</v>
      </c>
      <c r="B57" s="75"/>
      <c r="C57" s="75"/>
      <c r="D57" s="75"/>
      <c r="E57" s="58" t="s">
        <v>2078</v>
      </c>
      <c r="F57" s="58" t="s">
        <v>203</v>
      </c>
      <c r="G57" s="58" t="s">
        <v>450</v>
      </c>
      <c r="H57" s="58" t="s">
        <v>2079</v>
      </c>
      <c r="I57" s="58" t="s">
        <v>2080</v>
      </c>
      <c r="J57" s="58" t="s">
        <v>2081</v>
      </c>
      <c r="K57" s="74" t="s">
        <v>2082</v>
      </c>
      <c r="L57" s="58"/>
      <c r="M57" s="58"/>
      <c r="N57" s="58"/>
      <c r="O57" s="58"/>
      <c r="P57" s="58"/>
      <c r="Q57" s="58"/>
      <c r="R57" s="58"/>
      <c r="S57" s="58"/>
      <c r="T57" s="58"/>
      <c r="U57" s="58"/>
      <c r="V57" s="58"/>
      <c r="W57" s="77" t="s">
        <v>2083</v>
      </c>
      <c r="X57" s="58" t="s">
        <v>2051</v>
      </c>
      <c r="Y57" s="52"/>
      <c r="Z57" s="52"/>
      <c r="AA57" s="52"/>
      <c r="AB57" s="52"/>
      <c r="AC57" s="52"/>
    </row>
    <row r="58" ht="101.45" customHeight="1">
      <c r="A58" s="73">
        <v>46</v>
      </c>
      <c r="B58" s="75"/>
      <c r="C58" s="75"/>
      <c r="D58" s="78"/>
      <c r="E58" s="58" t="s">
        <v>2084</v>
      </c>
      <c r="F58" s="58" t="s">
        <v>210</v>
      </c>
      <c r="G58" s="58" t="s">
        <v>455</v>
      </c>
      <c r="H58" s="58" t="s">
        <v>2085</v>
      </c>
      <c r="I58" s="58" t="s">
        <v>2086</v>
      </c>
      <c r="J58" s="58" t="s">
        <v>2060</v>
      </c>
      <c r="K58" s="74" t="s">
        <v>2087</v>
      </c>
      <c r="L58" s="58"/>
      <c r="M58" s="58"/>
      <c r="N58" s="58"/>
      <c r="O58" s="58"/>
      <c r="P58" s="58"/>
      <c r="Q58" s="58"/>
      <c r="R58" s="58"/>
      <c r="S58" s="58"/>
      <c r="T58" s="58"/>
      <c r="U58" s="58"/>
      <c r="V58" s="58"/>
      <c r="W58" s="58"/>
      <c r="X58" s="58" t="s">
        <v>2051</v>
      </c>
      <c r="Y58" s="52"/>
      <c r="Z58" s="52"/>
      <c r="AA58" s="52"/>
      <c r="AB58" s="52"/>
      <c r="AC58" s="52"/>
    </row>
    <row r="59" ht="62.100000000000001" customHeight="1">
      <c r="A59" s="73">
        <v>47</v>
      </c>
      <c r="B59" s="75"/>
      <c r="C59" s="78"/>
      <c r="D59" s="58" t="s">
        <v>393</v>
      </c>
      <c r="E59" s="58" t="s">
        <v>2032</v>
      </c>
      <c r="F59" s="58" t="s">
        <v>225</v>
      </c>
      <c r="G59" s="58" t="s">
        <v>461</v>
      </c>
      <c r="H59" s="58" t="s">
        <v>2088</v>
      </c>
      <c r="I59" s="58" t="s">
        <v>2048</v>
      </c>
      <c r="J59" s="58" t="s">
        <v>2089</v>
      </c>
      <c r="K59" s="74" t="s">
        <v>2090</v>
      </c>
      <c r="L59" s="58"/>
      <c r="M59" s="58"/>
      <c r="N59" s="58"/>
      <c r="O59" s="58"/>
      <c r="P59" s="58"/>
      <c r="Q59" s="58"/>
      <c r="R59" s="58"/>
      <c r="S59" s="58"/>
      <c r="T59" s="58"/>
      <c r="U59" s="58"/>
      <c r="V59" s="58"/>
      <c r="W59" s="58"/>
      <c r="X59" s="58" t="s">
        <v>2051</v>
      </c>
      <c r="Y59" s="52"/>
      <c r="Z59" s="52"/>
      <c r="AA59" s="52"/>
      <c r="AB59" s="52"/>
      <c r="AC59" s="52"/>
    </row>
    <row r="60" ht="62.100000000000001" customHeight="1">
      <c r="A60" s="73">
        <v>48</v>
      </c>
      <c r="B60" s="75"/>
      <c r="C60" s="58" t="s">
        <v>160</v>
      </c>
      <c r="D60" s="58" t="s">
        <v>538</v>
      </c>
      <c r="E60" s="58" t="s">
        <v>2091</v>
      </c>
      <c r="F60" s="58" t="s">
        <v>210</v>
      </c>
      <c r="G60" s="58" t="s">
        <v>468</v>
      </c>
      <c r="H60" s="58" t="s">
        <v>2092</v>
      </c>
      <c r="I60" s="58" t="s">
        <v>2019</v>
      </c>
      <c r="J60" s="58" t="s">
        <v>2093</v>
      </c>
      <c r="K60" s="74" t="s">
        <v>2094</v>
      </c>
      <c r="L60" s="58"/>
      <c r="M60" s="58"/>
      <c r="N60" s="58"/>
      <c r="O60" s="58"/>
      <c r="P60" s="58"/>
      <c r="Q60" s="58"/>
      <c r="R60" s="58"/>
      <c r="S60" s="58"/>
      <c r="T60" s="58"/>
      <c r="U60" s="58"/>
      <c r="V60" s="58"/>
      <c r="W60" s="58"/>
      <c r="X60" s="58" t="s">
        <v>2051</v>
      </c>
      <c r="Y60" s="52"/>
      <c r="Z60" s="52"/>
      <c r="AA60" s="52"/>
      <c r="AB60" s="52"/>
      <c r="AC60" s="52"/>
    </row>
    <row r="61" ht="35.100000000000001" customHeight="1">
      <c r="A61" s="73">
        <v>49</v>
      </c>
      <c r="B61" s="78"/>
      <c r="C61" s="78"/>
      <c r="D61" s="58" t="s">
        <v>112</v>
      </c>
      <c r="E61" s="58" t="s">
        <v>2095</v>
      </c>
      <c r="F61" s="58" t="s">
        <v>210</v>
      </c>
      <c r="G61" s="58" t="s">
        <v>473</v>
      </c>
      <c r="H61" s="58" t="s">
        <v>2096</v>
      </c>
      <c r="I61" s="58" t="s">
        <v>1887</v>
      </c>
      <c r="J61" s="58" t="s">
        <v>2097</v>
      </c>
      <c r="K61" s="76"/>
      <c r="L61" s="58"/>
      <c r="M61" s="58"/>
      <c r="N61" s="58"/>
      <c r="O61" s="58"/>
      <c r="P61" s="58"/>
      <c r="Q61" s="58"/>
      <c r="R61" s="58"/>
      <c r="S61" s="58"/>
      <c r="T61" s="58"/>
      <c r="U61" s="58"/>
      <c r="V61" s="58"/>
      <c r="W61" s="77" t="s">
        <v>2098</v>
      </c>
      <c r="X61" s="58" t="s">
        <v>2051</v>
      </c>
      <c r="Y61" s="52"/>
      <c r="Z61" s="52"/>
      <c r="AA61" s="52"/>
      <c r="AB61" s="52"/>
      <c r="AC61" s="52"/>
    </row>
    <row r="62" ht="62.100000000000001" customHeight="1">
      <c r="A62" s="73">
        <v>50</v>
      </c>
      <c r="B62" s="58" t="s">
        <v>161</v>
      </c>
      <c r="C62" s="58" t="s">
        <v>162</v>
      </c>
      <c r="D62" s="58" t="s">
        <v>538</v>
      </c>
      <c r="E62" s="58" t="s">
        <v>2099</v>
      </c>
      <c r="F62" s="58" t="s">
        <v>210</v>
      </c>
      <c r="G62" s="58" t="s">
        <v>479</v>
      </c>
      <c r="H62" s="58" t="s">
        <v>2100</v>
      </c>
      <c r="I62" s="58" t="s">
        <v>1887</v>
      </c>
      <c r="J62" s="58" t="s">
        <v>2101</v>
      </c>
      <c r="K62" s="74" t="s">
        <v>2102</v>
      </c>
      <c r="L62" s="58"/>
      <c r="M62" s="58"/>
      <c r="N62" s="58"/>
      <c r="O62" s="58"/>
      <c r="P62" s="58"/>
      <c r="Q62" s="58"/>
      <c r="R62" s="58"/>
      <c r="S62" s="58"/>
      <c r="T62" s="58"/>
      <c r="U62" s="58"/>
      <c r="V62" s="58"/>
      <c r="W62" s="77" t="s">
        <v>2103</v>
      </c>
      <c r="X62" s="58" t="s">
        <v>2104</v>
      </c>
      <c r="Y62" s="52"/>
      <c r="Z62" s="52"/>
      <c r="AA62" s="52"/>
      <c r="AB62" s="52"/>
      <c r="AC62" s="52"/>
    </row>
    <row r="63" ht="62.100000000000001" customHeight="1">
      <c r="A63" s="73">
        <v>51</v>
      </c>
      <c r="B63" s="78"/>
      <c r="C63" s="78"/>
      <c r="D63" s="58" t="s">
        <v>138</v>
      </c>
      <c r="E63" s="58" t="s">
        <v>2099</v>
      </c>
      <c r="F63" s="58" t="s">
        <v>210</v>
      </c>
      <c r="G63" s="58" t="s">
        <v>485</v>
      </c>
      <c r="H63" s="58" t="s">
        <v>2105</v>
      </c>
      <c r="I63" s="58" t="s">
        <v>1881</v>
      </c>
      <c r="J63" s="58" t="s">
        <v>2101</v>
      </c>
      <c r="K63" s="74" t="s">
        <v>2102</v>
      </c>
      <c r="L63" s="58"/>
      <c r="M63" s="58"/>
      <c r="N63" s="58"/>
      <c r="O63" s="58"/>
      <c r="P63" s="58"/>
      <c r="Q63" s="58"/>
      <c r="R63" s="58"/>
      <c r="S63" s="58"/>
      <c r="T63" s="58"/>
      <c r="U63" s="58"/>
      <c r="V63" s="58"/>
      <c r="W63" s="77" t="s">
        <v>2103</v>
      </c>
      <c r="X63" s="58" t="s">
        <v>2104</v>
      </c>
      <c r="Y63" s="52"/>
      <c r="Z63" s="52"/>
      <c r="AA63" s="52"/>
      <c r="AB63" s="52"/>
      <c r="AC63" s="52"/>
    </row>
    <row r="64" ht="35.100000000000001" customHeight="1">
      <c r="A64" s="73">
        <v>52</v>
      </c>
      <c r="B64" s="58" t="s">
        <v>110</v>
      </c>
      <c r="C64" s="58" t="s">
        <v>111</v>
      </c>
      <c r="D64" s="58" t="s">
        <v>2106</v>
      </c>
      <c r="E64" s="58" t="s">
        <v>2107</v>
      </c>
      <c r="F64" s="58" t="s">
        <v>203</v>
      </c>
      <c r="G64" s="58" t="s">
        <v>491</v>
      </c>
      <c r="H64" s="58" t="s">
        <v>2108</v>
      </c>
      <c r="I64" s="58" t="s">
        <v>2109</v>
      </c>
      <c r="J64" s="58" t="s">
        <v>2110</v>
      </c>
      <c r="K64" s="74" t="s">
        <v>2111</v>
      </c>
      <c r="L64" s="58"/>
      <c r="M64" s="58"/>
      <c r="N64" s="58"/>
      <c r="O64" s="58"/>
      <c r="P64" s="58"/>
      <c r="Q64" s="58"/>
      <c r="R64" s="58"/>
      <c r="S64" s="58"/>
      <c r="T64" s="58"/>
      <c r="U64" s="58"/>
      <c r="V64" s="58"/>
      <c r="W64" s="58"/>
      <c r="X64" s="58" t="s">
        <v>1878</v>
      </c>
      <c r="Y64" s="52"/>
      <c r="Z64" s="52"/>
      <c r="AA64" s="52"/>
      <c r="AB64" s="52"/>
      <c r="AC64" s="52"/>
    </row>
    <row r="65" ht="35.100000000000001" customHeight="1">
      <c r="A65" s="73">
        <v>53</v>
      </c>
      <c r="B65" s="75"/>
      <c r="C65" s="75"/>
      <c r="D65" s="58" t="s">
        <v>1235</v>
      </c>
      <c r="E65" s="58" t="s">
        <v>2112</v>
      </c>
      <c r="F65" s="58" t="s">
        <v>203</v>
      </c>
      <c r="G65" s="58" t="s">
        <v>2113</v>
      </c>
      <c r="H65" s="58" t="s">
        <v>2114</v>
      </c>
      <c r="I65" s="58" t="s">
        <v>2109</v>
      </c>
      <c r="J65" s="58" t="s">
        <v>2115</v>
      </c>
      <c r="K65" s="74" t="s">
        <v>2116</v>
      </c>
      <c r="L65" s="58"/>
      <c r="M65" s="58"/>
      <c r="N65" s="58"/>
      <c r="O65" s="58"/>
      <c r="P65" s="58"/>
      <c r="Q65" s="58"/>
      <c r="R65" s="58"/>
      <c r="S65" s="58"/>
      <c r="T65" s="58"/>
      <c r="U65" s="58"/>
      <c r="V65" s="58"/>
      <c r="W65" s="77" t="s">
        <v>2117</v>
      </c>
      <c r="X65" s="58" t="s">
        <v>2118</v>
      </c>
      <c r="Y65" s="52"/>
      <c r="Z65" s="52"/>
      <c r="AA65" s="52"/>
      <c r="AB65" s="52"/>
      <c r="AC65" s="52"/>
    </row>
    <row r="66" ht="62.100000000000001" customHeight="1">
      <c r="A66" s="73">
        <v>54</v>
      </c>
      <c r="B66" s="75"/>
      <c r="C66" s="78"/>
      <c r="D66" s="58" t="s">
        <v>2119</v>
      </c>
      <c r="E66" s="58" t="s">
        <v>2120</v>
      </c>
      <c r="F66" s="58" t="s">
        <v>203</v>
      </c>
      <c r="G66" s="58" t="s">
        <v>2121</v>
      </c>
      <c r="H66" s="58" t="s">
        <v>2122</v>
      </c>
      <c r="I66" s="58" t="s">
        <v>2109</v>
      </c>
      <c r="J66" s="58" t="s">
        <v>2123</v>
      </c>
      <c r="K66" s="74" t="s">
        <v>2124</v>
      </c>
      <c r="L66" s="58"/>
      <c r="M66" s="58"/>
      <c r="N66" s="58"/>
      <c r="O66" s="58"/>
      <c r="P66" s="58"/>
      <c r="Q66" s="58"/>
      <c r="R66" s="58"/>
      <c r="S66" s="58"/>
      <c r="T66" s="58"/>
      <c r="U66" s="58"/>
      <c r="V66" s="58"/>
      <c r="W66" s="58"/>
      <c r="X66" s="58" t="s">
        <v>2118</v>
      </c>
      <c r="Y66" s="52"/>
      <c r="Z66" s="52"/>
      <c r="AA66" s="52"/>
      <c r="AB66" s="52"/>
      <c r="AC66" s="52"/>
    </row>
    <row r="67" ht="48.600000000000001" customHeight="1">
      <c r="A67" s="73">
        <v>55</v>
      </c>
      <c r="B67" s="75"/>
      <c r="C67" s="58" t="s">
        <v>112</v>
      </c>
      <c r="D67" s="58" t="s">
        <v>2125</v>
      </c>
      <c r="E67" s="58" t="s">
        <v>2126</v>
      </c>
      <c r="F67" s="58" t="s">
        <v>203</v>
      </c>
      <c r="G67" s="58" t="s">
        <v>2127</v>
      </c>
      <c r="H67" s="58" t="s">
        <v>2128</v>
      </c>
      <c r="I67" s="58" t="s">
        <v>2129</v>
      </c>
      <c r="J67" s="58" t="s">
        <v>2130</v>
      </c>
      <c r="K67" s="74" t="s">
        <v>2131</v>
      </c>
      <c r="L67" s="58"/>
      <c r="M67" s="58"/>
      <c r="N67" s="58"/>
      <c r="O67" s="58"/>
      <c r="P67" s="58"/>
      <c r="Q67" s="58"/>
      <c r="R67" s="58"/>
      <c r="S67" s="58"/>
      <c r="T67" s="58"/>
      <c r="U67" s="58"/>
      <c r="V67" s="58"/>
      <c r="W67" s="58"/>
      <c r="X67" s="58" t="s">
        <v>2118</v>
      </c>
      <c r="Y67" s="52"/>
      <c r="Z67" s="52"/>
      <c r="AA67" s="52"/>
      <c r="AB67" s="52"/>
      <c r="AC67" s="52"/>
    </row>
    <row r="68" ht="48.600000000000001" customHeight="1">
      <c r="A68" s="73">
        <v>56</v>
      </c>
      <c r="B68" s="78"/>
      <c r="C68" s="58" t="s">
        <v>113</v>
      </c>
      <c r="D68" s="58" t="s">
        <v>140</v>
      </c>
      <c r="E68" s="58" t="s">
        <v>2132</v>
      </c>
      <c r="F68" s="58" t="s">
        <v>203</v>
      </c>
      <c r="G68" s="58" t="s">
        <v>2133</v>
      </c>
      <c r="H68" s="58" t="s">
        <v>2134</v>
      </c>
      <c r="I68" s="58" t="s">
        <v>2135</v>
      </c>
      <c r="J68" s="58" t="s">
        <v>2136</v>
      </c>
      <c r="K68" s="74" t="s">
        <v>2137</v>
      </c>
      <c r="L68" s="58"/>
      <c r="M68" s="58"/>
      <c r="N68" s="58"/>
      <c r="O68" s="58"/>
      <c r="P68" s="58"/>
      <c r="Q68" s="58"/>
      <c r="R68" s="58"/>
      <c r="S68" s="58"/>
      <c r="T68" s="58"/>
      <c r="U68" s="58"/>
      <c r="V68" s="58"/>
      <c r="W68" s="58"/>
      <c r="X68" s="58" t="s">
        <v>2118</v>
      </c>
      <c r="Y68" s="52"/>
      <c r="Z68" s="52"/>
      <c r="AA68" s="52"/>
      <c r="AB68" s="52"/>
      <c r="AC68" s="52"/>
    </row>
    <row r="69" ht="48.600000000000001" customHeight="1">
      <c r="A69" s="73">
        <v>57</v>
      </c>
      <c r="B69" s="58" t="s">
        <v>89</v>
      </c>
      <c r="C69" s="58" t="s">
        <v>114</v>
      </c>
      <c r="D69" s="58" t="s">
        <v>1235</v>
      </c>
      <c r="E69" s="58" t="s">
        <v>2138</v>
      </c>
      <c r="F69" s="58" t="s">
        <v>203</v>
      </c>
      <c r="G69" s="58" t="s">
        <v>2139</v>
      </c>
      <c r="H69" s="58" t="s">
        <v>2140</v>
      </c>
      <c r="I69" s="58" t="s">
        <v>2141</v>
      </c>
      <c r="J69" s="58" t="s">
        <v>2142</v>
      </c>
      <c r="K69" s="74" t="s">
        <v>2143</v>
      </c>
      <c r="L69" s="58"/>
      <c r="M69" s="58"/>
      <c r="N69" s="58"/>
      <c r="O69" s="58"/>
      <c r="P69" s="58"/>
      <c r="Q69" s="58"/>
      <c r="R69" s="58"/>
      <c r="S69" s="58"/>
      <c r="T69" s="58"/>
      <c r="U69" s="58"/>
      <c r="V69" s="58"/>
      <c r="W69" s="77" t="s">
        <v>1206</v>
      </c>
      <c r="X69" s="58" t="s">
        <v>2118</v>
      </c>
      <c r="Y69" s="52"/>
      <c r="Z69" s="52"/>
      <c r="AA69" s="52"/>
      <c r="AB69" s="52"/>
      <c r="AC69" s="52"/>
    </row>
    <row r="70" ht="62.100000000000001" customHeight="1">
      <c r="A70" s="73">
        <v>58</v>
      </c>
      <c r="B70" s="75"/>
      <c r="C70" s="75"/>
      <c r="D70" s="58" t="s">
        <v>2119</v>
      </c>
      <c r="E70" s="58" t="s">
        <v>2144</v>
      </c>
      <c r="F70" s="58" t="s">
        <v>203</v>
      </c>
      <c r="G70" s="58" t="s">
        <v>2145</v>
      </c>
      <c r="H70" s="58" t="s">
        <v>2146</v>
      </c>
      <c r="I70" s="58" t="s">
        <v>2141</v>
      </c>
      <c r="J70" s="58" t="s">
        <v>2147</v>
      </c>
      <c r="K70" s="74" t="s">
        <v>2148</v>
      </c>
      <c r="L70" s="58"/>
      <c r="M70" s="58"/>
      <c r="N70" s="58"/>
      <c r="O70" s="58"/>
      <c r="P70" s="58"/>
      <c r="Q70" s="58"/>
      <c r="R70" s="58"/>
      <c r="S70" s="58"/>
      <c r="T70" s="58"/>
      <c r="U70" s="58"/>
      <c r="V70" s="58"/>
      <c r="W70" s="58"/>
      <c r="X70" s="58" t="s">
        <v>2118</v>
      </c>
      <c r="Y70" s="52"/>
      <c r="Z70" s="52"/>
      <c r="AA70" s="52"/>
      <c r="AB70" s="52"/>
      <c r="AC70" s="52"/>
    </row>
    <row r="71" ht="48.600000000000001" customHeight="1">
      <c r="A71" s="73">
        <v>59</v>
      </c>
      <c r="B71" s="75"/>
      <c r="C71" s="78"/>
      <c r="D71" s="78"/>
      <c r="E71" s="58" t="s">
        <v>2149</v>
      </c>
      <c r="F71" s="58" t="s">
        <v>203</v>
      </c>
      <c r="G71" s="58" t="s">
        <v>2150</v>
      </c>
      <c r="H71" s="58" t="s">
        <v>2151</v>
      </c>
      <c r="I71" s="58" t="s">
        <v>1887</v>
      </c>
      <c r="J71" s="58" t="s">
        <v>2152</v>
      </c>
      <c r="K71" s="74" t="s">
        <v>2153</v>
      </c>
      <c r="L71" s="58"/>
      <c r="M71" s="58"/>
      <c r="N71" s="58"/>
      <c r="O71" s="58"/>
      <c r="P71" s="58"/>
      <c r="Q71" s="58"/>
      <c r="R71" s="58"/>
      <c r="S71" s="58"/>
      <c r="T71" s="58"/>
      <c r="U71" s="58"/>
      <c r="V71" s="58"/>
      <c r="W71" s="58"/>
      <c r="X71" s="58" t="s">
        <v>2118</v>
      </c>
      <c r="Y71" s="52"/>
      <c r="Z71" s="52"/>
      <c r="AA71" s="52"/>
      <c r="AB71" s="52"/>
      <c r="AC71" s="52"/>
    </row>
    <row r="72" ht="62.100000000000001" customHeight="1">
      <c r="A72" s="73">
        <v>60</v>
      </c>
      <c r="B72" s="75"/>
      <c r="C72" s="58" t="s">
        <v>163</v>
      </c>
      <c r="D72" s="58" t="s">
        <v>2119</v>
      </c>
      <c r="E72" s="58" t="s">
        <v>2154</v>
      </c>
      <c r="F72" s="58" t="s">
        <v>203</v>
      </c>
      <c r="G72" s="58" t="s">
        <v>2155</v>
      </c>
      <c r="H72" s="58" t="s">
        <v>2156</v>
      </c>
      <c r="I72" s="58" t="s">
        <v>2157</v>
      </c>
      <c r="J72" s="58" t="s">
        <v>2158</v>
      </c>
      <c r="K72" s="74" t="s">
        <v>2159</v>
      </c>
      <c r="L72" s="58"/>
      <c r="M72" s="58"/>
      <c r="N72" s="58"/>
      <c r="O72" s="58"/>
      <c r="P72" s="58"/>
      <c r="Q72" s="58"/>
      <c r="R72" s="58"/>
      <c r="S72" s="58"/>
      <c r="T72" s="58"/>
      <c r="U72" s="58"/>
      <c r="V72" s="58"/>
      <c r="W72" s="58"/>
      <c r="X72" s="58" t="s">
        <v>2118</v>
      </c>
      <c r="Y72" s="52"/>
      <c r="Z72" s="52"/>
      <c r="AA72" s="52"/>
      <c r="AB72" s="52"/>
      <c r="AC72" s="52"/>
    </row>
    <row r="73" ht="62.100000000000001" customHeight="1">
      <c r="A73" s="73">
        <v>61</v>
      </c>
      <c r="B73" s="75"/>
      <c r="C73" s="58" t="s">
        <v>115</v>
      </c>
      <c r="D73" s="58" t="s">
        <v>1241</v>
      </c>
      <c r="E73" s="58" t="s">
        <v>2160</v>
      </c>
      <c r="F73" s="58" t="s">
        <v>210</v>
      </c>
      <c r="G73" s="58" t="s">
        <v>2161</v>
      </c>
      <c r="H73" s="58" t="s">
        <v>2162</v>
      </c>
      <c r="I73" s="58" t="s">
        <v>1887</v>
      </c>
      <c r="J73" s="58" t="s">
        <v>2163</v>
      </c>
      <c r="K73" s="74" t="s">
        <v>2164</v>
      </c>
      <c r="L73" s="58"/>
      <c r="M73" s="58"/>
      <c r="N73" s="58"/>
      <c r="O73" s="58"/>
      <c r="P73" s="58"/>
      <c r="Q73" s="58"/>
      <c r="R73" s="58"/>
      <c r="S73" s="58"/>
      <c r="T73" s="58"/>
      <c r="U73" s="58"/>
      <c r="V73" s="58"/>
      <c r="W73" s="58"/>
      <c r="X73" s="58" t="s">
        <v>1923</v>
      </c>
      <c r="Y73" s="52"/>
      <c r="Z73" s="52"/>
      <c r="AA73" s="52"/>
      <c r="AB73" s="52"/>
      <c r="AC73" s="52"/>
    </row>
    <row r="74" ht="48.600000000000001" customHeight="1">
      <c r="A74" s="73">
        <v>62</v>
      </c>
      <c r="B74" s="78"/>
      <c r="C74" s="58" t="s">
        <v>116</v>
      </c>
      <c r="D74" s="58" t="s">
        <v>1247</v>
      </c>
      <c r="E74" s="58" t="s">
        <v>2165</v>
      </c>
      <c r="F74" s="58" t="s">
        <v>210</v>
      </c>
      <c r="G74" s="58" t="s">
        <v>2166</v>
      </c>
      <c r="H74" s="58" t="s">
        <v>2167</v>
      </c>
      <c r="I74" s="58" t="s">
        <v>1887</v>
      </c>
      <c r="J74" s="58" t="s">
        <v>2168</v>
      </c>
      <c r="K74" s="76"/>
      <c r="L74" s="58"/>
      <c r="M74" s="58"/>
      <c r="N74" s="58"/>
      <c r="O74" s="58"/>
      <c r="P74" s="58"/>
      <c r="Q74" s="58"/>
      <c r="R74" s="58"/>
      <c r="S74" s="58"/>
      <c r="T74" s="58"/>
      <c r="U74" s="58"/>
      <c r="V74" s="58"/>
      <c r="W74" s="77" t="s">
        <v>2169</v>
      </c>
      <c r="X74" s="58" t="s">
        <v>2170</v>
      </c>
      <c r="Y74" s="52"/>
      <c r="Z74" s="52"/>
      <c r="AA74" s="52"/>
      <c r="AB74" s="52"/>
      <c r="AC74" s="52"/>
    </row>
  </sheetData>
  <mergeCells count="59">
    <mergeCell ref="K2:S2"/>
    <mergeCell ref="K4:K5"/>
    <mergeCell ref="L4:L5"/>
    <mergeCell ref="K6:K7"/>
    <mergeCell ref="L6:L7"/>
    <mergeCell ref="M10:Q10"/>
    <mergeCell ref="R10:V10"/>
    <mergeCell ref="B11:D11"/>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B13:B15"/>
    <mergeCell ref="C13:C14"/>
    <mergeCell ref="D13:D14"/>
    <mergeCell ref="B16:B18"/>
    <mergeCell ref="C16:C17"/>
    <mergeCell ref="B19:B20"/>
    <mergeCell ref="C19:C20"/>
    <mergeCell ref="B21:B40"/>
    <mergeCell ref="C21:C22"/>
    <mergeCell ref="C23:C36"/>
    <mergeCell ref="D23:D29"/>
    <mergeCell ref="D30:D36"/>
    <mergeCell ref="C37:C40"/>
    <mergeCell ref="D37:D38"/>
    <mergeCell ref="D39:D40"/>
    <mergeCell ref="B41:B49"/>
    <mergeCell ref="C41:C49"/>
    <mergeCell ref="D41:D45"/>
    <mergeCell ref="D46:D47"/>
    <mergeCell ref="B50:B61"/>
    <mergeCell ref="C50:C55"/>
    <mergeCell ref="D50:D54"/>
    <mergeCell ref="C56:C59"/>
    <mergeCell ref="D56:D58"/>
    <mergeCell ref="C60:C61"/>
    <mergeCell ref="B62:B63"/>
    <mergeCell ref="C62:C63"/>
    <mergeCell ref="B64:B68"/>
    <mergeCell ref="C64:C66"/>
    <mergeCell ref="B69:B74"/>
    <mergeCell ref="C69:C71"/>
    <mergeCell ref="D70:D71"/>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2" disablePrompts="0">
        <x14:dataValidation xr:uid="{E91CB9B4-47A5-4103-B6F8-F46B9C348FA7}" type="list" allowBlank="1" errorStyle="stop" imeMode="noControl" operator="between" showDropDown="0" showErrorMessage="0" showInputMessage="0">
          <x14:formula1>
            <xm:f>"High,Medium,Low,Critical"</xm:f>
          </x14:formula1>
          <xm:sqref>F13:F74</xm:sqref>
        </x14:dataValidation>
        <x14:dataValidation xr:uid="{28D9D4C7-AE8B-40F4-976C-F2717B87B75B}" type="list" allowBlank="1" errorStyle="stop" imeMode="noControl" operator="between" showDropDown="0" showErrorMessage="0" showInputMessage="0">
          <x14:formula1>
            <xm:f>"Passed,Failed,Pending,Blocked,NA,Not execute"</xm:f>
          </x14:formula1>
          <xm:sqref>M13:M74 R13:R74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customWidth="1" min="22" max="22" style="49" width="17.710937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2171</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2172</v>
      </c>
      <c r="D4" s="59"/>
      <c r="E4" s="52"/>
      <c r="F4" s="52"/>
      <c r="G4" s="52"/>
      <c r="H4" s="52"/>
      <c r="I4" s="52"/>
      <c r="J4" s="52"/>
      <c r="K4" s="54" t="s">
        <v>176</v>
      </c>
      <c r="L4" s="60">
        <f>COUNTA($G$13:$G$25)</f>
        <v>13</v>
      </c>
      <c r="M4" s="61">
        <f>COUNTIF($M$13:$M$25,M3)</f>
        <v>0</v>
      </c>
      <c r="N4" s="61">
        <f>COUNTIF($M$13:$M$25,N3)</f>
        <v>0</v>
      </c>
      <c r="O4" s="61">
        <f>COUNTIF($M$13:$M$25,O3)</f>
        <v>0</v>
      </c>
      <c r="P4" s="62">
        <f>COUNTIF($M$13:$M$25,P3)</f>
        <v>0</v>
      </c>
      <c r="Q4" s="61">
        <f>COUNTIF($M$13:$M$25,Q3)</f>
        <v>0</v>
      </c>
      <c r="R4" s="61">
        <f>L4-SUM(M4:Q4)</f>
        <v>13</v>
      </c>
      <c r="S4" s="63"/>
      <c r="T4" s="52"/>
      <c r="U4" s="52"/>
      <c r="V4" s="52"/>
      <c r="W4" s="52"/>
      <c r="X4" s="52"/>
      <c r="Y4" s="52"/>
      <c r="Z4" s="52"/>
      <c r="AA4" s="52"/>
      <c r="AB4" s="52"/>
      <c r="AC4" s="52"/>
    </row>
    <row r="5" ht="15.75" customHeight="1">
      <c r="A5" s="51"/>
      <c r="B5" s="54" t="s">
        <v>3</v>
      </c>
      <c r="C5" s="58" t="s">
        <v>1870</v>
      </c>
      <c r="D5" s="59"/>
      <c r="E5" s="52"/>
      <c r="F5" s="52"/>
      <c r="G5" s="52"/>
      <c r="H5" s="52"/>
      <c r="I5" s="52"/>
      <c r="J5" s="52"/>
      <c r="K5" s="12"/>
      <c r="L5" s="12"/>
      <c r="M5" s="64">
        <f t="shared" ref="M5:R5" si="26">M4/$L$4</f>
        <v>0</v>
      </c>
      <c r="N5" s="64">
        <f t="shared" si="26"/>
        <v>0</v>
      </c>
      <c r="O5" s="64">
        <f t="shared" si="26"/>
        <v>0</v>
      </c>
      <c r="P5" s="65">
        <f t="shared" si="26"/>
        <v>0</v>
      </c>
      <c r="Q5" s="64">
        <f t="shared" si="26"/>
        <v>0</v>
      </c>
      <c r="R5" s="64">
        <f t="shared" si="26"/>
        <v>1</v>
      </c>
      <c r="S5" s="52"/>
      <c r="T5" s="52"/>
      <c r="U5" s="52"/>
      <c r="V5" s="52"/>
      <c r="W5" s="52"/>
      <c r="X5" s="52"/>
      <c r="Y5" s="52"/>
      <c r="Z5" s="52"/>
      <c r="AA5" s="52"/>
      <c r="AB5" s="52"/>
      <c r="AC5" s="52"/>
    </row>
    <row r="6" ht="15.75" customHeight="1">
      <c r="A6" s="51"/>
      <c r="B6" s="54" t="s">
        <v>178</v>
      </c>
      <c r="C6" s="66" t="s">
        <v>33</v>
      </c>
      <c r="D6" s="59"/>
      <c r="E6" s="52"/>
      <c r="F6" s="52"/>
      <c r="G6" s="52"/>
      <c r="H6" s="52"/>
      <c r="I6" s="52"/>
      <c r="J6" s="52"/>
      <c r="K6" s="54" t="s">
        <v>179</v>
      </c>
      <c r="L6" s="60">
        <f>COUNTA($G$13:$G$25)</f>
        <v>13</v>
      </c>
      <c r="M6" s="61">
        <f>COUNTIF($R$13:$R$25,M3)</f>
        <v>0</v>
      </c>
      <c r="N6" s="61">
        <f>COUNTIF($R$13:$R$25,N3)</f>
        <v>0</v>
      </c>
      <c r="O6" s="61">
        <f>COUNTIF($R$13:$R$25,O3)</f>
        <v>0</v>
      </c>
      <c r="P6" s="62">
        <f>COUNTIF($R$13:$R$25,P3)</f>
        <v>0</v>
      </c>
      <c r="Q6" s="61">
        <f>COUNTIF($R$13:$R$25,Q3)</f>
        <v>0</v>
      </c>
      <c r="R6" s="61">
        <f>L6-SUM(M6:Q6)</f>
        <v>13</v>
      </c>
      <c r="S6" s="63"/>
      <c r="T6" s="52"/>
      <c r="U6" s="52"/>
      <c r="V6" s="52"/>
      <c r="W6" s="52"/>
      <c r="X6" s="52"/>
      <c r="Y6" s="52"/>
      <c r="Z6" s="52"/>
      <c r="AA6" s="52"/>
      <c r="AB6" s="52"/>
      <c r="AC6" s="52"/>
    </row>
    <row r="7" ht="15.75" customHeight="1">
      <c r="A7" s="51"/>
      <c r="B7" s="54" t="s">
        <v>17</v>
      </c>
      <c r="C7" s="67" t="s">
        <v>2173</v>
      </c>
      <c r="D7" s="68"/>
      <c r="E7" s="52"/>
      <c r="F7" s="52"/>
      <c r="G7" s="52"/>
      <c r="H7" s="52"/>
      <c r="I7" s="52"/>
      <c r="J7" s="52"/>
      <c r="K7" s="12"/>
      <c r="L7" s="12"/>
      <c r="M7" s="64">
        <f t="shared" ref="M7:R7" si="27">M6/$L$6</f>
        <v>0</v>
      </c>
      <c r="N7" s="64">
        <f t="shared" si="27"/>
        <v>0</v>
      </c>
      <c r="O7" s="64">
        <f t="shared" si="27"/>
        <v>0</v>
      </c>
      <c r="P7" s="65">
        <f t="shared" si="27"/>
        <v>0</v>
      </c>
      <c r="Q7" s="64">
        <f t="shared" si="27"/>
        <v>0</v>
      </c>
      <c r="R7" s="64">
        <f t="shared" si="27"/>
        <v>1</v>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ht="33.950000000000003" customHeight="1">
      <c r="A13" s="73">
        <v>1</v>
      </c>
      <c r="B13" s="58" t="s">
        <v>80</v>
      </c>
      <c r="C13" s="58" t="s">
        <v>165</v>
      </c>
      <c r="D13" s="58" t="s">
        <v>2174</v>
      </c>
      <c r="E13" s="58" t="s">
        <v>1872</v>
      </c>
      <c r="F13" s="58" t="s">
        <v>210</v>
      </c>
      <c r="G13" s="58" t="s">
        <v>204</v>
      </c>
      <c r="H13" s="58" t="s">
        <v>2175</v>
      </c>
      <c r="I13" s="58" t="s">
        <v>2109</v>
      </c>
      <c r="J13" s="58" t="s">
        <v>2176</v>
      </c>
      <c r="K13" s="74" t="s">
        <v>2177</v>
      </c>
      <c r="L13" s="58"/>
      <c r="M13" s="58"/>
      <c r="N13" s="58"/>
      <c r="O13" s="58"/>
      <c r="P13" s="58"/>
      <c r="Q13" s="58"/>
      <c r="R13" s="58"/>
      <c r="S13" s="58"/>
      <c r="T13" s="58"/>
      <c r="U13" s="58"/>
      <c r="V13" s="58"/>
      <c r="W13" s="77" t="s">
        <v>2178</v>
      </c>
      <c r="X13" s="58" t="s">
        <v>2179</v>
      </c>
      <c r="Y13" s="52"/>
      <c r="Z13" s="52"/>
      <c r="AA13" s="52"/>
      <c r="AB13" s="52"/>
      <c r="AC13" s="52"/>
    </row>
    <row r="14" ht="60.950000000000003" customHeight="1">
      <c r="A14" s="73">
        <v>2</v>
      </c>
      <c r="B14" s="58" t="s">
        <v>166</v>
      </c>
      <c r="C14" s="58" t="s">
        <v>167</v>
      </c>
      <c r="D14" s="58" t="s">
        <v>2180</v>
      </c>
      <c r="E14" s="58" t="s">
        <v>2181</v>
      </c>
      <c r="F14" s="58" t="s">
        <v>203</v>
      </c>
      <c r="G14" s="58" t="s">
        <v>211</v>
      </c>
      <c r="H14" s="58" t="s">
        <v>2182</v>
      </c>
      <c r="I14" s="58" t="s">
        <v>2183</v>
      </c>
      <c r="J14" s="58" t="s">
        <v>2184</v>
      </c>
      <c r="K14" s="74" t="s">
        <v>2185</v>
      </c>
      <c r="L14" s="58"/>
      <c r="M14" s="58"/>
      <c r="N14" s="58"/>
      <c r="O14" s="58"/>
      <c r="P14" s="58"/>
      <c r="Q14" s="58"/>
      <c r="R14" s="58"/>
      <c r="S14" s="58"/>
      <c r="T14" s="58"/>
      <c r="U14" s="58"/>
      <c r="V14" s="58"/>
      <c r="W14" s="58"/>
      <c r="X14" s="58" t="s">
        <v>2179</v>
      </c>
      <c r="Y14" s="52"/>
      <c r="Z14" s="52"/>
      <c r="AA14" s="52"/>
      <c r="AB14" s="52"/>
      <c r="AC14" s="52"/>
    </row>
    <row r="15" ht="47.450000000000003" customHeight="1">
      <c r="A15" s="73">
        <v>3</v>
      </c>
      <c r="B15" s="75"/>
      <c r="C15" s="78"/>
      <c r="D15" s="58" t="s">
        <v>2186</v>
      </c>
      <c r="E15" s="58" t="s">
        <v>2187</v>
      </c>
      <c r="F15" s="58" t="s">
        <v>210</v>
      </c>
      <c r="G15" s="58" t="s">
        <v>217</v>
      </c>
      <c r="H15" s="58" t="s">
        <v>2188</v>
      </c>
      <c r="I15" s="58" t="s">
        <v>2189</v>
      </c>
      <c r="J15" s="58" t="s">
        <v>2190</v>
      </c>
      <c r="K15" s="74" t="s">
        <v>2191</v>
      </c>
      <c r="L15" s="58"/>
      <c r="M15" s="58"/>
      <c r="N15" s="58"/>
      <c r="O15" s="58"/>
      <c r="P15" s="58"/>
      <c r="Q15" s="58"/>
      <c r="R15" s="58"/>
      <c r="S15" s="58"/>
      <c r="T15" s="58"/>
      <c r="U15" s="58"/>
      <c r="V15" s="58"/>
      <c r="W15" s="58"/>
      <c r="X15" s="58" t="s">
        <v>2179</v>
      </c>
      <c r="Y15" s="52"/>
      <c r="Z15" s="52"/>
      <c r="AA15" s="52"/>
      <c r="AB15" s="52"/>
      <c r="AC15" s="52"/>
    </row>
    <row r="16" ht="87.950000000000003" customHeight="1">
      <c r="A16" s="73">
        <v>4</v>
      </c>
      <c r="B16" s="75"/>
      <c r="C16" s="58" t="s">
        <v>168</v>
      </c>
      <c r="D16" s="58" t="s">
        <v>2192</v>
      </c>
      <c r="E16" s="58" t="s">
        <v>2193</v>
      </c>
      <c r="F16" s="58" t="s">
        <v>203</v>
      </c>
      <c r="G16" s="58" t="s">
        <v>226</v>
      </c>
      <c r="H16" s="58" t="s">
        <v>2194</v>
      </c>
      <c r="I16" s="58" t="s">
        <v>2195</v>
      </c>
      <c r="J16" s="58" t="s">
        <v>2196</v>
      </c>
      <c r="K16" s="74" t="s">
        <v>2197</v>
      </c>
      <c r="L16" s="58"/>
      <c r="M16" s="58"/>
      <c r="N16" s="58"/>
      <c r="O16" s="58"/>
      <c r="P16" s="58"/>
      <c r="Q16" s="58"/>
      <c r="R16" s="58"/>
      <c r="S16" s="58"/>
      <c r="T16" s="58"/>
      <c r="U16" s="58"/>
      <c r="V16" s="58"/>
      <c r="W16" s="58"/>
      <c r="X16" s="58" t="s">
        <v>2179</v>
      </c>
      <c r="Y16" s="52"/>
      <c r="Z16" s="52"/>
      <c r="AA16" s="52"/>
      <c r="AB16" s="52"/>
      <c r="AC16" s="52"/>
    </row>
    <row r="17" ht="87.950000000000003" customHeight="1">
      <c r="A17" s="73">
        <v>5</v>
      </c>
      <c r="B17" s="75"/>
      <c r="C17" s="75"/>
      <c r="D17" s="58" t="s">
        <v>2198</v>
      </c>
      <c r="E17" s="58" t="s">
        <v>2199</v>
      </c>
      <c r="F17" s="58" t="s">
        <v>210</v>
      </c>
      <c r="G17" s="58" t="s">
        <v>232</v>
      </c>
      <c r="H17" s="58" t="s">
        <v>2200</v>
      </c>
      <c r="I17" s="58" t="s">
        <v>2201</v>
      </c>
      <c r="J17" s="58" t="s">
        <v>2202</v>
      </c>
      <c r="K17" s="74" t="s">
        <v>2203</v>
      </c>
      <c r="L17" s="58"/>
      <c r="M17" s="58"/>
      <c r="N17" s="58"/>
      <c r="O17" s="58"/>
      <c r="P17" s="58"/>
      <c r="Q17" s="58"/>
      <c r="R17" s="58"/>
      <c r="S17" s="58"/>
      <c r="T17" s="58"/>
      <c r="U17" s="58"/>
      <c r="V17" s="58"/>
      <c r="W17" s="58"/>
      <c r="X17" s="58" t="s">
        <v>2179</v>
      </c>
      <c r="Y17" s="52"/>
      <c r="Z17" s="52"/>
      <c r="AA17" s="52"/>
      <c r="AB17" s="52"/>
      <c r="AC17" s="52"/>
    </row>
    <row r="18" ht="60.950000000000003" customHeight="1">
      <c r="A18" s="73">
        <v>6</v>
      </c>
      <c r="B18" s="78"/>
      <c r="C18" s="78"/>
      <c r="D18" s="58" t="s">
        <v>2204</v>
      </c>
      <c r="E18" s="58" t="s">
        <v>2205</v>
      </c>
      <c r="F18" s="58" t="s">
        <v>210</v>
      </c>
      <c r="G18" s="58" t="s">
        <v>237</v>
      </c>
      <c r="H18" s="58" t="s">
        <v>2206</v>
      </c>
      <c r="I18" s="58" t="s">
        <v>2207</v>
      </c>
      <c r="J18" s="58" t="s">
        <v>2208</v>
      </c>
      <c r="K18" s="74" t="s">
        <v>2209</v>
      </c>
      <c r="L18" s="58"/>
      <c r="M18" s="58"/>
      <c r="N18" s="58"/>
      <c r="O18" s="58"/>
      <c r="P18" s="58"/>
      <c r="Q18" s="58"/>
      <c r="R18" s="58"/>
      <c r="S18" s="58"/>
      <c r="T18" s="58"/>
      <c r="U18" s="58"/>
      <c r="V18" s="58"/>
      <c r="W18" s="58"/>
      <c r="X18" s="58" t="s">
        <v>2179</v>
      </c>
      <c r="Y18" s="52"/>
      <c r="Z18" s="52"/>
      <c r="AA18" s="52"/>
      <c r="AB18" s="52"/>
      <c r="AC18" s="52"/>
    </row>
    <row r="19" ht="47.450000000000003" customHeight="1">
      <c r="A19" s="73">
        <v>7</v>
      </c>
      <c r="B19" s="58" t="s">
        <v>169</v>
      </c>
      <c r="C19" s="58" t="s">
        <v>170</v>
      </c>
      <c r="D19" s="58" t="s">
        <v>2210</v>
      </c>
      <c r="E19" s="58" t="s">
        <v>2211</v>
      </c>
      <c r="F19" s="58" t="s">
        <v>203</v>
      </c>
      <c r="G19" s="58" t="s">
        <v>242</v>
      </c>
      <c r="H19" s="58" t="s">
        <v>2212</v>
      </c>
      <c r="I19" s="58" t="s">
        <v>2213</v>
      </c>
      <c r="J19" s="58" t="s">
        <v>2214</v>
      </c>
      <c r="K19" s="74" t="s">
        <v>2215</v>
      </c>
      <c r="L19" s="58"/>
      <c r="M19" s="58"/>
      <c r="N19" s="58"/>
      <c r="O19" s="58"/>
      <c r="P19" s="58"/>
      <c r="Q19" s="58"/>
      <c r="R19" s="58"/>
      <c r="S19" s="58"/>
      <c r="T19" s="58"/>
      <c r="U19" s="58"/>
      <c r="V19" s="58"/>
      <c r="W19" s="58"/>
      <c r="X19" s="58" t="s">
        <v>2179</v>
      </c>
      <c r="Y19" s="52"/>
      <c r="Z19" s="52"/>
      <c r="AA19" s="52"/>
      <c r="AB19" s="52"/>
      <c r="AC19" s="52"/>
    </row>
    <row r="20" ht="60.950000000000003" customHeight="1">
      <c r="A20" s="73">
        <v>8</v>
      </c>
      <c r="B20" s="75"/>
      <c r="C20" s="75"/>
      <c r="D20" s="58" t="s">
        <v>2216</v>
      </c>
      <c r="E20" s="58" t="s">
        <v>2211</v>
      </c>
      <c r="F20" s="58" t="s">
        <v>210</v>
      </c>
      <c r="G20" s="58" t="s">
        <v>248</v>
      </c>
      <c r="H20" s="58" t="s">
        <v>2217</v>
      </c>
      <c r="I20" s="58" t="s">
        <v>2218</v>
      </c>
      <c r="J20" s="58" t="s">
        <v>2219</v>
      </c>
      <c r="K20" s="74" t="s">
        <v>2220</v>
      </c>
      <c r="L20" s="58"/>
      <c r="M20" s="58"/>
      <c r="N20" s="58"/>
      <c r="O20" s="58"/>
      <c r="P20" s="58"/>
      <c r="Q20" s="58"/>
      <c r="R20" s="58"/>
      <c r="S20" s="58"/>
      <c r="T20" s="58"/>
      <c r="U20" s="58"/>
      <c r="V20" s="58"/>
      <c r="W20" s="58"/>
      <c r="X20" s="58" t="s">
        <v>2179</v>
      </c>
      <c r="Y20" s="52"/>
      <c r="Z20" s="52"/>
      <c r="AA20" s="52"/>
      <c r="AB20" s="52"/>
      <c r="AC20" s="52"/>
    </row>
    <row r="21" ht="74.450000000000003" customHeight="1">
      <c r="A21" s="73">
        <v>9</v>
      </c>
      <c r="B21" s="75"/>
      <c r="C21" s="75"/>
      <c r="D21" s="58" t="s">
        <v>2221</v>
      </c>
      <c r="E21" s="58" t="s">
        <v>2222</v>
      </c>
      <c r="F21" s="58" t="s">
        <v>210</v>
      </c>
      <c r="G21" s="58" t="s">
        <v>254</v>
      </c>
      <c r="H21" s="58" t="s">
        <v>2223</v>
      </c>
      <c r="I21" s="58" t="s">
        <v>2224</v>
      </c>
      <c r="J21" s="58" t="s">
        <v>2225</v>
      </c>
      <c r="K21" s="74" t="s">
        <v>2226</v>
      </c>
      <c r="L21" s="58"/>
      <c r="M21" s="58"/>
      <c r="N21" s="58"/>
      <c r="O21" s="58"/>
      <c r="P21" s="58"/>
      <c r="Q21" s="58"/>
      <c r="R21" s="58"/>
      <c r="S21" s="58"/>
      <c r="T21" s="58"/>
      <c r="U21" s="58"/>
      <c r="V21" s="58"/>
      <c r="W21" s="58"/>
      <c r="X21" s="58" t="s">
        <v>2179</v>
      </c>
      <c r="Y21" s="52"/>
      <c r="Z21" s="52"/>
      <c r="AA21" s="52"/>
      <c r="AB21" s="52"/>
      <c r="AC21" s="52"/>
    </row>
    <row r="22" ht="60.950000000000003" customHeight="1">
      <c r="A22" s="73">
        <v>10</v>
      </c>
      <c r="B22" s="75"/>
      <c r="C22" s="75"/>
      <c r="D22" s="58" t="s">
        <v>2227</v>
      </c>
      <c r="E22" s="58" t="s">
        <v>2228</v>
      </c>
      <c r="F22" s="58" t="s">
        <v>225</v>
      </c>
      <c r="G22" s="58" t="s">
        <v>259</v>
      </c>
      <c r="H22" s="58" t="s">
        <v>2229</v>
      </c>
      <c r="I22" s="58" t="s">
        <v>2230</v>
      </c>
      <c r="J22" s="58" t="s">
        <v>2231</v>
      </c>
      <c r="K22" s="76"/>
      <c r="L22" s="58"/>
      <c r="M22" s="58"/>
      <c r="N22" s="58"/>
      <c r="O22" s="58"/>
      <c r="P22" s="58"/>
      <c r="Q22" s="58"/>
      <c r="R22" s="58"/>
      <c r="S22" s="58"/>
      <c r="T22" s="58"/>
      <c r="U22" s="58"/>
      <c r="V22" s="58"/>
      <c r="W22" s="77" t="s">
        <v>2232</v>
      </c>
      <c r="X22" s="58" t="s">
        <v>2179</v>
      </c>
      <c r="Y22" s="52"/>
      <c r="Z22" s="52"/>
      <c r="AA22" s="52"/>
      <c r="AB22" s="52"/>
      <c r="AC22" s="52"/>
    </row>
    <row r="23" ht="47.450000000000003" customHeight="1">
      <c r="A23" s="73">
        <v>11</v>
      </c>
      <c r="B23" s="78"/>
      <c r="C23" s="78"/>
      <c r="D23" s="58" t="s">
        <v>2233</v>
      </c>
      <c r="E23" s="58" t="s">
        <v>2234</v>
      </c>
      <c r="F23" s="58" t="s">
        <v>210</v>
      </c>
      <c r="G23" s="58" t="s">
        <v>264</v>
      </c>
      <c r="H23" s="58" t="s">
        <v>2235</v>
      </c>
      <c r="I23" s="58" t="s">
        <v>2236</v>
      </c>
      <c r="J23" s="58" t="s">
        <v>2237</v>
      </c>
      <c r="K23" s="76"/>
      <c r="L23" s="58"/>
      <c r="M23" s="58"/>
      <c r="N23" s="58"/>
      <c r="O23" s="58"/>
      <c r="P23" s="58"/>
      <c r="Q23" s="58"/>
      <c r="R23" s="58"/>
      <c r="S23" s="58"/>
      <c r="T23" s="58"/>
      <c r="U23" s="58"/>
      <c r="V23" s="58"/>
      <c r="W23" s="77" t="s">
        <v>2238</v>
      </c>
      <c r="X23" s="58" t="s">
        <v>2179</v>
      </c>
      <c r="Y23" s="52"/>
      <c r="Z23" s="52"/>
      <c r="AA23" s="52"/>
      <c r="AB23" s="52"/>
      <c r="AC23" s="52"/>
    </row>
    <row r="24" ht="47.450000000000003" customHeight="1">
      <c r="A24" s="73">
        <v>12</v>
      </c>
      <c r="B24" s="58" t="s">
        <v>110</v>
      </c>
      <c r="C24" s="58" t="s">
        <v>113</v>
      </c>
      <c r="D24" s="58" t="s">
        <v>138</v>
      </c>
      <c r="E24" s="58" t="s">
        <v>2239</v>
      </c>
      <c r="F24" s="58" t="s">
        <v>210</v>
      </c>
      <c r="G24" s="58" t="s">
        <v>270</v>
      </c>
      <c r="H24" s="58" t="s">
        <v>2240</v>
      </c>
      <c r="I24" s="58" t="s">
        <v>1881</v>
      </c>
      <c r="J24" s="58" t="s">
        <v>2241</v>
      </c>
      <c r="K24" s="74" t="s">
        <v>2242</v>
      </c>
      <c r="L24" s="58"/>
      <c r="M24" s="58"/>
      <c r="N24" s="58"/>
      <c r="O24" s="58"/>
      <c r="P24" s="58"/>
      <c r="Q24" s="58"/>
      <c r="R24" s="58"/>
      <c r="S24" s="58"/>
      <c r="T24" s="58"/>
      <c r="U24" s="58"/>
      <c r="V24" s="58"/>
      <c r="W24" s="58"/>
      <c r="X24" s="58" t="s">
        <v>2179</v>
      </c>
      <c r="Y24" s="52"/>
      <c r="Z24" s="52"/>
      <c r="AA24" s="52"/>
      <c r="AB24" s="52"/>
      <c r="AC24" s="52"/>
    </row>
    <row r="25" ht="33.950000000000003" customHeight="1">
      <c r="A25" s="73">
        <v>13</v>
      </c>
      <c r="B25" s="78"/>
      <c r="C25" s="58" t="s">
        <v>112</v>
      </c>
      <c r="D25" s="58" t="s">
        <v>112</v>
      </c>
      <c r="E25" s="58" t="s">
        <v>2243</v>
      </c>
      <c r="F25" s="58" t="s">
        <v>225</v>
      </c>
      <c r="G25" s="58" t="s">
        <v>275</v>
      </c>
      <c r="H25" s="58" t="s">
        <v>2244</v>
      </c>
      <c r="I25" s="58" t="s">
        <v>2129</v>
      </c>
      <c r="J25" s="58" t="s">
        <v>2245</v>
      </c>
      <c r="K25" s="74" t="s">
        <v>2220</v>
      </c>
      <c r="L25" s="58"/>
      <c r="M25" s="58"/>
      <c r="N25" s="58"/>
      <c r="O25" s="58"/>
      <c r="P25" s="58"/>
      <c r="Q25" s="58"/>
      <c r="R25" s="58"/>
      <c r="S25" s="58"/>
      <c r="T25" s="58"/>
      <c r="U25" s="58"/>
      <c r="V25" s="58"/>
      <c r="W25" s="58"/>
      <c r="X25" s="58" t="s">
        <v>2179</v>
      </c>
      <c r="Y25" s="52"/>
      <c r="Z25" s="52"/>
      <c r="AA25" s="52"/>
      <c r="AB25" s="52"/>
      <c r="AC25" s="52"/>
    </row>
  </sheetData>
  <mergeCells count="33">
    <mergeCell ref="X11:X12"/>
    <mergeCell ref="I11:I12"/>
    <mergeCell ref="G11:G12"/>
    <mergeCell ref="C14:C15"/>
    <mergeCell ref="B24:B25"/>
    <mergeCell ref="W11:W12"/>
    <mergeCell ref="T11:T12"/>
    <mergeCell ref="O11:O12"/>
    <mergeCell ref="K4:K5"/>
    <mergeCell ref="L6:L7"/>
    <mergeCell ref="Q11:Q12"/>
    <mergeCell ref="F11:F12"/>
    <mergeCell ref="L11:L12"/>
    <mergeCell ref="N11:N12"/>
    <mergeCell ref="B14:B18"/>
    <mergeCell ref="C16:C18"/>
    <mergeCell ref="K6:K7"/>
    <mergeCell ref="R11:R12"/>
    <mergeCell ref="R10:V10"/>
    <mergeCell ref="H11:H12"/>
    <mergeCell ref="J11:J12"/>
    <mergeCell ref="P11:P12"/>
    <mergeCell ref="K2:S2"/>
    <mergeCell ref="K11:K12"/>
    <mergeCell ref="L4:L5"/>
    <mergeCell ref="M10:Q10"/>
    <mergeCell ref="V11:V12"/>
    <mergeCell ref="S11:S12"/>
    <mergeCell ref="B11:D11"/>
    <mergeCell ref="U11:U12"/>
    <mergeCell ref="M11:M12"/>
    <mergeCell ref="B19:B23"/>
    <mergeCell ref="C19:C23"/>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2" disablePrompts="0">
        <x14:dataValidation xr:uid="{80873EEE-2A50-4573-B060-CEFDAED9FBA0}" type="list" allowBlank="1" errorStyle="stop" imeMode="noControl" operator="between" showDropDown="0" showErrorMessage="0" showInputMessage="0">
          <x14:formula1>
            <xm:f>"High,Medium,Low,Critical"</xm:f>
          </x14:formula1>
          <xm:sqref>F13:F25</xm:sqref>
        </x14:dataValidation>
        <x14:dataValidation xr:uid="{0434DF3B-9EA7-4F5A-B3A3-40236E12BA89}" type="list" allowBlank="1" errorStyle="stop" imeMode="noControl" operator="between" showDropDown="0" showErrorMessage="0" showInputMessage="0">
          <x14:formula1>
            <xm:f>"Passed,Failed,Pending,Blocked,NA,Not execute"</xm:f>
          </x14:formula1>
          <xm:sqref>M13:M25 R13:R25</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pane ySplit="1" topLeftCell="A2" activePane="bottomLeft" state="frozen"/>
      <selection activeCell="A1" activeCellId="0" sqref="A1"/>
    </sheetView>
  </sheetViews>
  <sheetFormatPr defaultRowHeight="12.75"/>
  <cols>
    <col customWidth="1" min="1" max="1" style="1" width="9"/>
    <col customWidth="1" min="2" max="2" style="1" width="12"/>
    <col customWidth="1" min="3" max="4" style="1" width="52"/>
    <col customWidth="1" min="5" max="5" style="1" width="24"/>
    <col customWidth="1" min="6" max="6" style="1" width="38"/>
    <col customWidth="1" min="7" max="7" style="1" width="14"/>
    <col customWidth="1" min="8" max="8" style="1" width="11"/>
  </cols>
  <sheetData>
    <row r="1" ht="21.949999999999999" customHeight="1">
      <c r="A1" s="70" t="s">
        <v>2204</v>
      </c>
      <c r="B1" s="70" t="s">
        <v>2246</v>
      </c>
      <c r="C1" s="70" t="s">
        <v>2247</v>
      </c>
      <c r="D1" s="70" t="s">
        <v>2248</v>
      </c>
      <c r="E1" s="70" t="s">
        <v>2249</v>
      </c>
      <c r="F1" s="70" t="s">
        <v>2250</v>
      </c>
      <c r="G1" s="70" t="s">
        <v>2251</v>
      </c>
      <c r="H1" s="70" t="s">
        <v>2252</v>
      </c>
    </row>
    <row r="2" ht="47.450000000000003" customHeight="1">
      <c r="A2" s="58" t="s">
        <v>2253</v>
      </c>
      <c r="B2" s="58" t="s">
        <v>144</v>
      </c>
      <c r="C2" s="58" t="s">
        <v>2254</v>
      </c>
      <c r="D2" s="58" t="s">
        <v>2255</v>
      </c>
      <c r="E2" s="58" t="s">
        <v>2256</v>
      </c>
      <c r="F2" s="58" t="s">
        <v>2257</v>
      </c>
      <c r="G2" s="58" t="s">
        <v>2258</v>
      </c>
      <c r="H2" s="58" t="s">
        <v>2259</v>
      </c>
    </row>
    <row r="3" ht="47.450000000000003" customHeight="1">
      <c r="A3" s="58" t="s">
        <v>2260</v>
      </c>
      <c r="B3" s="58" t="s">
        <v>144</v>
      </c>
      <c r="C3" s="58" t="s">
        <v>2261</v>
      </c>
      <c r="D3" s="58" t="s">
        <v>2262</v>
      </c>
      <c r="E3" s="58" t="s">
        <v>2263</v>
      </c>
      <c r="F3" s="58" t="s">
        <v>2264</v>
      </c>
      <c r="G3" s="58" t="s">
        <v>2265</v>
      </c>
      <c r="H3" s="58" t="s">
        <v>2259</v>
      </c>
    </row>
    <row r="4" ht="47.450000000000003" customHeight="1">
      <c r="A4" s="58" t="s">
        <v>2266</v>
      </c>
      <c r="B4" s="58" t="s">
        <v>144</v>
      </c>
      <c r="C4" s="58" t="s">
        <v>2267</v>
      </c>
      <c r="D4" s="58" t="s">
        <v>2268</v>
      </c>
      <c r="E4" s="58" t="s">
        <v>2269</v>
      </c>
      <c r="F4" s="58" t="s">
        <v>2270</v>
      </c>
      <c r="G4" s="58" t="s">
        <v>2265</v>
      </c>
      <c r="H4" s="58" t="s">
        <v>2259</v>
      </c>
    </row>
    <row r="5" ht="60.950000000000003" customHeight="1">
      <c r="A5" s="58" t="s">
        <v>2271</v>
      </c>
      <c r="B5" s="58" t="s">
        <v>144</v>
      </c>
      <c r="C5" s="58" t="s">
        <v>2272</v>
      </c>
      <c r="D5" s="58" t="s">
        <v>2273</v>
      </c>
      <c r="E5" s="58" t="s">
        <v>2274</v>
      </c>
      <c r="F5" s="58" t="s">
        <v>2275</v>
      </c>
      <c r="G5" s="58" t="s">
        <v>2258</v>
      </c>
      <c r="H5" s="58" t="s">
        <v>2259</v>
      </c>
    </row>
    <row r="6" ht="47.450000000000003" customHeight="1">
      <c r="A6" s="58" t="s">
        <v>2276</v>
      </c>
      <c r="B6" s="58" t="s">
        <v>144</v>
      </c>
      <c r="C6" s="58" t="s">
        <v>2277</v>
      </c>
      <c r="D6" s="58" t="s">
        <v>2278</v>
      </c>
      <c r="E6" s="58" t="s">
        <v>2279</v>
      </c>
      <c r="F6" s="58" t="s">
        <v>2280</v>
      </c>
      <c r="G6" s="58" t="s">
        <v>2265</v>
      </c>
      <c r="H6" s="58" t="s">
        <v>2259</v>
      </c>
    </row>
    <row r="7" ht="33.950000000000003" customHeight="1">
      <c r="A7" s="58" t="s">
        <v>2281</v>
      </c>
      <c r="B7" s="58" t="s">
        <v>144</v>
      </c>
      <c r="C7" s="58" t="s">
        <v>2282</v>
      </c>
      <c r="D7" s="58" t="s">
        <v>2283</v>
      </c>
      <c r="E7" s="58" t="s">
        <v>2284</v>
      </c>
      <c r="F7" s="58" t="s">
        <v>2285</v>
      </c>
      <c r="G7" s="58" t="s">
        <v>2265</v>
      </c>
      <c r="H7" s="58" t="s">
        <v>2259</v>
      </c>
    </row>
    <row r="8" ht="33.950000000000003" customHeight="1">
      <c r="A8" s="58" t="s">
        <v>2286</v>
      </c>
      <c r="B8" s="58" t="s">
        <v>144</v>
      </c>
      <c r="C8" s="58" t="s">
        <v>2287</v>
      </c>
      <c r="D8" s="58" t="s">
        <v>2288</v>
      </c>
      <c r="E8" s="58" t="s">
        <v>2289</v>
      </c>
      <c r="F8" s="58" t="s">
        <v>2290</v>
      </c>
      <c r="G8" s="58" t="s">
        <v>2265</v>
      </c>
      <c r="H8" s="58" t="s">
        <v>2259</v>
      </c>
    </row>
    <row r="9" ht="33.950000000000003" customHeight="1">
      <c r="A9" s="58" t="s">
        <v>2291</v>
      </c>
      <c r="B9" s="58" t="s">
        <v>144</v>
      </c>
      <c r="C9" s="58" t="s">
        <v>2292</v>
      </c>
      <c r="D9" s="58" t="s">
        <v>2293</v>
      </c>
      <c r="E9" s="58" t="s">
        <v>2294</v>
      </c>
      <c r="F9" s="58" t="s">
        <v>2295</v>
      </c>
      <c r="G9" s="58" t="s">
        <v>2265</v>
      </c>
      <c r="H9" s="58" t="s">
        <v>2259</v>
      </c>
    </row>
    <row r="10" ht="33.950000000000003" customHeight="1">
      <c r="A10" s="58" t="s">
        <v>2296</v>
      </c>
      <c r="B10" s="58" t="s">
        <v>144</v>
      </c>
      <c r="C10" s="58" t="s">
        <v>2297</v>
      </c>
      <c r="D10" s="58" t="s">
        <v>2298</v>
      </c>
      <c r="E10" s="58" t="s">
        <v>2299</v>
      </c>
      <c r="F10" s="58" t="s">
        <v>2300</v>
      </c>
      <c r="G10" s="58" t="s">
        <v>2258</v>
      </c>
      <c r="H10" s="58" t="s">
        <v>2259</v>
      </c>
    </row>
    <row r="11" ht="47.450000000000003" customHeight="1">
      <c r="A11" s="58" t="s">
        <v>2301</v>
      </c>
      <c r="B11" s="58" t="s">
        <v>144</v>
      </c>
      <c r="C11" s="58" t="s">
        <v>2302</v>
      </c>
      <c r="D11" s="58" t="s">
        <v>2303</v>
      </c>
      <c r="E11" s="58" t="s">
        <v>2304</v>
      </c>
      <c r="F11" s="58" t="s">
        <v>2305</v>
      </c>
      <c r="G11" s="58" t="s">
        <v>2265</v>
      </c>
      <c r="H11" s="58" t="s">
        <v>2259</v>
      </c>
    </row>
    <row r="12" ht="47.450000000000003" customHeight="1">
      <c r="A12" s="58" t="s">
        <v>2306</v>
      </c>
      <c r="B12" s="58" t="s">
        <v>144</v>
      </c>
      <c r="C12" s="58" t="s">
        <v>2307</v>
      </c>
      <c r="D12" s="58" t="s">
        <v>2308</v>
      </c>
      <c r="E12" s="58" t="s">
        <v>2309</v>
      </c>
      <c r="F12" s="58" t="s">
        <v>2310</v>
      </c>
      <c r="G12" s="58" t="s">
        <v>2258</v>
      </c>
      <c r="H12" s="58" t="s">
        <v>2259</v>
      </c>
    </row>
    <row r="13" ht="33.950000000000003" customHeight="1">
      <c r="A13" s="58" t="s">
        <v>2311</v>
      </c>
      <c r="B13" s="58" t="s">
        <v>144</v>
      </c>
      <c r="C13" s="58" t="s">
        <v>2312</v>
      </c>
      <c r="D13" s="58" t="s">
        <v>2313</v>
      </c>
      <c r="E13" s="58" t="s">
        <v>2314</v>
      </c>
      <c r="F13" s="58" t="s">
        <v>2315</v>
      </c>
      <c r="G13" s="58" t="s">
        <v>2258</v>
      </c>
      <c r="H13" s="58" t="s">
        <v>2259</v>
      </c>
    </row>
    <row r="14" ht="33.950000000000003" customHeight="1">
      <c r="A14" s="58" t="s">
        <v>2316</v>
      </c>
      <c r="B14" s="58" t="s">
        <v>164</v>
      </c>
      <c r="C14" s="58" t="s">
        <v>2317</v>
      </c>
      <c r="D14" s="58" t="s">
        <v>2318</v>
      </c>
      <c r="E14" s="58" t="s">
        <v>2319</v>
      </c>
      <c r="F14" s="58" t="s">
        <v>2320</v>
      </c>
      <c r="G14" s="58" t="s">
        <v>2258</v>
      </c>
      <c r="H14" s="58" t="s">
        <v>2259</v>
      </c>
    </row>
    <row r="15" ht="47.450000000000003" customHeight="1">
      <c r="A15" s="58" t="s">
        <v>2321</v>
      </c>
      <c r="B15" s="58" t="s">
        <v>164</v>
      </c>
      <c r="C15" s="58" t="s">
        <v>2322</v>
      </c>
      <c r="D15" s="58" t="s">
        <v>2323</v>
      </c>
      <c r="E15" s="58" t="s">
        <v>2324</v>
      </c>
      <c r="F15" s="58" t="s">
        <v>2325</v>
      </c>
      <c r="G15" s="58" t="s">
        <v>2265</v>
      </c>
      <c r="H15" s="58" t="s">
        <v>2259</v>
      </c>
    </row>
    <row r="16" ht="33.950000000000003" customHeight="1">
      <c r="A16" s="58" t="s">
        <v>2326</v>
      </c>
      <c r="B16" s="58" t="s">
        <v>164</v>
      </c>
      <c r="C16" s="58" t="s">
        <v>2327</v>
      </c>
      <c r="D16" s="58" t="s">
        <v>2328</v>
      </c>
      <c r="E16" s="58" t="s">
        <v>2329</v>
      </c>
      <c r="F16" s="58" t="s">
        <v>2330</v>
      </c>
      <c r="G16" s="58" t="s">
        <v>2258</v>
      </c>
      <c r="H16" s="58" t="s">
        <v>2259</v>
      </c>
    </row>
    <row r="17" ht="47.450000000000003" customHeight="1">
      <c r="A17" s="58" t="s">
        <v>2331</v>
      </c>
      <c r="B17" s="58" t="s">
        <v>2332</v>
      </c>
      <c r="C17" s="58" t="s">
        <v>2333</v>
      </c>
      <c r="D17" s="58" t="s">
        <v>2334</v>
      </c>
      <c r="E17" s="58" t="s">
        <v>2335</v>
      </c>
      <c r="F17" s="58" t="s">
        <v>2336</v>
      </c>
      <c r="G17" s="58" t="s">
        <v>2336</v>
      </c>
      <c r="H17" s="58" t="s">
        <v>2259</v>
      </c>
    </row>
    <row r="18" ht="33.950000000000003" customHeight="1">
      <c r="A18" s="58" t="s">
        <v>2337</v>
      </c>
      <c r="B18" s="58" t="s">
        <v>2332</v>
      </c>
      <c r="C18" s="58" t="s">
        <v>2338</v>
      </c>
      <c r="D18" s="58" t="s">
        <v>2339</v>
      </c>
      <c r="E18" s="58" t="s">
        <v>2340</v>
      </c>
      <c r="F18" s="58" t="s">
        <v>2336</v>
      </c>
      <c r="G18" s="58" t="s">
        <v>2336</v>
      </c>
      <c r="H18" s="58" t="s">
        <v>2259</v>
      </c>
    </row>
    <row r="19" ht="47.450000000000003" customHeight="1">
      <c r="A19" s="58" t="s">
        <v>2341</v>
      </c>
      <c r="B19" s="58" t="s">
        <v>2332</v>
      </c>
      <c r="C19" s="58" t="s">
        <v>2342</v>
      </c>
      <c r="D19" s="58" t="s">
        <v>2343</v>
      </c>
      <c r="E19" s="58" t="s">
        <v>2344</v>
      </c>
      <c r="F19" s="58" t="s">
        <v>2336</v>
      </c>
      <c r="G19" s="58" t="s">
        <v>2336</v>
      </c>
      <c r="H19" s="58" t="s">
        <v>2259</v>
      </c>
    </row>
    <row r="20" ht="47.450000000000003" customHeight="1">
      <c r="A20" s="58" t="s">
        <v>2345</v>
      </c>
      <c r="B20" s="58" t="s">
        <v>43</v>
      </c>
      <c r="C20" s="58" t="s">
        <v>2346</v>
      </c>
      <c r="D20" s="58" t="s">
        <v>2347</v>
      </c>
      <c r="E20" s="58" t="s">
        <v>2348</v>
      </c>
      <c r="F20" s="58" t="s">
        <v>2349</v>
      </c>
      <c r="G20" s="58" t="s">
        <v>2265</v>
      </c>
      <c r="H20" s="58" t="s">
        <v>2259</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3" activeCellId="0" sqref="A13"/>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bestFit="1" customWidth="1" min="22" max="22" style="49" width="7.4257812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1253</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1254</v>
      </c>
      <c r="D4" s="59"/>
      <c r="E4" s="52"/>
      <c r="F4" s="52"/>
      <c r="G4" s="52"/>
      <c r="H4" s="52"/>
      <c r="I4" s="52"/>
      <c r="J4" s="52"/>
      <c r="K4" s="54" t="s">
        <v>176</v>
      </c>
      <c r="L4" s="60">
        <f>COUNTA($G$13:$G$178)</f>
      </c>
      <c r="M4" s="61">
        <f>COUNTIF($M$13:$M$178,M3)</f>
      </c>
      <c r="N4" s="61">
        <f>COUNTIF($M$13:$M$178,N3)</f>
      </c>
      <c r="O4" s="61">
        <f>COUNTIF($M$13:$M$178,O3)</f>
      </c>
      <c r="P4" s="62">
        <f>COUNTIF($M$13:$M$178,P3)</f>
      </c>
      <c r="Q4" s="61">
        <f>COUNTIF($M$13:$M$178,Q3)</f>
      </c>
      <c r="R4" s="61">
        <f>L4-SUM(M4:Q4)</f>
      </c>
      <c r="S4" s="63"/>
      <c r="T4" s="52"/>
      <c r="U4" s="52"/>
      <c r="V4" s="52"/>
      <c r="W4" s="52"/>
      <c r="X4" s="52"/>
      <c r="Y4" s="52"/>
      <c r="Z4" s="52"/>
      <c r="AA4" s="52"/>
      <c r="AB4" s="52"/>
      <c r="AC4" s="52"/>
    </row>
    <row r="5" ht="15.75" customHeight="1">
      <c r="A5" s="51"/>
      <c r="B5" s="54" t="s">
        <v>3</v>
      </c>
      <c r="C5" s="55" t="s">
        <v>177</v>
      </c>
      <c r="D5" s="59"/>
      <c r="E5" s="52"/>
      <c r="F5" s="52"/>
      <c r="G5" s="52"/>
      <c r="H5" s="52"/>
      <c r="I5" s="52"/>
      <c r="J5" s="52"/>
      <c r="K5" s="12"/>
      <c r="L5" s="12"/>
      <c r="M5" s="64">
        <f t="shared" ref="M5:R5" si="20">M4/$L$4</f>
      </c>
      <c r="N5" s="64">
        <f t="shared" si="20"/>
      </c>
      <c r="O5" s="64">
        <f t="shared" si="20"/>
      </c>
      <c r="P5" s="65">
        <f t="shared" si="20"/>
      </c>
      <c r="Q5" s="64">
        <f t="shared" si="20"/>
      </c>
      <c r="R5" s="64">
        <f t="shared" si="20"/>
      </c>
      <c r="S5" s="52"/>
      <c r="T5" s="52"/>
      <c r="U5" s="52"/>
      <c r="V5" s="52"/>
      <c r="W5" s="52"/>
      <c r="X5" s="52"/>
      <c r="Y5" s="52"/>
      <c r="Z5" s="52"/>
      <c r="AA5" s="52"/>
      <c r="AB5" s="52"/>
      <c r="AC5" s="52"/>
    </row>
    <row r="6" ht="15.75" customHeight="1">
      <c r="A6" s="51"/>
      <c r="B6" s="54" t="s">
        <v>178</v>
      </c>
      <c r="C6" s="55" t="s">
        <v>55</v>
      </c>
      <c r="D6" s="59"/>
      <c r="E6" s="52"/>
      <c r="F6" s="52"/>
      <c r="G6" s="52"/>
      <c r="H6" s="52"/>
      <c r="I6" s="52"/>
      <c r="J6" s="52"/>
      <c r="K6" s="54" t="s">
        <v>179</v>
      </c>
      <c r="L6" s="60">
        <f>COUNTA($G$13:$G$178)</f>
      </c>
      <c r="M6" s="61">
        <f>COUNTIF($R$13:$R$178,M3)</f>
      </c>
      <c r="N6" s="61">
        <f>COUNTIF($R$13:$R$178,N3)</f>
      </c>
      <c r="O6" s="61">
        <f>COUNTIF($R$13:$R$178,O3)</f>
      </c>
      <c r="P6" s="62">
        <f>COUNTIF($R$13:$R$178,P3)</f>
      </c>
      <c r="Q6" s="61">
        <f>COUNTIF($R$13:$R$178,Q3)</f>
      </c>
      <c r="R6" s="61">
        <f>L6-SUM(M6:Q6)</f>
      </c>
      <c r="S6" s="63"/>
      <c r="T6" s="52"/>
      <c r="U6" s="52"/>
      <c r="V6" s="52"/>
      <c r="W6" s="52"/>
      <c r="X6" s="52"/>
      <c r="Y6" s="52"/>
      <c r="Z6" s="52"/>
      <c r="AA6" s="52"/>
      <c r="AB6" s="52"/>
      <c r="AC6" s="52"/>
    </row>
    <row r="7" ht="36" customHeight="1">
      <c r="A7" s="51"/>
      <c r="B7" s="54" t="s">
        <v>17</v>
      </c>
      <c r="C7" s="55" t="s">
        <v>1255</v>
      </c>
      <c r="D7" s="68"/>
      <c r="E7" s="52"/>
      <c r="F7" s="52"/>
      <c r="G7" s="52"/>
      <c r="H7" s="52"/>
      <c r="I7" s="52"/>
      <c r="J7" s="52"/>
      <c r="K7" s="12"/>
      <c r="L7" s="12"/>
      <c r="M7" s="64">
        <f t="shared" ref="M7:R7" si="21">M6/$L$6</f>
      </c>
      <c r="N7" s="64">
        <f t="shared" si="21"/>
      </c>
      <c r="O7" s="64">
        <f t="shared" si="21"/>
      </c>
      <c r="P7" s="65">
        <f t="shared" si="21"/>
      </c>
      <c r="Q7" s="64">
        <f t="shared" si="21"/>
      </c>
      <c r="R7" s="64">
        <f t="shared" si="21"/>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customHeight="1" ht="60.0">
      <c r="A13" s="73">
        <v>1</v>
      </c>
      <c r="B13" s="116" t="s">
        <v>80</v>
      </c>
      <c r="C13" s="116" t="s">
        <v>117</v>
      </c>
      <c r="D13" s="117" t="s">
        <v>500</v>
      </c>
      <c r="E13" s="58" t="s">
        <v>1256</v>
      </c>
      <c r="F13" s="58" t="s">
        <v>203</v>
      </c>
      <c r="G13" s="58" t="s">
        <v>1257</v>
      </c>
      <c r="H13" s="58" t="s">
        <v>1258</v>
      </c>
      <c r="I13" s="58" t="s">
        <v>1259</v>
      </c>
      <c r="J13" s="58" t="s">
        <v>1260</v>
      </c>
      <c r="K13" s="74" t="s">
        <v>1261</v>
      </c>
      <c r="L13" s="58"/>
      <c r="M13" s="58"/>
      <c r="N13" s="58"/>
      <c r="O13" s="58"/>
      <c r="P13" s="58"/>
      <c r="Q13" s="58"/>
      <c r="R13" s="58"/>
      <c r="S13" s="58"/>
      <c r="T13" s="58"/>
      <c r="U13" s="58"/>
      <c r="V13" s="58"/>
      <c r="W13" s="105"/>
      <c r="X13" s="58" t="s">
        <v>2350</v>
      </c>
      <c r="Y13" s="52"/>
      <c r="Z13" s="52"/>
      <c r="AA13" s="52"/>
      <c r="AB13" s="52"/>
      <c r="AC13" s="52"/>
    </row>
    <row r="14" customHeight="1" ht="48.6">
      <c r="A14" s="73">
        <v>2</v>
      </c>
      <c r="B14" s="116"/>
      <c r="C14" s="118"/>
      <c r="D14" s="117" t="s">
        <v>508</v>
      </c>
      <c r="E14" s="58" t="s">
        <v>209</v>
      </c>
      <c r="F14" s="58" t="s">
        <v>210</v>
      </c>
      <c r="G14" s="58" t="s">
        <v>1264</v>
      </c>
      <c r="H14" s="58" t="s">
        <v>2351</v>
      </c>
      <c r="I14" s="58" t="s">
        <v>1259</v>
      </c>
      <c r="J14" s="58" t="s">
        <v>2352</v>
      </c>
      <c r="K14" s="74" t="s">
        <v>2353</v>
      </c>
      <c r="L14" s="58"/>
      <c r="M14" s="58"/>
      <c r="N14" s="58"/>
      <c r="O14" s="58"/>
      <c r="P14" s="58"/>
      <c r="Q14" s="58"/>
      <c r="R14" s="58"/>
      <c r="S14" s="58"/>
      <c r="T14" s="58"/>
      <c r="U14" s="58"/>
      <c r="V14" s="58"/>
      <c r="W14" s="105"/>
      <c r="X14" s="58" t="s">
        <v>2350</v>
      </c>
      <c r="Y14" s="52"/>
      <c r="Z14" s="52"/>
      <c r="AA14" s="52"/>
      <c r="AB14" s="52"/>
      <c r="AC14" s="52"/>
    </row>
    <row r="15" customHeight="1" ht="60.0">
      <c r="A15" s="73">
        <v>3</v>
      </c>
      <c r="B15" s="116"/>
      <c r="C15" s="116" t="s">
        <v>118</v>
      </c>
      <c r="D15" s="116" t="s">
        <v>513</v>
      </c>
      <c r="E15" s="58" t="s">
        <v>2354</v>
      </c>
      <c r="F15" s="58" t="s">
        <v>203</v>
      </c>
      <c r="G15" s="58" t="s">
        <v>1271</v>
      </c>
      <c r="H15" s="58" t="s">
        <v>1265</v>
      </c>
      <c r="I15" s="58" t="s">
        <v>2355</v>
      </c>
      <c r="J15" s="58" t="s">
        <v>2356</v>
      </c>
      <c r="K15" s="74" t="s">
        <v>2357</v>
      </c>
      <c r="L15" s="58"/>
      <c r="M15" s="58"/>
      <c r="N15" s="58"/>
      <c r="O15" s="58"/>
      <c r="P15" s="58"/>
      <c r="Q15" s="58"/>
      <c r="R15" s="58"/>
      <c r="S15" s="58"/>
      <c r="T15" s="58"/>
      <c r="U15" s="58"/>
      <c r="V15" s="58"/>
      <c r="W15" s="105"/>
      <c r="X15" s="58" t="s">
        <v>2358</v>
      </c>
      <c r="Y15" s="52"/>
      <c r="Z15" s="52"/>
      <c r="AA15" s="52"/>
      <c r="AB15" s="52"/>
      <c r="AC15" s="52"/>
    </row>
    <row r="16" customHeight="1" ht="60.0">
      <c r="A16" s="73">
        <v>4</v>
      </c>
      <c r="B16" s="116"/>
      <c r="C16" s="116"/>
      <c r="D16" s="118"/>
      <c r="E16" s="58" t="s">
        <v>2359</v>
      </c>
      <c r="F16" s="58" t="s">
        <v>203</v>
      </c>
      <c r="G16" s="58" t="s">
        <v>1278</v>
      </c>
      <c r="H16" s="58" t="s">
        <v>2360</v>
      </c>
      <c r="I16" s="58" t="s">
        <v>2361</v>
      </c>
      <c r="J16" s="58" t="s">
        <v>2362</v>
      </c>
      <c r="K16" s="74" t="s">
        <v>2363</v>
      </c>
      <c r="L16" s="58"/>
      <c r="M16" s="58"/>
      <c r="N16" s="58"/>
      <c r="O16" s="58"/>
      <c r="P16" s="58"/>
      <c r="Q16" s="58"/>
      <c r="R16" s="58"/>
      <c r="S16" s="58"/>
      <c r="T16" s="58"/>
      <c r="U16" s="58"/>
      <c r="V16" s="58"/>
      <c r="W16" s="105"/>
      <c r="X16" s="58" t="s">
        <v>2358</v>
      </c>
      <c r="Y16" s="52"/>
      <c r="Z16" s="52"/>
      <c r="AA16" s="52"/>
      <c r="AB16" s="52"/>
      <c r="AC16" s="52"/>
    </row>
    <row r="17" customHeight="1" ht="48.6">
      <c r="A17" s="73">
        <v>5</v>
      </c>
      <c r="B17" s="116"/>
      <c r="C17" s="116"/>
      <c r="D17" s="116" t="s">
        <v>508</v>
      </c>
      <c r="E17" s="58" t="s">
        <v>2364</v>
      </c>
      <c r="F17" s="58" t="s">
        <v>210</v>
      </c>
      <c r="G17" s="58" t="s">
        <v>1283</v>
      </c>
      <c r="H17" s="58" t="s">
        <v>2365</v>
      </c>
      <c r="I17" s="58" t="s">
        <v>2355</v>
      </c>
      <c r="J17" s="58" t="s">
        <v>2366</v>
      </c>
      <c r="K17" s="74" t="s">
        <v>2367</v>
      </c>
      <c r="L17" s="58"/>
      <c r="M17" s="58"/>
      <c r="N17" s="58"/>
      <c r="O17" s="58"/>
      <c r="P17" s="58"/>
      <c r="Q17" s="58"/>
      <c r="R17" s="58"/>
      <c r="S17" s="58"/>
      <c r="T17" s="58"/>
      <c r="U17" s="58"/>
      <c r="V17" s="58"/>
      <c r="W17" s="105"/>
      <c r="X17" s="58" t="s">
        <v>2358</v>
      </c>
      <c r="Y17" s="52"/>
      <c r="Z17" s="52"/>
      <c r="AA17" s="52"/>
      <c r="AB17" s="52"/>
      <c r="AC17" s="52"/>
    </row>
    <row r="18" customHeight="1" ht="60.0">
      <c r="A18" s="73">
        <v>6</v>
      </c>
      <c r="B18" s="118"/>
      <c r="C18" s="118"/>
      <c r="D18" s="118"/>
      <c r="E18" s="58" t="s">
        <v>2368</v>
      </c>
      <c r="F18" s="58" t="s">
        <v>210</v>
      </c>
      <c r="G18" s="58" t="s">
        <v>1287</v>
      </c>
      <c r="H18" s="58" t="s">
        <v>2369</v>
      </c>
      <c r="I18" s="58" t="s">
        <v>1259</v>
      </c>
      <c r="J18" s="58" t="s">
        <v>2370</v>
      </c>
      <c r="K18" s="74" t="s">
        <v>2371</v>
      </c>
      <c r="L18" s="58"/>
      <c r="M18" s="58"/>
      <c r="N18" s="58"/>
      <c r="O18" s="58"/>
      <c r="P18" s="58"/>
      <c r="Q18" s="58"/>
      <c r="R18" s="58"/>
      <c r="S18" s="58"/>
      <c r="T18" s="58"/>
      <c r="U18" s="58"/>
      <c r="V18" s="58"/>
      <c r="W18" s="105"/>
      <c r="X18" s="58" t="s">
        <v>2358</v>
      </c>
      <c r="Y18" s="52"/>
      <c r="Z18" s="52"/>
      <c r="AA18" s="52"/>
      <c r="AB18" s="52"/>
      <c r="AC18" s="52"/>
    </row>
    <row r="19" customHeight="1" ht="87.0">
      <c r="A19" s="73">
        <v>7</v>
      </c>
      <c r="B19" s="116" t="s">
        <v>120</v>
      </c>
      <c r="C19" s="117" t="s">
        <v>93</v>
      </c>
      <c r="D19" s="117" t="s">
        <v>268</v>
      </c>
      <c r="E19" s="58" t="s">
        <v>531</v>
      </c>
      <c r="F19" s="58" t="s">
        <v>210</v>
      </c>
      <c r="G19" s="58" t="s">
        <v>1292</v>
      </c>
      <c r="H19" s="58" t="s">
        <v>2373</v>
      </c>
      <c r="I19" s="58" t="s">
        <v>1259</v>
      </c>
      <c r="J19" s="58" t="s">
        <v>1289</v>
      </c>
      <c r="K19" s="74" t="s">
        <v>2374</v>
      </c>
      <c r="L19" s="58"/>
      <c r="M19" s="58"/>
      <c r="N19" s="58"/>
      <c r="O19" s="58"/>
      <c r="P19" s="58"/>
      <c r="Q19" s="58"/>
      <c r="R19" s="58"/>
      <c r="S19" s="58"/>
      <c r="T19" s="58"/>
      <c r="U19" s="58"/>
      <c r="V19" s="58"/>
      <c r="W19" s="105"/>
      <c r="X19" s="58" t="s">
        <v>2350</v>
      </c>
      <c r="Y19" s="52"/>
      <c r="Z19" s="52"/>
      <c r="AA19" s="52"/>
      <c r="AB19" s="52"/>
      <c r="AC19" s="52"/>
    </row>
    <row r="20" customHeight="1" ht="48.6">
      <c r="A20" s="73">
        <v>8</v>
      </c>
      <c r="B20" s="116"/>
      <c r="C20" s="116" t="s">
        <v>127</v>
      </c>
      <c r="D20" s="116" t="s">
        <v>268</v>
      </c>
      <c r="E20" s="58" t="s">
        <v>1297</v>
      </c>
      <c r="F20" s="58" t="s">
        <v>203</v>
      </c>
      <c r="G20" s="58" t="s">
        <v>1298</v>
      </c>
      <c r="H20" s="58" t="s">
        <v>2375</v>
      </c>
      <c r="I20" s="58" t="s">
        <v>1259</v>
      </c>
      <c r="J20" s="58" t="s">
        <v>2376</v>
      </c>
      <c r="K20" s="74" t="s">
        <v>2377</v>
      </c>
      <c r="L20" s="58"/>
      <c r="M20" s="58"/>
      <c r="N20" s="58"/>
      <c r="O20" s="58"/>
      <c r="P20" s="58"/>
      <c r="Q20" s="58"/>
      <c r="R20" s="58"/>
      <c r="S20" s="58"/>
      <c r="T20" s="58"/>
      <c r="U20" s="58"/>
      <c r="V20" s="58"/>
      <c r="W20" s="105"/>
      <c r="X20" s="58" t="s">
        <v>2378</v>
      </c>
      <c r="Y20" s="52"/>
      <c r="Z20" s="52"/>
      <c r="AA20" s="52"/>
      <c r="AB20" s="52"/>
      <c r="AC20" s="52"/>
    </row>
    <row r="21" customHeight="1" ht="48.6">
      <c r="A21" s="73">
        <v>9</v>
      </c>
      <c r="B21" s="116"/>
      <c r="C21" s="116"/>
      <c r="D21" s="118"/>
      <c r="E21" s="58" t="s">
        <v>1291</v>
      </c>
      <c r="F21" s="58" t="s">
        <v>210</v>
      </c>
      <c r="G21" s="58" t="s">
        <v>1303</v>
      </c>
      <c r="H21" s="58" t="s">
        <v>2379</v>
      </c>
      <c r="I21" s="58" t="s">
        <v>1259</v>
      </c>
      <c r="J21" s="58" t="s">
        <v>2376</v>
      </c>
      <c r="K21" s="74" t="s">
        <v>2380</v>
      </c>
      <c r="L21" s="58"/>
      <c r="M21" s="58"/>
      <c r="N21" s="58"/>
      <c r="O21" s="58"/>
      <c r="P21" s="58"/>
      <c r="Q21" s="58"/>
      <c r="R21" s="58"/>
      <c r="S21" s="58"/>
      <c r="T21" s="58"/>
      <c r="U21" s="58"/>
      <c r="V21" s="58"/>
      <c r="W21" s="105"/>
      <c r="X21" s="58" t="s">
        <v>2378</v>
      </c>
      <c r="Y21" s="52"/>
      <c r="Z21" s="52"/>
      <c r="AA21" s="52"/>
      <c r="AB21" s="52"/>
      <c r="AC21" s="52"/>
    </row>
    <row r="22" customHeight="1" ht="48.6">
      <c r="A22" s="73">
        <v>10</v>
      </c>
      <c r="B22" s="116"/>
      <c r="C22" s="116"/>
      <c r="D22" s="116" t="s">
        <v>552</v>
      </c>
      <c r="E22" s="58" t="s">
        <v>2381</v>
      </c>
      <c r="F22" s="58" t="s">
        <v>203</v>
      </c>
      <c r="G22" s="58" t="s">
        <v>1308</v>
      </c>
      <c r="H22" s="58" t="s">
        <v>2382</v>
      </c>
      <c r="I22" s="58" t="s">
        <v>1259</v>
      </c>
      <c r="J22" s="58" t="s">
        <v>1549</v>
      </c>
      <c r="K22" s="74" t="s">
        <v>2383</v>
      </c>
      <c r="L22" s="58"/>
      <c r="M22" s="58"/>
      <c r="N22" s="58"/>
      <c r="O22" s="58"/>
      <c r="P22" s="58"/>
      <c r="Q22" s="58"/>
      <c r="R22" s="58"/>
      <c r="S22" s="58"/>
      <c r="T22" s="58"/>
      <c r="U22" s="58"/>
      <c r="V22" s="58"/>
      <c r="W22" s="105"/>
      <c r="X22" s="58" t="s">
        <v>2378</v>
      </c>
      <c r="Y22" s="52"/>
      <c r="Z22" s="52"/>
      <c r="AA22" s="52"/>
      <c r="AB22" s="52"/>
      <c r="AC22" s="52"/>
    </row>
    <row r="23" customHeight="1" ht="154.5">
      <c r="A23" s="73">
        <v>11</v>
      </c>
      <c r="B23" s="116"/>
      <c r="C23" s="116"/>
      <c r="D23" s="116"/>
      <c r="E23" s="58" t="s">
        <v>2384</v>
      </c>
      <c r="F23" s="58" t="s">
        <v>210</v>
      </c>
      <c r="G23" s="58" t="s">
        <v>1312</v>
      </c>
      <c r="H23" s="58" t="s">
        <v>2385</v>
      </c>
      <c r="I23" s="58" t="s">
        <v>1259</v>
      </c>
      <c r="J23" s="58" t="s">
        <v>2386</v>
      </c>
      <c r="K23" s="74" t="s">
        <v>2387</v>
      </c>
      <c r="L23" s="58"/>
      <c r="M23" s="58"/>
      <c r="N23" s="58"/>
      <c r="O23" s="58"/>
      <c r="P23" s="58"/>
      <c r="Q23" s="58"/>
      <c r="R23" s="58"/>
      <c r="S23" s="58"/>
      <c r="T23" s="58"/>
      <c r="U23" s="58"/>
      <c r="V23" s="58"/>
      <c r="W23" s="77" t="s">
        <v>2388</v>
      </c>
      <c r="X23" s="58" t="s">
        <v>2378</v>
      </c>
      <c r="Y23" s="52"/>
      <c r="Z23" s="52"/>
      <c r="AA23" s="52"/>
      <c r="AB23" s="52"/>
      <c r="AC23" s="52"/>
    </row>
    <row r="24" customHeight="1" ht="114.0">
      <c r="A24" s="73">
        <v>12</v>
      </c>
      <c r="B24" s="116"/>
      <c r="C24" s="116"/>
      <c r="D24" s="118"/>
      <c r="E24" s="58" t="s">
        <v>2389</v>
      </c>
      <c r="F24" s="58" t="s">
        <v>210</v>
      </c>
      <c r="G24" s="58" t="s">
        <v>1317</v>
      </c>
      <c r="H24" s="58" t="s">
        <v>2390</v>
      </c>
      <c r="I24" s="58" t="s">
        <v>1259</v>
      </c>
      <c r="J24" s="58" t="s">
        <v>2391</v>
      </c>
      <c r="K24" s="74" t="s">
        <v>2392</v>
      </c>
      <c r="L24" s="58"/>
      <c r="M24" s="58"/>
      <c r="N24" s="58"/>
      <c r="O24" s="58"/>
      <c r="P24" s="58"/>
      <c r="Q24" s="58"/>
      <c r="R24" s="58"/>
      <c r="S24" s="58"/>
      <c r="T24" s="58"/>
      <c r="U24" s="58"/>
      <c r="V24" s="58"/>
      <c r="W24" s="105"/>
      <c r="X24" s="58" t="s">
        <v>2378</v>
      </c>
      <c r="Y24" s="52"/>
      <c r="Z24" s="52"/>
      <c r="AA24" s="52"/>
      <c r="AB24" s="52"/>
      <c r="AC24" s="52"/>
    </row>
    <row r="25" customHeight="1" ht="60.0">
      <c r="A25" s="73">
        <v>13</v>
      </c>
      <c r="B25" s="116"/>
      <c r="C25" s="116"/>
      <c r="D25" s="116" t="s">
        <v>1573</v>
      </c>
      <c r="E25" s="58" t="s">
        <v>2393</v>
      </c>
      <c r="F25" s="58" t="s">
        <v>210</v>
      </c>
      <c r="G25" s="58" t="s">
        <v>1337</v>
      </c>
      <c r="H25" s="58" t="s">
        <v>2394</v>
      </c>
      <c r="I25" s="58" t="s">
        <v>1259</v>
      </c>
      <c r="J25" s="58" t="s">
        <v>1577</v>
      </c>
      <c r="K25" s="74" t="s">
        <v>2395</v>
      </c>
      <c r="L25" s="58"/>
      <c r="M25" s="58"/>
      <c r="N25" s="58"/>
      <c r="O25" s="58"/>
      <c r="P25" s="58"/>
      <c r="Q25" s="58"/>
      <c r="R25" s="58"/>
      <c r="S25" s="58"/>
      <c r="T25" s="58"/>
      <c r="U25" s="58"/>
      <c r="V25" s="58"/>
      <c r="W25" s="77" t="s">
        <v>3109</v>
      </c>
      <c r="X25" s="58" t="s">
        <v>2378</v>
      </c>
      <c r="Y25" s="52"/>
      <c r="Z25" s="52"/>
      <c r="AA25" s="52"/>
      <c r="AB25" s="52"/>
      <c r="AC25" s="52"/>
    </row>
    <row r="26" customHeight="1" ht="60.0">
      <c r="A26" s="73">
        <v>14</v>
      </c>
      <c r="B26" s="116"/>
      <c r="C26" s="116"/>
      <c r="D26" s="116"/>
      <c r="E26" s="58" t="s">
        <v>2397</v>
      </c>
      <c r="F26" s="58" t="s">
        <v>210</v>
      </c>
      <c r="G26" s="58" t="s">
        <v>1342</v>
      </c>
      <c r="H26" s="58" t="s">
        <v>2398</v>
      </c>
      <c r="I26" s="58" t="s">
        <v>1259</v>
      </c>
      <c r="J26" s="58" t="s">
        <v>1582</v>
      </c>
      <c r="K26" s="74" t="s">
        <v>2395</v>
      </c>
      <c r="L26" s="58"/>
      <c r="M26" s="58"/>
      <c r="N26" s="58"/>
      <c r="O26" s="58"/>
      <c r="P26" s="58"/>
      <c r="Q26" s="58"/>
      <c r="R26" s="58"/>
      <c r="S26" s="58"/>
      <c r="T26" s="58"/>
      <c r="U26" s="58"/>
      <c r="V26" s="58"/>
      <c r="W26" s="77" t="s">
        <v>3109</v>
      </c>
      <c r="X26" s="58" t="s">
        <v>2378</v>
      </c>
      <c r="Y26" s="52"/>
      <c r="Z26" s="52"/>
      <c r="AA26" s="52"/>
      <c r="AB26" s="52"/>
      <c r="AC26" s="52"/>
    </row>
    <row r="27" customHeight="1" ht="73.5">
      <c r="A27" s="73">
        <v>15</v>
      </c>
      <c r="B27" s="116"/>
      <c r="C27" s="116"/>
      <c r="D27" s="118"/>
      <c r="E27" s="58" t="s">
        <v>2399</v>
      </c>
      <c r="F27" s="58" t="s">
        <v>203</v>
      </c>
      <c r="G27" s="58" t="s">
        <v>1348</v>
      </c>
      <c r="H27" s="58" t="s">
        <v>2400</v>
      </c>
      <c r="I27" s="58" t="s">
        <v>1259</v>
      </c>
      <c r="J27" s="58" t="s">
        <v>2401</v>
      </c>
      <c r="K27" s="74" t="s">
        <v>2402</v>
      </c>
      <c r="L27" s="58"/>
      <c r="M27" s="58"/>
      <c r="N27" s="58"/>
      <c r="O27" s="58"/>
      <c r="P27" s="58"/>
      <c r="Q27" s="58"/>
      <c r="R27" s="58"/>
      <c r="S27" s="58"/>
      <c r="T27" s="58"/>
      <c r="U27" s="58"/>
      <c r="V27" s="58"/>
      <c r="W27" s="77" t="s">
        <v>2403</v>
      </c>
      <c r="X27" s="58" t="s">
        <v>2378</v>
      </c>
      <c r="Y27" s="52"/>
      <c r="Z27" s="52"/>
      <c r="AA27" s="52"/>
      <c r="AB27" s="52"/>
      <c r="AC27" s="52"/>
    </row>
    <row r="28" customHeight="1" ht="73.5">
      <c r="A28" s="73">
        <v>16</v>
      </c>
      <c r="B28" s="116"/>
      <c r="C28" s="116"/>
      <c r="D28" s="116" t="s">
        <v>2404</v>
      </c>
      <c r="E28" s="58" t="s">
        <v>2405</v>
      </c>
      <c r="F28" s="58" t="s">
        <v>203</v>
      </c>
      <c r="G28" s="58" t="s">
        <v>1354</v>
      </c>
      <c r="H28" s="58" t="s">
        <v>2406</v>
      </c>
      <c r="I28" s="58" t="s">
        <v>2407</v>
      </c>
      <c r="J28" s="58" t="s">
        <v>2408</v>
      </c>
      <c r="K28" s="74" t="s">
        <v>2413</v>
      </c>
      <c r="L28" s="58"/>
      <c r="M28" s="58"/>
      <c r="N28" s="58"/>
      <c r="O28" s="58"/>
      <c r="P28" s="58"/>
      <c r="Q28" s="58"/>
      <c r="R28" s="58"/>
      <c r="S28" s="58"/>
      <c r="T28" s="58"/>
      <c r="U28" s="58"/>
      <c r="V28" s="58"/>
      <c r="W28" s="105"/>
      <c r="X28" s="58" t="s">
        <v>2378</v>
      </c>
      <c r="Y28" s="52"/>
      <c r="Z28" s="52"/>
      <c r="AA28" s="52"/>
      <c r="AB28" s="52"/>
      <c r="AC28" s="52"/>
    </row>
    <row r="29" customHeight="1" ht="73.5">
      <c r="A29" s="73">
        <v>17</v>
      </c>
      <c r="B29" s="116"/>
      <c r="C29" s="116"/>
      <c r="D29" s="116"/>
      <c r="E29" s="58" t="s">
        <v>2410</v>
      </c>
      <c r="F29" s="58" t="s">
        <v>210</v>
      </c>
      <c r="G29" s="58" t="s">
        <v>1360</v>
      </c>
      <c r="H29" s="58" t="s">
        <v>2411</v>
      </c>
      <c r="I29" s="58" t="s">
        <v>2407</v>
      </c>
      <c r="J29" s="58" t="s">
        <v>2412</v>
      </c>
      <c r="K29" s="74" t="s">
        <v>2413</v>
      </c>
      <c r="L29" s="58"/>
      <c r="M29" s="58"/>
      <c r="N29" s="58"/>
      <c r="O29" s="58"/>
      <c r="P29" s="58"/>
      <c r="Q29" s="58"/>
      <c r="R29" s="58"/>
      <c r="S29" s="58"/>
      <c r="T29" s="58"/>
      <c r="U29" s="58"/>
      <c r="V29" s="58"/>
      <c r="W29" s="105"/>
      <c r="X29" s="58" t="s">
        <v>2378</v>
      </c>
      <c r="Y29" s="52"/>
      <c r="Z29" s="52"/>
      <c r="AA29" s="52"/>
      <c r="AB29" s="52"/>
      <c r="AC29" s="52"/>
    </row>
    <row r="30" customHeight="1" ht="60.0">
      <c r="A30" s="73">
        <v>18</v>
      </c>
      <c r="B30" s="116"/>
      <c r="C30" s="116"/>
      <c r="D30" s="116"/>
      <c r="E30" s="58" t="s">
        <v>2414</v>
      </c>
      <c r="F30" s="58" t="s">
        <v>210</v>
      </c>
      <c r="G30" s="58" t="s">
        <v>1366</v>
      </c>
      <c r="H30" s="58" t="s">
        <v>1590</v>
      </c>
      <c r="I30" s="58" t="s">
        <v>2407</v>
      </c>
      <c r="J30" s="58" t="s">
        <v>2415</v>
      </c>
      <c r="K30" s="74" t="s">
        <v>2416</v>
      </c>
      <c r="L30" s="58"/>
      <c r="M30" s="58"/>
      <c r="N30" s="58"/>
      <c r="O30" s="58"/>
      <c r="P30" s="58"/>
      <c r="Q30" s="58"/>
      <c r="R30" s="58"/>
      <c r="S30" s="58"/>
      <c r="T30" s="58"/>
      <c r="U30" s="58"/>
      <c r="V30" s="58"/>
      <c r="W30" s="105"/>
      <c r="X30" s="58" t="s">
        <v>2378</v>
      </c>
      <c r="Y30" s="52"/>
      <c r="Z30" s="52"/>
      <c r="AA30" s="52"/>
      <c r="AB30" s="52"/>
      <c r="AC30" s="52"/>
    </row>
    <row r="31" customHeight="1" ht="60.0">
      <c r="A31" s="73">
        <v>19</v>
      </c>
      <c r="B31" s="116"/>
      <c r="C31" s="116"/>
      <c r="D31" s="116"/>
      <c r="E31" s="58" t="s">
        <v>2417</v>
      </c>
      <c r="F31" s="58" t="s">
        <v>225</v>
      </c>
      <c r="G31" s="58" t="s">
        <v>1371</v>
      </c>
      <c r="H31" s="58" t="s">
        <v>2418</v>
      </c>
      <c r="I31" s="58" t="s">
        <v>1259</v>
      </c>
      <c r="J31" s="58" t="s">
        <v>2419</v>
      </c>
      <c r="K31" s="104"/>
      <c r="L31" s="58"/>
      <c r="M31" s="58"/>
      <c r="N31" s="58"/>
      <c r="O31" s="58"/>
      <c r="P31" s="58"/>
      <c r="Q31" s="58"/>
      <c r="R31" s="58"/>
      <c r="S31" s="58"/>
      <c r="T31" s="58"/>
      <c r="U31" s="58"/>
      <c r="V31" s="58"/>
      <c r="W31" s="77" t="s">
        <v>3057</v>
      </c>
      <c r="X31" s="58" t="s">
        <v>2378</v>
      </c>
      <c r="Y31" s="52"/>
      <c r="Z31" s="52"/>
      <c r="AA31" s="52"/>
      <c r="AB31" s="52"/>
      <c r="AC31" s="52"/>
    </row>
    <row r="32" customHeight="1" ht="48.6">
      <c r="A32" s="73">
        <v>20</v>
      </c>
      <c r="B32" s="116"/>
      <c r="C32" s="116"/>
      <c r="D32" s="118"/>
      <c r="E32" s="58" t="s">
        <v>2422</v>
      </c>
      <c r="F32" s="58" t="s">
        <v>210</v>
      </c>
      <c r="G32" s="58" t="s">
        <v>2423</v>
      </c>
      <c r="H32" s="58" t="s">
        <v>2424</v>
      </c>
      <c r="I32" s="58" t="s">
        <v>1259</v>
      </c>
      <c r="J32" s="58" t="s">
        <v>2425</v>
      </c>
      <c r="K32" s="74" t="s">
        <v>3058</v>
      </c>
      <c r="L32" s="58"/>
      <c r="M32" s="58"/>
      <c r="N32" s="58"/>
      <c r="O32" s="58"/>
      <c r="P32" s="58"/>
      <c r="Q32" s="58"/>
      <c r="R32" s="58"/>
      <c r="S32" s="58"/>
      <c r="T32" s="58"/>
      <c r="U32" s="58"/>
      <c r="V32" s="58"/>
      <c r="W32" s="77" t="s">
        <v>3059</v>
      </c>
      <c r="X32" s="58" t="s">
        <v>2378</v>
      </c>
      <c r="Y32" s="52"/>
      <c r="Z32" s="52"/>
      <c r="AA32" s="52"/>
      <c r="AB32" s="52"/>
      <c r="AC32" s="52"/>
    </row>
    <row r="33" customHeight="1" ht="48.6">
      <c r="A33" s="73">
        <v>21</v>
      </c>
      <c r="B33" s="116"/>
      <c r="C33" s="116"/>
      <c r="D33" s="116" t="s">
        <v>393</v>
      </c>
      <c r="E33" s="58" t="s">
        <v>2428</v>
      </c>
      <c r="F33" s="58" t="s">
        <v>203</v>
      </c>
      <c r="G33" s="58" t="s">
        <v>2429</v>
      </c>
      <c r="H33" s="58" t="s">
        <v>2430</v>
      </c>
      <c r="I33" s="58" t="s">
        <v>1259</v>
      </c>
      <c r="J33" s="58" t="s">
        <v>2431</v>
      </c>
      <c r="K33" s="74" t="s">
        <v>2432</v>
      </c>
      <c r="L33" s="58"/>
      <c r="M33" s="58"/>
      <c r="N33" s="58"/>
      <c r="O33" s="58"/>
      <c r="P33" s="58"/>
      <c r="Q33" s="58"/>
      <c r="R33" s="58"/>
      <c r="S33" s="58"/>
      <c r="T33" s="58"/>
      <c r="U33" s="58"/>
      <c r="V33" s="58"/>
      <c r="W33" s="105"/>
      <c r="X33" s="58" t="s">
        <v>2378</v>
      </c>
      <c r="Y33" s="52"/>
      <c r="Z33" s="52"/>
      <c r="AA33" s="52"/>
      <c r="AB33" s="52"/>
      <c r="AC33" s="52"/>
    </row>
    <row r="34" customHeight="1" ht="114.0">
      <c r="A34" s="73">
        <v>22</v>
      </c>
      <c r="B34" s="116"/>
      <c r="C34" s="116"/>
      <c r="D34" s="116"/>
      <c r="E34" s="58" t="s">
        <v>2434</v>
      </c>
      <c r="F34" s="58" t="s">
        <v>203</v>
      </c>
      <c r="G34" s="58" t="s">
        <v>2435</v>
      </c>
      <c r="H34" s="58" t="s">
        <v>2436</v>
      </c>
      <c r="I34" s="58" t="s">
        <v>1259</v>
      </c>
      <c r="J34" s="58" t="s">
        <v>2437</v>
      </c>
      <c r="K34" s="74" t="s">
        <v>2438</v>
      </c>
      <c r="L34" s="58"/>
      <c r="M34" s="58"/>
      <c r="N34" s="58"/>
      <c r="O34" s="58"/>
      <c r="P34" s="58"/>
      <c r="Q34" s="58"/>
      <c r="R34" s="58"/>
      <c r="S34" s="58"/>
      <c r="T34" s="58"/>
      <c r="U34" s="58"/>
      <c r="V34" s="58"/>
      <c r="W34" s="105"/>
      <c r="X34" s="58" t="s">
        <v>2378</v>
      </c>
      <c r="Y34" s="52"/>
      <c r="Z34" s="52"/>
      <c r="AA34" s="52"/>
      <c r="AB34" s="52"/>
      <c r="AC34" s="52"/>
    </row>
    <row r="35" customHeight="1" ht="48.6">
      <c r="A35" s="73">
        <v>23</v>
      </c>
      <c r="B35" s="116"/>
      <c r="C35" s="116"/>
      <c r="D35" s="116"/>
      <c r="E35" s="58" t="s">
        <v>2440</v>
      </c>
      <c r="F35" s="58" t="s">
        <v>203</v>
      </c>
      <c r="G35" s="58" t="s">
        <v>2441</v>
      </c>
      <c r="H35" s="58" t="s">
        <v>1600</v>
      </c>
      <c r="I35" s="58" t="s">
        <v>1259</v>
      </c>
      <c r="J35" s="58" t="s">
        <v>2442</v>
      </c>
      <c r="K35" s="74" t="s">
        <v>2443</v>
      </c>
      <c r="L35" s="58"/>
      <c r="M35" s="58"/>
      <c r="N35" s="58"/>
      <c r="O35" s="58"/>
      <c r="P35" s="58"/>
      <c r="Q35" s="58"/>
      <c r="R35" s="58"/>
      <c r="S35" s="58"/>
      <c r="T35" s="58"/>
      <c r="U35" s="58"/>
      <c r="V35" s="58"/>
      <c r="W35" s="105"/>
      <c r="X35" s="58" t="s">
        <v>2378</v>
      </c>
      <c r="Y35" s="52"/>
      <c r="Z35" s="52"/>
      <c r="AA35" s="52"/>
      <c r="AB35" s="52"/>
      <c r="AC35" s="52"/>
    </row>
    <row r="36" customHeight="1" ht="73.5">
      <c r="A36" s="73">
        <v>24</v>
      </c>
      <c r="B36" s="116"/>
      <c r="C36" s="116"/>
      <c r="D36" s="116"/>
      <c r="E36" s="58" t="s">
        <v>1643</v>
      </c>
      <c r="F36" s="58" t="s">
        <v>203</v>
      </c>
      <c r="G36" s="58" t="s">
        <v>1376</v>
      </c>
      <c r="H36" s="58" t="s">
        <v>2445</v>
      </c>
      <c r="I36" s="58" t="s">
        <v>2407</v>
      </c>
      <c r="J36" s="58" t="s">
        <v>2446</v>
      </c>
      <c r="K36" s="74" t="s">
        <v>2447</v>
      </c>
      <c r="L36" s="58"/>
      <c r="M36" s="58"/>
      <c r="N36" s="58"/>
      <c r="O36" s="58"/>
      <c r="P36" s="58"/>
      <c r="Q36" s="58"/>
      <c r="R36" s="58"/>
      <c r="S36" s="58"/>
      <c r="T36" s="58"/>
      <c r="U36" s="58"/>
      <c r="V36" s="58"/>
      <c r="W36" s="77" t="s">
        <v>3110</v>
      </c>
      <c r="X36" s="58" t="s">
        <v>2378</v>
      </c>
      <c r="Y36" s="52"/>
      <c r="Z36" s="52"/>
      <c r="AA36" s="52"/>
      <c r="AB36" s="52"/>
      <c r="AC36" s="52"/>
    </row>
    <row r="37" customHeight="1" ht="73.5">
      <c r="A37" s="73">
        <v>25</v>
      </c>
      <c r="B37" s="116"/>
      <c r="C37" s="116"/>
      <c r="D37" s="116"/>
      <c r="E37" s="58" t="s">
        <v>2449</v>
      </c>
      <c r="F37" s="58" t="s">
        <v>203</v>
      </c>
      <c r="G37" s="58" t="s">
        <v>1390</v>
      </c>
      <c r="H37" s="58" t="s">
        <v>2450</v>
      </c>
      <c r="I37" s="58" t="s">
        <v>2407</v>
      </c>
      <c r="J37" s="58" t="s">
        <v>2451</v>
      </c>
      <c r="K37" s="74" t="s">
        <v>2447</v>
      </c>
      <c r="L37" s="58"/>
      <c r="M37" s="58"/>
      <c r="N37" s="58"/>
      <c r="O37" s="58"/>
      <c r="P37" s="58"/>
      <c r="Q37" s="58"/>
      <c r="R37" s="58"/>
      <c r="S37" s="58"/>
      <c r="T37" s="58"/>
      <c r="U37" s="58"/>
      <c r="V37" s="58"/>
      <c r="W37" s="77" t="s">
        <v>3110</v>
      </c>
      <c r="X37" s="58" t="s">
        <v>2378</v>
      </c>
      <c r="Y37" s="52"/>
      <c r="Z37" s="52"/>
      <c r="AA37" s="52"/>
      <c r="AB37" s="52"/>
      <c r="AC37" s="52"/>
    </row>
    <row r="38" customHeight="1" ht="73.5">
      <c r="A38" s="73">
        <v>26</v>
      </c>
      <c r="B38" s="116"/>
      <c r="C38" s="116"/>
      <c r="D38" s="116"/>
      <c r="E38" s="58" t="s">
        <v>2452</v>
      </c>
      <c r="F38" s="58" t="s">
        <v>203</v>
      </c>
      <c r="G38" s="58" t="s">
        <v>1395</v>
      </c>
      <c r="H38" s="58" t="s">
        <v>2453</v>
      </c>
      <c r="I38" s="58" t="s">
        <v>2407</v>
      </c>
      <c r="J38" s="58" t="s">
        <v>2454</v>
      </c>
      <c r="K38" s="74" t="s">
        <v>2447</v>
      </c>
      <c r="L38" s="58"/>
      <c r="M38" s="58"/>
      <c r="N38" s="58"/>
      <c r="O38" s="58"/>
      <c r="P38" s="58"/>
      <c r="Q38" s="58"/>
      <c r="R38" s="58"/>
      <c r="S38" s="58"/>
      <c r="T38" s="58"/>
      <c r="U38" s="58"/>
      <c r="V38" s="58"/>
      <c r="W38" s="77" t="s">
        <v>3110</v>
      </c>
      <c r="X38" s="58" t="s">
        <v>2378</v>
      </c>
      <c r="Y38" s="52"/>
      <c r="Z38" s="52"/>
      <c r="AA38" s="52"/>
      <c r="AB38" s="52"/>
      <c r="AC38" s="52"/>
    </row>
    <row r="39" customHeight="1" ht="73.5">
      <c r="A39" s="73">
        <v>27</v>
      </c>
      <c r="B39" s="116"/>
      <c r="C39" s="116"/>
      <c r="D39" s="116"/>
      <c r="E39" s="58" t="s">
        <v>2455</v>
      </c>
      <c r="F39" s="58" t="s">
        <v>203</v>
      </c>
      <c r="G39" s="58" t="s">
        <v>1400</v>
      </c>
      <c r="H39" s="58" t="s">
        <v>2456</v>
      </c>
      <c r="I39" s="58" t="s">
        <v>2407</v>
      </c>
      <c r="J39" s="58" t="s">
        <v>2457</v>
      </c>
      <c r="K39" s="74" t="s">
        <v>2447</v>
      </c>
      <c r="L39" s="58"/>
      <c r="M39" s="58"/>
      <c r="N39" s="58"/>
      <c r="O39" s="58"/>
      <c r="P39" s="58"/>
      <c r="Q39" s="58"/>
      <c r="R39" s="58"/>
      <c r="S39" s="58"/>
      <c r="T39" s="58"/>
      <c r="U39" s="58"/>
      <c r="V39" s="58"/>
      <c r="W39" s="77" t="s">
        <v>3110</v>
      </c>
      <c r="X39" s="58" t="s">
        <v>2378</v>
      </c>
      <c r="Y39" s="52"/>
      <c r="Z39" s="52"/>
      <c r="AA39" s="52"/>
      <c r="AB39" s="52"/>
      <c r="AC39" s="52"/>
    </row>
    <row r="40" customHeight="1" ht="73.5">
      <c r="A40" s="73">
        <v>28</v>
      </c>
      <c r="B40" s="116"/>
      <c r="C40" s="116"/>
      <c r="D40" s="116"/>
      <c r="E40" s="58" t="s">
        <v>2458</v>
      </c>
      <c r="F40" s="58" t="s">
        <v>210</v>
      </c>
      <c r="G40" s="58" t="s">
        <v>1405</v>
      </c>
      <c r="H40" s="58" t="s">
        <v>2459</v>
      </c>
      <c r="I40" s="58" t="s">
        <v>2407</v>
      </c>
      <c r="J40" s="58" t="s">
        <v>2460</v>
      </c>
      <c r="K40" s="74" t="s">
        <v>2447</v>
      </c>
      <c r="L40" s="58"/>
      <c r="M40" s="58"/>
      <c r="N40" s="58"/>
      <c r="O40" s="58"/>
      <c r="P40" s="58"/>
      <c r="Q40" s="58"/>
      <c r="R40" s="58"/>
      <c r="S40" s="58"/>
      <c r="T40" s="58"/>
      <c r="U40" s="58"/>
      <c r="V40" s="58"/>
      <c r="W40" s="77" t="s">
        <v>3111</v>
      </c>
      <c r="X40" s="58" t="s">
        <v>2378</v>
      </c>
      <c r="Y40" s="52"/>
      <c r="Z40" s="52"/>
      <c r="AA40" s="52"/>
      <c r="AB40" s="52"/>
      <c r="AC40" s="52"/>
    </row>
    <row r="41" customHeight="1" ht="100.5">
      <c r="A41" s="73">
        <v>29</v>
      </c>
      <c r="B41" s="116"/>
      <c r="C41" s="116"/>
      <c r="D41" s="116"/>
      <c r="E41" s="58" t="s">
        <v>2462</v>
      </c>
      <c r="F41" s="58" t="s">
        <v>203</v>
      </c>
      <c r="G41" s="58" t="s">
        <v>1412</v>
      </c>
      <c r="H41" s="58" t="s">
        <v>2463</v>
      </c>
      <c r="I41" s="58" t="s">
        <v>2407</v>
      </c>
      <c r="J41" s="58" t="s">
        <v>2464</v>
      </c>
      <c r="K41" s="74" t="s">
        <v>3060</v>
      </c>
      <c r="L41" s="58"/>
      <c r="M41" s="58"/>
      <c r="N41" s="58"/>
      <c r="O41" s="58"/>
      <c r="P41" s="58"/>
      <c r="Q41" s="58"/>
      <c r="R41" s="58"/>
      <c r="S41" s="58"/>
      <c r="T41" s="58"/>
      <c r="U41" s="58"/>
      <c r="V41" s="58"/>
      <c r="W41" s="77" t="s">
        <v>3112</v>
      </c>
      <c r="X41" s="58" t="s">
        <v>2378</v>
      </c>
      <c r="Y41" s="52"/>
      <c r="Z41" s="52"/>
      <c r="AA41" s="52"/>
      <c r="AB41" s="52"/>
      <c r="AC41" s="52"/>
    </row>
    <row r="42" customHeight="1" ht="87.0">
      <c r="A42" s="73">
        <v>30</v>
      </c>
      <c r="B42" s="116"/>
      <c r="C42" s="116"/>
      <c r="D42" s="116"/>
      <c r="E42" s="58" t="s">
        <v>2466</v>
      </c>
      <c r="F42" s="58" t="s">
        <v>203</v>
      </c>
      <c r="G42" s="58" t="s">
        <v>1423</v>
      </c>
      <c r="H42" s="58" t="s">
        <v>2467</v>
      </c>
      <c r="I42" s="58" t="s">
        <v>2407</v>
      </c>
      <c r="J42" s="58" t="s">
        <v>2468</v>
      </c>
      <c r="K42" s="74" t="s">
        <v>3062</v>
      </c>
      <c r="L42" s="58"/>
      <c r="M42" s="58"/>
      <c r="N42" s="58"/>
      <c r="O42" s="58"/>
      <c r="P42" s="58"/>
      <c r="Q42" s="58"/>
      <c r="R42" s="58"/>
      <c r="S42" s="58"/>
      <c r="T42" s="58"/>
      <c r="U42" s="58"/>
      <c r="V42" s="58"/>
      <c r="W42" s="77" t="s">
        <v>3112</v>
      </c>
      <c r="X42" s="58" t="s">
        <v>2378</v>
      </c>
      <c r="Y42" s="52"/>
      <c r="Z42" s="52"/>
      <c r="AA42" s="52"/>
      <c r="AB42" s="52"/>
      <c r="AC42" s="52"/>
    </row>
    <row r="43" customHeight="1" ht="87.0">
      <c r="A43" s="73">
        <v>31</v>
      </c>
      <c r="B43" s="116"/>
      <c r="C43" s="116"/>
      <c r="D43" s="116"/>
      <c r="E43" s="58" t="s">
        <v>2470</v>
      </c>
      <c r="F43" s="58" t="s">
        <v>210</v>
      </c>
      <c r="G43" s="58" t="s">
        <v>1428</v>
      </c>
      <c r="H43" s="58" t="s">
        <v>2471</v>
      </c>
      <c r="I43" s="58" t="s">
        <v>2407</v>
      </c>
      <c r="J43" s="58" t="s">
        <v>2472</v>
      </c>
      <c r="K43" s="74" t="s">
        <v>2473</v>
      </c>
      <c r="L43" s="58"/>
      <c r="M43" s="58"/>
      <c r="N43" s="58"/>
      <c r="O43" s="58"/>
      <c r="P43" s="58"/>
      <c r="Q43" s="58"/>
      <c r="R43" s="58"/>
      <c r="S43" s="58"/>
      <c r="T43" s="58"/>
      <c r="U43" s="58"/>
      <c r="V43" s="58"/>
      <c r="W43" s="77" t="s">
        <v>3110</v>
      </c>
      <c r="X43" s="58" t="s">
        <v>2378</v>
      </c>
      <c r="Y43" s="52"/>
      <c r="Z43" s="52"/>
      <c r="AA43" s="52"/>
      <c r="AB43" s="52"/>
      <c r="AC43" s="52"/>
    </row>
    <row r="44" customHeight="1" ht="87.0">
      <c r="A44" s="73">
        <v>32</v>
      </c>
      <c r="B44" s="116"/>
      <c r="C44" s="116"/>
      <c r="D44" s="116"/>
      <c r="E44" s="58" t="s">
        <v>2474</v>
      </c>
      <c r="F44" s="58" t="s">
        <v>210</v>
      </c>
      <c r="G44" s="58" t="s">
        <v>1434</v>
      </c>
      <c r="H44" s="58" t="s">
        <v>2475</v>
      </c>
      <c r="I44" s="58" t="s">
        <v>2407</v>
      </c>
      <c r="J44" s="58" t="s">
        <v>2476</v>
      </c>
      <c r="K44" s="74" t="s">
        <v>2473</v>
      </c>
      <c r="L44" s="58"/>
      <c r="M44" s="58"/>
      <c r="N44" s="58"/>
      <c r="O44" s="58"/>
      <c r="P44" s="58"/>
      <c r="Q44" s="58"/>
      <c r="R44" s="58"/>
      <c r="S44" s="58"/>
      <c r="T44" s="58"/>
      <c r="U44" s="58"/>
      <c r="V44" s="58"/>
      <c r="W44" s="77" t="s">
        <v>3110</v>
      </c>
      <c r="X44" s="58" t="s">
        <v>2378</v>
      </c>
      <c r="Y44" s="52"/>
      <c r="Z44" s="52"/>
      <c r="AA44" s="52"/>
      <c r="AB44" s="52"/>
      <c r="AC44" s="52"/>
    </row>
    <row r="45" customHeight="1" ht="73.5">
      <c r="A45" s="73">
        <v>33</v>
      </c>
      <c r="B45" s="116"/>
      <c r="C45" s="116"/>
      <c r="D45" s="116"/>
      <c r="E45" s="58" t="s">
        <v>1660</v>
      </c>
      <c r="F45" s="58" t="s">
        <v>210</v>
      </c>
      <c r="G45" s="58" t="s">
        <v>1440</v>
      </c>
      <c r="H45" s="58" t="s">
        <v>2477</v>
      </c>
      <c r="I45" s="58" t="s">
        <v>2407</v>
      </c>
      <c r="J45" s="58" t="s">
        <v>2478</v>
      </c>
      <c r="K45" s="74" t="s">
        <v>2473</v>
      </c>
      <c r="L45" s="58"/>
      <c r="M45" s="58"/>
      <c r="N45" s="58"/>
      <c r="O45" s="58"/>
      <c r="P45" s="58"/>
      <c r="Q45" s="58"/>
      <c r="R45" s="58"/>
      <c r="S45" s="58"/>
      <c r="T45" s="58"/>
      <c r="U45" s="58"/>
      <c r="V45" s="58"/>
      <c r="W45" s="77" t="s">
        <v>3110</v>
      </c>
      <c r="X45" s="58" t="s">
        <v>2378</v>
      </c>
      <c r="Y45" s="52"/>
      <c r="Z45" s="52"/>
      <c r="AA45" s="52"/>
      <c r="AB45" s="52"/>
      <c r="AC45" s="52"/>
    </row>
    <row r="46" customHeight="1" ht="73.5">
      <c r="A46" s="73">
        <v>34</v>
      </c>
      <c r="B46" s="116"/>
      <c r="C46" s="116"/>
      <c r="D46" s="116"/>
      <c r="E46" s="58" t="s">
        <v>2479</v>
      </c>
      <c r="F46" s="58" t="s">
        <v>210</v>
      </c>
      <c r="G46" s="58" t="s">
        <v>1445</v>
      </c>
      <c r="H46" s="58" t="s">
        <v>2480</v>
      </c>
      <c r="I46" s="58" t="s">
        <v>2407</v>
      </c>
      <c r="J46" s="58" t="s">
        <v>2481</v>
      </c>
      <c r="K46" s="74" t="s">
        <v>2473</v>
      </c>
      <c r="L46" s="58"/>
      <c r="M46" s="58"/>
      <c r="N46" s="58"/>
      <c r="O46" s="58"/>
      <c r="P46" s="58"/>
      <c r="Q46" s="58"/>
      <c r="R46" s="58"/>
      <c r="S46" s="58"/>
      <c r="T46" s="58"/>
      <c r="U46" s="58"/>
      <c r="V46" s="58"/>
      <c r="W46" s="77" t="s">
        <v>3110</v>
      </c>
      <c r="X46" s="58" t="s">
        <v>2378</v>
      </c>
      <c r="Y46" s="52"/>
      <c r="Z46" s="52"/>
      <c r="AA46" s="52"/>
      <c r="AB46" s="52"/>
      <c r="AC46" s="52"/>
    </row>
    <row r="47" customHeight="1" ht="100.5">
      <c r="A47" s="73">
        <v>35</v>
      </c>
      <c r="B47" s="116"/>
      <c r="C47" s="116"/>
      <c r="D47" s="116"/>
      <c r="E47" s="58" t="s">
        <v>2482</v>
      </c>
      <c r="F47" s="58" t="s">
        <v>203</v>
      </c>
      <c r="G47" s="58" t="s">
        <v>1451</v>
      </c>
      <c r="H47" s="58" t="s">
        <v>2483</v>
      </c>
      <c r="I47" s="58" t="s">
        <v>2407</v>
      </c>
      <c r="J47" s="58" t="s">
        <v>2484</v>
      </c>
      <c r="K47" s="74" t="s">
        <v>3063</v>
      </c>
      <c r="L47" s="58"/>
      <c r="M47" s="58"/>
      <c r="N47" s="58"/>
      <c r="O47" s="58"/>
      <c r="P47" s="58"/>
      <c r="Q47" s="58"/>
      <c r="R47" s="58"/>
      <c r="S47" s="58"/>
      <c r="T47" s="58"/>
      <c r="U47" s="58"/>
      <c r="V47" s="58"/>
      <c r="W47" s="77" t="s">
        <v>3112</v>
      </c>
      <c r="X47" s="58" t="s">
        <v>2378</v>
      </c>
      <c r="Y47" s="52"/>
      <c r="Z47" s="52"/>
      <c r="AA47" s="52"/>
      <c r="AB47" s="52"/>
      <c r="AC47" s="52"/>
    </row>
    <row r="48" customHeight="1" ht="87.0">
      <c r="A48" s="73">
        <v>36</v>
      </c>
      <c r="B48" s="116"/>
      <c r="C48" s="116"/>
      <c r="D48" s="116"/>
      <c r="E48" s="58" t="s">
        <v>2486</v>
      </c>
      <c r="F48" s="58" t="s">
        <v>210</v>
      </c>
      <c r="G48" s="58" t="s">
        <v>1458</v>
      </c>
      <c r="H48" s="58" t="s">
        <v>2487</v>
      </c>
      <c r="I48" s="58" t="s">
        <v>2407</v>
      </c>
      <c r="J48" s="58" t="s">
        <v>2488</v>
      </c>
      <c r="K48" s="74" t="s">
        <v>2489</v>
      </c>
      <c r="L48" s="58"/>
      <c r="M48" s="58"/>
      <c r="N48" s="58"/>
      <c r="O48" s="58"/>
      <c r="P48" s="58"/>
      <c r="Q48" s="58"/>
      <c r="R48" s="58"/>
      <c r="S48" s="58"/>
      <c r="T48" s="58"/>
      <c r="U48" s="58"/>
      <c r="V48" s="58"/>
      <c r="W48" s="77" t="s">
        <v>3110</v>
      </c>
      <c r="X48" s="58" t="s">
        <v>2378</v>
      </c>
      <c r="Y48" s="52"/>
      <c r="Z48" s="52"/>
      <c r="AA48" s="52"/>
      <c r="AB48" s="52"/>
      <c r="AC48" s="52"/>
    </row>
    <row r="49" customHeight="1" ht="87.0">
      <c r="A49" s="73">
        <v>37</v>
      </c>
      <c r="B49" s="116"/>
      <c r="C49" s="116"/>
      <c r="D49" s="116"/>
      <c r="E49" s="58" t="s">
        <v>2490</v>
      </c>
      <c r="F49" s="58" t="s">
        <v>210</v>
      </c>
      <c r="G49" s="58" t="s">
        <v>1463</v>
      </c>
      <c r="H49" s="58" t="s">
        <v>2491</v>
      </c>
      <c r="I49" s="58" t="s">
        <v>2407</v>
      </c>
      <c r="J49" s="58" t="s">
        <v>2492</v>
      </c>
      <c r="K49" s="74" t="s">
        <v>2489</v>
      </c>
      <c r="L49" s="58"/>
      <c r="M49" s="58"/>
      <c r="N49" s="58"/>
      <c r="O49" s="58"/>
      <c r="P49" s="58"/>
      <c r="Q49" s="58"/>
      <c r="R49" s="58"/>
      <c r="S49" s="58"/>
      <c r="T49" s="58"/>
      <c r="U49" s="58"/>
      <c r="V49" s="58"/>
      <c r="W49" s="77" t="s">
        <v>3110</v>
      </c>
      <c r="X49" s="58" t="s">
        <v>2378</v>
      </c>
      <c r="Y49" s="52"/>
      <c r="Z49" s="52"/>
      <c r="AA49" s="52"/>
      <c r="AB49" s="52"/>
      <c r="AC49" s="52"/>
    </row>
    <row r="50" customHeight="1" ht="73.5">
      <c r="A50" s="73">
        <v>38</v>
      </c>
      <c r="B50" s="116"/>
      <c r="C50" s="116"/>
      <c r="D50" s="116"/>
      <c r="E50" s="58" t="s">
        <v>1668</v>
      </c>
      <c r="F50" s="58" t="s">
        <v>210</v>
      </c>
      <c r="G50" s="58" t="s">
        <v>1469</v>
      </c>
      <c r="H50" s="58" t="s">
        <v>2493</v>
      </c>
      <c r="I50" s="58" t="s">
        <v>2407</v>
      </c>
      <c r="J50" s="58" t="s">
        <v>2494</v>
      </c>
      <c r="K50" s="74" t="s">
        <v>2489</v>
      </c>
      <c r="L50" s="58"/>
      <c r="M50" s="58"/>
      <c r="N50" s="58"/>
      <c r="O50" s="58"/>
      <c r="P50" s="58"/>
      <c r="Q50" s="58"/>
      <c r="R50" s="58"/>
      <c r="S50" s="58"/>
      <c r="T50" s="58"/>
      <c r="U50" s="58"/>
      <c r="V50" s="58"/>
      <c r="W50" s="77" t="s">
        <v>3110</v>
      </c>
      <c r="X50" s="58" t="s">
        <v>2378</v>
      </c>
      <c r="Y50" s="52"/>
      <c r="Z50" s="52"/>
      <c r="AA50" s="52"/>
      <c r="AB50" s="52"/>
      <c r="AC50" s="52"/>
    </row>
    <row r="51" customHeight="1" ht="87.0">
      <c r="A51" s="73">
        <v>39</v>
      </c>
      <c r="B51" s="116"/>
      <c r="C51" s="116"/>
      <c r="D51" s="116"/>
      <c r="E51" s="58" t="s">
        <v>2495</v>
      </c>
      <c r="F51" s="58" t="s">
        <v>210</v>
      </c>
      <c r="G51" s="58" t="s">
        <v>1474</v>
      </c>
      <c r="H51" s="58" t="s">
        <v>2496</v>
      </c>
      <c r="I51" s="58" t="s">
        <v>2407</v>
      </c>
      <c r="J51" s="58" t="s">
        <v>2497</v>
      </c>
      <c r="K51" s="74" t="s">
        <v>2489</v>
      </c>
      <c r="L51" s="58"/>
      <c r="M51" s="58"/>
      <c r="N51" s="58"/>
      <c r="O51" s="58"/>
      <c r="P51" s="58"/>
      <c r="Q51" s="58"/>
      <c r="R51" s="58"/>
      <c r="S51" s="58"/>
      <c r="T51" s="58"/>
      <c r="U51" s="58"/>
      <c r="V51" s="58"/>
      <c r="W51" s="77" t="s">
        <v>3110</v>
      </c>
      <c r="X51" s="58" t="s">
        <v>2378</v>
      </c>
      <c r="Y51" s="52"/>
      <c r="Z51" s="52"/>
      <c r="AA51" s="52"/>
      <c r="AB51" s="52"/>
      <c r="AC51" s="52"/>
    </row>
    <row r="52" customHeight="1" ht="127.5">
      <c r="A52" s="73">
        <v>40</v>
      </c>
      <c r="B52" s="116"/>
      <c r="C52" s="116"/>
      <c r="D52" s="116"/>
      <c r="E52" s="58" t="s">
        <v>2498</v>
      </c>
      <c r="F52" s="58" t="s">
        <v>203</v>
      </c>
      <c r="G52" s="58" t="s">
        <v>1479</v>
      </c>
      <c r="H52" s="58" t="s">
        <v>2499</v>
      </c>
      <c r="I52" s="58" t="s">
        <v>1259</v>
      </c>
      <c r="J52" s="58" t="s">
        <v>2500</v>
      </c>
      <c r="K52" s="74" t="s">
        <v>2501</v>
      </c>
      <c r="L52" s="58"/>
      <c r="M52" s="58"/>
      <c r="N52" s="58"/>
      <c r="O52" s="58"/>
      <c r="P52" s="58"/>
      <c r="Q52" s="58"/>
      <c r="R52" s="58"/>
      <c r="S52" s="58"/>
      <c r="T52" s="58"/>
      <c r="U52" s="58"/>
      <c r="V52" s="58"/>
      <c r="W52" s="77" t="s">
        <v>3064</v>
      </c>
      <c r="X52" s="58" t="s">
        <v>2378</v>
      </c>
      <c r="Y52" s="52"/>
      <c r="Z52" s="52"/>
      <c r="AA52" s="52"/>
      <c r="AB52" s="52"/>
      <c r="AC52" s="52"/>
    </row>
    <row r="53" customHeight="1" ht="60.0">
      <c r="A53" s="73">
        <v>41</v>
      </c>
      <c r="B53" s="116"/>
      <c r="C53" s="116"/>
      <c r="D53" s="116"/>
      <c r="E53" s="58" t="s">
        <v>622</v>
      </c>
      <c r="F53" s="58" t="s">
        <v>210</v>
      </c>
      <c r="G53" s="58" t="s">
        <v>1484</v>
      </c>
      <c r="H53" s="58" t="s">
        <v>2502</v>
      </c>
      <c r="I53" s="58" t="s">
        <v>2407</v>
      </c>
      <c r="J53" s="58" t="s">
        <v>2503</v>
      </c>
      <c r="K53" s="74" t="s">
        <v>626</v>
      </c>
      <c r="L53" s="58"/>
      <c r="M53" s="58"/>
      <c r="N53" s="58"/>
      <c r="O53" s="58"/>
      <c r="P53" s="58"/>
      <c r="Q53" s="58"/>
      <c r="R53" s="58"/>
      <c r="S53" s="58"/>
      <c r="T53" s="58"/>
      <c r="U53" s="58"/>
      <c r="V53" s="58"/>
      <c r="W53" s="77" t="s">
        <v>2504</v>
      </c>
      <c r="X53" s="58" t="s">
        <v>2378</v>
      </c>
      <c r="Y53" s="52"/>
      <c r="Z53" s="52"/>
      <c r="AA53" s="52"/>
      <c r="AB53" s="52"/>
      <c r="AC53" s="52"/>
    </row>
    <row r="54" customHeight="1" ht="60.0">
      <c r="A54" s="73">
        <v>42</v>
      </c>
      <c r="B54" s="116"/>
      <c r="C54" s="116"/>
      <c r="D54" s="116"/>
      <c r="E54" s="58" t="s">
        <v>628</v>
      </c>
      <c r="F54" s="58" t="s">
        <v>225</v>
      </c>
      <c r="G54" s="58" t="s">
        <v>1489</v>
      </c>
      <c r="H54" s="58" t="s">
        <v>2505</v>
      </c>
      <c r="I54" s="58" t="s">
        <v>2407</v>
      </c>
      <c r="J54" s="58" t="s">
        <v>2506</v>
      </c>
      <c r="K54" s="74" t="s">
        <v>2507</v>
      </c>
      <c r="L54" s="58"/>
      <c r="M54" s="58"/>
      <c r="N54" s="58"/>
      <c r="O54" s="58"/>
      <c r="P54" s="58"/>
      <c r="Q54" s="58"/>
      <c r="R54" s="58"/>
      <c r="S54" s="58"/>
      <c r="T54" s="58"/>
      <c r="U54" s="58"/>
      <c r="V54" s="58"/>
      <c r="W54" s="105"/>
      <c r="X54" s="58" t="s">
        <v>2378</v>
      </c>
      <c r="Y54" s="52"/>
      <c r="Z54" s="52"/>
      <c r="AA54" s="52"/>
      <c r="AB54" s="52"/>
      <c r="AC54" s="52"/>
    </row>
    <row r="55" customHeight="1" ht="60.0">
      <c r="A55" s="73">
        <v>43</v>
      </c>
      <c r="B55" s="116"/>
      <c r="C55" s="116"/>
      <c r="D55" s="116"/>
      <c r="E55" s="58" t="s">
        <v>633</v>
      </c>
      <c r="F55" s="58" t="s">
        <v>225</v>
      </c>
      <c r="G55" s="58" t="s">
        <v>1494</v>
      </c>
      <c r="H55" s="58" t="s">
        <v>2508</v>
      </c>
      <c r="I55" s="58" t="s">
        <v>2407</v>
      </c>
      <c r="J55" s="58" t="s">
        <v>2509</v>
      </c>
      <c r="K55" s="74" t="s">
        <v>2507</v>
      </c>
      <c r="L55" s="58"/>
      <c r="M55" s="58"/>
      <c r="N55" s="58"/>
      <c r="O55" s="58"/>
      <c r="P55" s="58"/>
      <c r="Q55" s="58"/>
      <c r="R55" s="58"/>
      <c r="S55" s="58"/>
      <c r="T55" s="58"/>
      <c r="U55" s="58"/>
      <c r="V55" s="58"/>
      <c r="W55" s="77" t="s">
        <v>3113</v>
      </c>
      <c r="X55" s="58" t="s">
        <v>2378</v>
      </c>
      <c r="Y55" s="52"/>
      <c r="Z55" s="52"/>
      <c r="AA55" s="52"/>
      <c r="AB55" s="52"/>
      <c r="AC55" s="52"/>
    </row>
    <row r="56" customHeight="1" ht="73.5">
      <c r="A56" s="73">
        <v>44</v>
      </c>
      <c r="B56" s="116"/>
      <c r="C56" s="116"/>
      <c r="D56" s="118"/>
      <c r="E56" s="58" t="s">
        <v>2511</v>
      </c>
      <c r="F56" s="58" t="s">
        <v>225</v>
      </c>
      <c r="G56" s="58" t="s">
        <v>1499</v>
      </c>
      <c r="H56" s="58" t="s">
        <v>2512</v>
      </c>
      <c r="I56" s="58" t="s">
        <v>1259</v>
      </c>
      <c r="J56" s="58" t="s">
        <v>2513</v>
      </c>
      <c r="K56" s="74" t="s">
        <v>2514</v>
      </c>
      <c r="L56" s="58"/>
      <c r="M56" s="58"/>
      <c r="N56" s="58"/>
      <c r="O56" s="58"/>
      <c r="P56" s="58"/>
      <c r="Q56" s="58"/>
      <c r="R56" s="58"/>
      <c r="S56" s="58"/>
      <c r="T56" s="58"/>
      <c r="U56" s="58"/>
      <c r="V56" s="58"/>
      <c r="W56" s="77" t="s">
        <v>3065</v>
      </c>
      <c r="X56" s="58" t="s">
        <v>2378</v>
      </c>
      <c r="Y56" s="52"/>
      <c r="Z56" s="52"/>
      <c r="AA56" s="52"/>
      <c r="AB56" s="52"/>
      <c r="AC56" s="52"/>
    </row>
    <row r="57" customHeight="1" ht="168.0">
      <c r="A57" s="73">
        <v>45</v>
      </c>
      <c r="B57" s="116"/>
      <c r="C57" s="116"/>
      <c r="D57" s="116" t="s">
        <v>369</v>
      </c>
      <c r="E57" s="58" t="s">
        <v>1034</v>
      </c>
      <c r="F57" s="58" t="s">
        <v>203</v>
      </c>
      <c r="G57" s="58" t="s">
        <v>1504</v>
      </c>
      <c r="H57" s="58" t="s">
        <v>2516</v>
      </c>
      <c r="I57" s="58" t="s">
        <v>1259</v>
      </c>
      <c r="J57" s="58" t="s">
        <v>2517</v>
      </c>
      <c r="K57" s="74" t="s">
        <v>2518</v>
      </c>
      <c r="L57" s="58"/>
      <c r="M57" s="58"/>
      <c r="N57" s="58"/>
      <c r="O57" s="58"/>
      <c r="P57" s="58"/>
      <c r="Q57" s="58"/>
      <c r="R57" s="58"/>
      <c r="S57" s="58"/>
      <c r="T57" s="58"/>
      <c r="U57" s="58"/>
      <c r="V57" s="58"/>
      <c r="W57" s="77" t="s">
        <v>3114</v>
      </c>
      <c r="X57" s="58" t="s">
        <v>2378</v>
      </c>
      <c r="Y57" s="52"/>
      <c r="Z57" s="52"/>
      <c r="AA57" s="52"/>
      <c r="AB57" s="52"/>
      <c r="AC57" s="52"/>
    </row>
    <row r="58" customHeight="1" ht="114.0">
      <c r="A58" s="73">
        <v>46</v>
      </c>
      <c r="B58" s="116"/>
      <c r="C58" s="116"/>
      <c r="D58" s="116"/>
      <c r="E58" s="58" t="s">
        <v>1040</v>
      </c>
      <c r="F58" s="58" t="s">
        <v>203</v>
      </c>
      <c r="G58" s="58" t="s">
        <v>1508</v>
      </c>
      <c r="H58" s="58" t="s">
        <v>2520</v>
      </c>
      <c r="I58" s="58" t="s">
        <v>1259</v>
      </c>
      <c r="J58" s="58" t="s">
        <v>2521</v>
      </c>
      <c r="K58" s="74" t="s">
        <v>2522</v>
      </c>
      <c r="L58" s="58"/>
      <c r="M58" s="58"/>
      <c r="N58" s="58"/>
      <c r="O58" s="58"/>
      <c r="P58" s="58"/>
      <c r="Q58" s="58"/>
      <c r="R58" s="58"/>
      <c r="S58" s="58"/>
      <c r="T58" s="58"/>
      <c r="U58" s="58"/>
      <c r="V58" s="58"/>
      <c r="W58" s="77" t="s">
        <v>3115</v>
      </c>
      <c r="X58" s="58" t="s">
        <v>2378</v>
      </c>
      <c r="Y58" s="52"/>
      <c r="Z58" s="52"/>
      <c r="AA58" s="52"/>
      <c r="AB58" s="52"/>
      <c r="AC58" s="52"/>
    </row>
    <row r="59" customHeight="1" ht="100.5">
      <c r="A59" s="73">
        <v>47</v>
      </c>
      <c r="B59" s="116"/>
      <c r="C59" s="116"/>
      <c r="D59" s="116"/>
      <c r="E59" s="58" t="s">
        <v>2524</v>
      </c>
      <c r="F59" s="58" t="s">
        <v>203</v>
      </c>
      <c r="G59" s="58" t="s">
        <v>1514</v>
      </c>
      <c r="H59" s="58" t="s">
        <v>2525</v>
      </c>
      <c r="I59" s="58" t="s">
        <v>2526</v>
      </c>
      <c r="J59" s="58" t="s">
        <v>2527</v>
      </c>
      <c r="K59" s="74" t="s">
        <v>2528</v>
      </c>
      <c r="L59" s="58"/>
      <c r="M59" s="58"/>
      <c r="N59" s="58"/>
      <c r="O59" s="58"/>
      <c r="P59" s="58"/>
      <c r="Q59" s="58"/>
      <c r="R59" s="58"/>
      <c r="S59" s="58"/>
      <c r="T59" s="58"/>
      <c r="U59" s="58"/>
      <c r="V59" s="58"/>
      <c r="W59" s="77" t="s">
        <v>2529</v>
      </c>
      <c r="X59" s="58" t="s">
        <v>2378</v>
      </c>
      <c r="Y59" s="52"/>
      <c r="Z59" s="52"/>
      <c r="AA59" s="52"/>
      <c r="AB59" s="52"/>
      <c r="AC59" s="52"/>
    </row>
    <row r="60" customHeight="1" ht="100.5">
      <c r="A60" s="73">
        <v>48</v>
      </c>
      <c r="B60" s="116"/>
      <c r="C60" s="116"/>
      <c r="D60" s="116"/>
      <c r="E60" s="58" t="s">
        <v>2530</v>
      </c>
      <c r="F60" s="58" t="s">
        <v>210</v>
      </c>
      <c r="G60" s="58" t="s">
        <v>1519</v>
      </c>
      <c r="H60" s="58" t="s">
        <v>2531</v>
      </c>
      <c r="I60" s="58" t="s">
        <v>1259</v>
      </c>
      <c r="J60" s="58" t="s">
        <v>2532</v>
      </c>
      <c r="K60" s="74" t="s">
        <v>2533</v>
      </c>
      <c r="L60" s="58"/>
      <c r="M60" s="58"/>
      <c r="N60" s="58"/>
      <c r="O60" s="58"/>
      <c r="P60" s="58"/>
      <c r="Q60" s="58"/>
      <c r="R60" s="58"/>
      <c r="S60" s="58"/>
      <c r="T60" s="58"/>
      <c r="U60" s="58"/>
      <c r="V60" s="58"/>
      <c r="W60" s="77" t="s">
        <v>2534</v>
      </c>
      <c r="X60" s="58" t="s">
        <v>2378</v>
      </c>
      <c r="Y60" s="52"/>
      <c r="Z60" s="52"/>
      <c r="AA60" s="52"/>
      <c r="AB60" s="52"/>
      <c r="AC60" s="52"/>
    </row>
    <row r="61" customHeight="1" ht="73.5">
      <c r="A61" s="73">
        <v>49</v>
      </c>
      <c r="B61" s="116"/>
      <c r="C61" s="116"/>
      <c r="D61" s="116"/>
      <c r="E61" s="58" t="s">
        <v>2535</v>
      </c>
      <c r="F61" s="58" t="s">
        <v>210</v>
      </c>
      <c r="G61" s="58" t="s">
        <v>1524</v>
      </c>
      <c r="H61" s="58" t="s">
        <v>2536</v>
      </c>
      <c r="I61" s="58" t="s">
        <v>1259</v>
      </c>
      <c r="J61" s="58" t="s">
        <v>2537</v>
      </c>
      <c r="K61" s="74" t="s">
        <v>2538</v>
      </c>
      <c r="L61" s="58"/>
      <c r="M61" s="58"/>
      <c r="N61" s="58"/>
      <c r="O61" s="58"/>
      <c r="P61" s="58"/>
      <c r="Q61" s="58"/>
      <c r="R61" s="58"/>
      <c r="S61" s="58"/>
      <c r="T61" s="58"/>
      <c r="U61" s="58"/>
      <c r="V61" s="58"/>
      <c r="W61" s="105"/>
      <c r="X61" s="58" t="s">
        <v>2378</v>
      </c>
      <c r="Y61" s="52"/>
      <c r="Z61" s="52"/>
      <c r="AA61" s="52"/>
      <c r="AB61" s="52"/>
      <c r="AC61" s="52"/>
    </row>
    <row r="62" customHeight="1" ht="73.5">
      <c r="A62" s="73">
        <v>50</v>
      </c>
      <c r="B62" s="116"/>
      <c r="C62" s="116"/>
      <c r="D62" s="118"/>
      <c r="E62" s="58" t="s">
        <v>2539</v>
      </c>
      <c r="F62" s="58" t="s">
        <v>210</v>
      </c>
      <c r="G62" s="58" t="s">
        <v>1529</v>
      </c>
      <c r="H62" s="58" t="s">
        <v>2540</v>
      </c>
      <c r="I62" s="58" t="s">
        <v>1259</v>
      </c>
      <c r="J62" s="58" t="s">
        <v>2541</v>
      </c>
      <c r="K62" s="74" t="s">
        <v>2542</v>
      </c>
      <c r="L62" s="58"/>
      <c r="M62" s="58"/>
      <c r="N62" s="58"/>
      <c r="O62" s="58"/>
      <c r="P62" s="58"/>
      <c r="Q62" s="58"/>
      <c r="R62" s="58"/>
      <c r="S62" s="58"/>
      <c r="T62" s="58"/>
      <c r="U62" s="58"/>
      <c r="V62" s="58"/>
      <c r="W62" s="77" t="s">
        <v>3116</v>
      </c>
      <c r="X62" s="58" t="s">
        <v>2378</v>
      </c>
      <c r="Y62" s="52"/>
      <c r="Z62" s="52"/>
      <c r="AA62" s="52"/>
      <c r="AB62" s="52"/>
      <c r="AC62" s="52"/>
    </row>
    <row r="63" customHeight="1" ht="73.5">
      <c r="A63" s="73">
        <v>51</v>
      </c>
      <c r="B63" s="116"/>
      <c r="C63" s="116"/>
      <c r="D63" s="116" t="s">
        <v>2544</v>
      </c>
      <c r="E63" s="58" t="s">
        <v>2545</v>
      </c>
      <c r="F63" s="58" t="s">
        <v>203</v>
      </c>
      <c r="G63" s="58" t="s">
        <v>1535</v>
      </c>
      <c r="H63" s="58" t="s">
        <v>2546</v>
      </c>
      <c r="I63" s="58" t="s">
        <v>2526</v>
      </c>
      <c r="J63" s="58" t="s">
        <v>2547</v>
      </c>
      <c r="K63" s="104"/>
      <c r="L63" s="58"/>
      <c r="M63" s="58"/>
      <c r="N63" s="58"/>
      <c r="O63" s="58"/>
      <c r="P63" s="58"/>
      <c r="Q63" s="58"/>
      <c r="R63" s="58"/>
      <c r="S63" s="58"/>
      <c r="T63" s="58"/>
      <c r="U63" s="58"/>
      <c r="V63" s="58"/>
      <c r="W63" s="77" t="s">
        <v>2548</v>
      </c>
      <c r="X63" s="58" t="s">
        <v>2378</v>
      </c>
      <c r="Y63" s="52"/>
      <c r="Z63" s="52"/>
      <c r="AA63" s="52"/>
      <c r="AB63" s="52"/>
      <c r="AC63" s="52"/>
    </row>
    <row r="64" customHeight="1" ht="73.5">
      <c r="A64" s="73">
        <v>52</v>
      </c>
      <c r="B64" s="116"/>
      <c r="C64" s="118"/>
      <c r="D64" s="118"/>
      <c r="E64" s="58" t="s">
        <v>2549</v>
      </c>
      <c r="F64" s="58" t="s">
        <v>210</v>
      </c>
      <c r="G64" s="58" t="s">
        <v>1541</v>
      </c>
      <c r="H64" s="58" t="s">
        <v>2550</v>
      </c>
      <c r="I64" s="58" t="s">
        <v>2551</v>
      </c>
      <c r="J64" s="58" t="s">
        <v>2552</v>
      </c>
      <c r="K64" s="104"/>
      <c r="L64" s="58"/>
      <c r="M64" s="58"/>
      <c r="N64" s="58"/>
      <c r="O64" s="58"/>
      <c r="P64" s="58"/>
      <c r="Q64" s="58"/>
      <c r="R64" s="58"/>
      <c r="S64" s="58"/>
      <c r="T64" s="58"/>
      <c r="U64" s="58"/>
      <c r="V64" s="58"/>
      <c r="W64" s="77" t="s">
        <v>2553</v>
      </c>
      <c r="X64" s="58" t="s">
        <v>2378</v>
      </c>
      <c r="Y64" s="52"/>
      <c r="Z64" s="52"/>
      <c r="AA64" s="52"/>
      <c r="AB64" s="52"/>
      <c r="AC64" s="52"/>
    </row>
    <row r="65" customHeight="1" ht="48.6">
      <c r="A65" s="73">
        <v>53</v>
      </c>
      <c r="B65" s="116"/>
      <c r="C65" s="116" t="s">
        <v>96</v>
      </c>
      <c r="D65" s="117" t="s">
        <v>653</v>
      </c>
      <c r="E65" s="58" t="s">
        <v>2554</v>
      </c>
      <c r="F65" s="58" t="s">
        <v>210</v>
      </c>
      <c r="G65" s="58" t="s">
        <v>1547</v>
      </c>
      <c r="H65" s="58" t="s">
        <v>1304</v>
      </c>
      <c r="I65" s="58" t="s">
        <v>1259</v>
      </c>
      <c r="J65" s="58" t="s">
        <v>1305</v>
      </c>
      <c r="K65" s="74" t="s">
        <v>2555</v>
      </c>
      <c r="L65" s="58"/>
      <c r="M65" s="58"/>
      <c r="N65" s="58"/>
      <c r="O65" s="58"/>
      <c r="P65" s="58"/>
      <c r="Q65" s="58"/>
      <c r="R65" s="58"/>
      <c r="S65" s="58"/>
      <c r="T65" s="58"/>
      <c r="U65" s="58"/>
      <c r="V65" s="58"/>
      <c r="W65" s="105"/>
      <c r="X65" s="58" t="s">
        <v>2350</v>
      </c>
      <c r="Y65" s="52"/>
      <c r="Z65" s="52"/>
      <c r="AA65" s="52"/>
      <c r="AB65" s="52"/>
      <c r="AC65" s="52"/>
    </row>
    <row r="66" customHeight="1" ht="48.6">
      <c r="A66" s="73">
        <v>54</v>
      </c>
      <c r="B66" s="116"/>
      <c r="C66" s="116"/>
      <c r="D66" s="116" t="s">
        <v>659</v>
      </c>
      <c r="E66" s="58" t="s">
        <v>660</v>
      </c>
      <c r="F66" s="58" t="s">
        <v>225</v>
      </c>
      <c r="G66" s="58" t="s">
        <v>1552</v>
      </c>
      <c r="H66" s="58" t="s">
        <v>662</v>
      </c>
      <c r="I66" s="58" t="s">
        <v>1259</v>
      </c>
      <c r="J66" s="58" t="s">
        <v>1309</v>
      </c>
      <c r="K66" s="74" t="s">
        <v>1310</v>
      </c>
      <c r="L66" s="58"/>
      <c r="M66" s="58"/>
      <c r="N66" s="58"/>
      <c r="O66" s="58"/>
      <c r="P66" s="58"/>
      <c r="Q66" s="58"/>
      <c r="R66" s="58"/>
      <c r="S66" s="58"/>
      <c r="T66" s="58"/>
      <c r="U66" s="58"/>
      <c r="V66" s="58"/>
      <c r="W66" s="105"/>
      <c r="X66" s="58" t="s">
        <v>2350</v>
      </c>
      <c r="Y66" s="52"/>
      <c r="Z66" s="52"/>
      <c r="AA66" s="52"/>
      <c r="AB66" s="52"/>
      <c r="AC66" s="52"/>
    </row>
    <row r="67" customHeight="1" ht="48.6">
      <c r="A67" s="73">
        <v>55</v>
      </c>
      <c r="B67" s="116"/>
      <c r="C67" s="116"/>
      <c r="D67" s="116"/>
      <c r="E67" s="58" t="s">
        <v>2556</v>
      </c>
      <c r="F67" s="58" t="s">
        <v>203</v>
      </c>
      <c r="G67" s="58" t="s">
        <v>1557</v>
      </c>
      <c r="H67" s="58" t="s">
        <v>1313</v>
      </c>
      <c r="I67" s="58" t="s">
        <v>1259</v>
      </c>
      <c r="J67" s="58" t="s">
        <v>1314</v>
      </c>
      <c r="K67" s="74" t="s">
        <v>3067</v>
      </c>
      <c r="L67" s="58"/>
      <c r="M67" s="58"/>
      <c r="N67" s="58"/>
      <c r="O67" s="58"/>
      <c r="P67" s="58"/>
      <c r="Q67" s="58"/>
      <c r="R67" s="58"/>
      <c r="S67" s="58"/>
      <c r="T67" s="58"/>
      <c r="U67" s="58"/>
      <c r="V67" s="58"/>
      <c r="W67" s="105"/>
      <c r="X67" s="58" t="s">
        <v>2350</v>
      </c>
      <c r="Y67" s="52"/>
      <c r="Z67" s="52"/>
      <c r="AA67" s="52"/>
      <c r="AB67" s="52"/>
      <c r="AC67" s="52"/>
    </row>
    <row r="68" customHeight="1" ht="48.6">
      <c r="A68" s="73">
        <v>56</v>
      </c>
      <c r="B68" s="116"/>
      <c r="C68" s="116"/>
      <c r="D68" s="116"/>
      <c r="E68" s="58" t="s">
        <v>665</v>
      </c>
      <c r="F68" s="58" t="s">
        <v>203</v>
      </c>
      <c r="G68" s="58" t="s">
        <v>1563</v>
      </c>
      <c r="H68" s="58" t="s">
        <v>2559</v>
      </c>
      <c r="I68" s="58" t="s">
        <v>1259</v>
      </c>
      <c r="J68" s="58" t="s">
        <v>1319</v>
      </c>
      <c r="K68" s="74" t="s">
        <v>3068</v>
      </c>
      <c r="L68" s="58"/>
      <c r="M68" s="58"/>
      <c r="N68" s="58"/>
      <c r="O68" s="58"/>
      <c r="P68" s="58"/>
      <c r="Q68" s="58"/>
      <c r="R68" s="58"/>
      <c r="S68" s="58"/>
      <c r="T68" s="58"/>
      <c r="U68" s="58"/>
      <c r="V68" s="58"/>
      <c r="W68" s="105"/>
      <c r="X68" s="58" t="s">
        <v>2350</v>
      </c>
      <c r="Y68" s="52"/>
      <c r="Z68" s="52"/>
      <c r="AA68" s="52"/>
      <c r="AB68" s="52"/>
      <c r="AC68" s="52"/>
    </row>
    <row r="69" customHeight="1" ht="60.0">
      <c r="A69" s="73">
        <v>57</v>
      </c>
      <c r="B69" s="116"/>
      <c r="C69" s="116"/>
      <c r="D69" s="116"/>
      <c r="E69" s="58" t="s">
        <v>2562</v>
      </c>
      <c r="F69" s="58" t="s">
        <v>203</v>
      </c>
      <c r="G69" s="58" t="s">
        <v>1568</v>
      </c>
      <c r="H69" s="58" t="s">
        <v>2563</v>
      </c>
      <c r="I69" s="58" t="s">
        <v>1259</v>
      </c>
      <c r="J69" s="58" t="s">
        <v>2564</v>
      </c>
      <c r="K69" s="74" t="s">
        <v>3069</v>
      </c>
      <c r="L69" s="58"/>
      <c r="M69" s="58"/>
      <c r="N69" s="58"/>
      <c r="O69" s="58"/>
      <c r="P69" s="58"/>
      <c r="Q69" s="58"/>
      <c r="R69" s="58"/>
      <c r="S69" s="58"/>
      <c r="T69" s="58"/>
      <c r="U69" s="58"/>
      <c r="V69" s="58"/>
      <c r="W69" s="77" t="s">
        <v>3117</v>
      </c>
      <c r="X69" s="58" t="s">
        <v>2350</v>
      </c>
      <c r="Y69" s="52"/>
      <c r="Z69" s="52"/>
      <c r="AA69" s="52"/>
      <c r="AB69" s="52"/>
      <c r="AC69" s="52"/>
    </row>
    <row r="70" customHeight="1" ht="48.6">
      <c r="A70" s="73">
        <v>58</v>
      </c>
      <c r="B70" s="116"/>
      <c r="C70" s="116"/>
      <c r="D70" s="116"/>
      <c r="E70" s="58" t="s">
        <v>2567</v>
      </c>
      <c r="F70" s="58" t="s">
        <v>210</v>
      </c>
      <c r="G70" s="58" t="s">
        <v>1575</v>
      </c>
      <c r="H70" s="58" t="s">
        <v>2568</v>
      </c>
      <c r="I70" s="58" t="s">
        <v>1259</v>
      </c>
      <c r="J70" s="58" t="s">
        <v>1327</v>
      </c>
      <c r="K70" s="74" t="s">
        <v>3118</v>
      </c>
      <c r="L70" s="58"/>
      <c r="M70" s="58"/>
      <c r="N70" s="58"/>
      <c r="O70" s="58"/>
      <c r="P70" s="58"/>
      <c r="Q70" s="58"/>
      <c r="R70" s="58"/>
      <c r="S70" s="58"/>
      <c r="T70" s="58"/>
      <c r="U70" s="58"/>
      <c r="V70" s="58"/>
      <c r="W70" s="105"/>
      <c r="X70" s="58" t="s">
        <v>2350</v>
      </c>
      <c r="Y70" s="52"/>
      <c r="Z70" s="52"/>
      <c r="AA70" s="52"/>
      <c r="AB70" s="52"/>
      <c r="AC70" s="52"/>
    </row>
    <row r="71" customHeight="1" ht="48.6">
      <c r="A71" s="73">
        <v>59</v>
      </c>
      <c r="B71" s="116"/>
      <c r="C71" s="116"/>
      <c r="D71" s="116"/>
      <c r="E71" s="58" t="s">
        <v>2571</v>
      </c>
      <c r="F71" s="58" t="s">
        <v>210</v>
      </c>
      <c r="G71" s="58" t="s">
        <v>1581</v>
      </c>
      <c r="H71" s="58" t="s">
        <v>1330</v>
      </c>
      <c r="I71" s="58" t="s">
        <v>1259</v>
      </c>
      <c r="J71" s="58" t="s">
        <v>1331</v>
      </c>
      <c r="K71" s="74" t="s">
        <v>3072</v>
      </c>
      <c r="L71" s="58"/>
      <c r="M71" s="58"/>
      <c r="N71" s="58"/>
      <c r="O71" s="58"/>
      <c r="P71" s="58"/>
      <c r="Q71" s="58"/>
      <c r="R71" s="58"/>
      <c r="S71" s="58"/>
      <c r="T71" s="58"/>
      <c r="U71" s="58"/>
      <c r="V71" s="58"/>
      <c r="W71" s="105"/>
      <c r="X71" s="58" t="s">
        <v>2350</v>
      </c>
      <c r="Y71" s="52"/>
      <c r="Z71" s="52"/>
      <c r="AA71" s="52"/>
      <c r="AB71" s="52"/>
      <c r="AC71" s="52"/>
    </row>
    <row r="72" customHeight="1" ht="48.6">
      <c r="A72" s="73">
        <v>60</v>
      </c>
      <c r="B72" s="116"/>
      <c r="C72" s="116"/>
      <c r="D72" s="116"/>
      <c r="E72" s="58" t="s">
        <v>2574</v>
      </c>
      <c r="F72" s="58" t="s">
        <v>225</v>
      </c>
      <c r="G72" s="58" t="s">
        <v>1584</v>
      </c>
      <c r="H72" s="58" t="s">
        <v>2575</v>
      </c>
      <c r="I72" s="58" t="s">
        <v>1259</v>
      </c>
      <c r="J72" s="58" t="s">
        <v>1335</v>
      </c>
      <c r="K72" s="74" t="s">
        <v>3119</v>
      </c>
      <c r="L72" s="58"/>
      <c r="M72" s="58"/>
      <c r="N72" s="58"/>
      <c r="O72" s="58"/>
      <c r="P72" s="58"/>
      <c r="Q72" s="58"/>
      <c r="R72" s="58"/>
      <c r="S72" s="58"/>
      <c r="T72" s="58"/>
      <c r="U72" s="58"/>
      <c r="V72" s="58"/>
      <c r="W72" s="105"/>
      <c r="X72" s="58" t="s">
        <v>2350</v>
      </c>
      <c r="Y72" s="52"/>
      <c r="Z72" s="52"/>
      <c r="AA72" s="52"/>
      <c r="AB72" s="52"/>
      <c r="AC72" s="52"/>
    </row>
    <row r="73" customHeight="1" ht="48.6">
      <c r="A73" s="73">
        <v>61</v>
      </c>
      <c r="B73" s="116"/>
      <c r="C73" s="116"/>
      <c r="D73" s="116"/>
      <c r="E73" s="58" t="s">
        <v>2580</v>
      </c>
      <c r="F73" s="58" t="s">
        <v>225</v>
      </c>
      <c r="G73" s="58" t="s">
        <v>1589</v>
      </c>
      <c r="H73" s="58" t="s">
        <v>2581</v>
      </c>
      <c r="I73" s="58" t="s">
        <v>1259</v>
      </c>
      <c r="J73" s="58" t="s">
        <v>2582</v>
      </c>
      <c r="K73" s="74" t="s">
        <v>2583</v>
      </c>
      <c r="L73" s="58"/>
      <c r="M73" s="58"/>
      <c r="N73" s="58"/>
      <c r="O73" s="58"/>
      <c r="P73" s="58"/>
      <c r="Q73" s="58"/>
      <c r="R73" s="58"/>
      <c r="S73" s="58"/>
      <c r="T73" s="58"/>
      <c r="U73" s="58"/>
      <c r="V73" s="58"/>
      <c r="W73" s="105"/>
      <c r="X73" s="58" t="s">
        <v>2350</v>
      </c>
      <c r="Y73" s="52"/>
      <c r="Z73" s="52"/>
      <c r="AA73" s="52"/>
      <c r="AB73" s="52"/>
      <c r="AC73" s="52"/>
    </row>
    <row r="74" customHeight="1" ht="73.5">
      <c r="A74" s="73">
        <v>62</v>
      </c>
      <c r="B74" s="116"/>
      <c r="C74" s="116"/>
      <c r="D74" s="116"/>
      <c r="E74" s="58" t="s">
        <v>677</v>
      </c>
      <c r="F74" s="58" t="s">
        <v>203</v>
      </c>
      <c r="G74" s="58" t="s">
        <v>1594</v>
      </c>
      <c r="H74" s="58" t="s">
        <v>679</v>
      </c>
      <c r="I74" s="58" t="s">
        <v>1259</v>
      </c>
      <c r="J74" s="58" t="s">
        <v>1339</v>
      </c>
      <c r="K74" s="74" t="s">
        <v>3074</v>
      </c>
      <c r="L74" s="58"/>
      <c r="M74" s="58"/>
      <c r="N74" s="58"/>
      <c r="O74" s="58"/>
      <c r="P74" s="58"/>
      <c r="Q74" s="58"/>
      <c r="R74" s="58"/>
      <c r="S74" s="58"/>
      <c r="T74" s="58"/>
      <c r="U74" s="58"/>
      <c r="V74" s="58"/>
      <c r="W74" s="105"/>
      <c r="X74" s="58" t="s">
        <v>2350</v>
      </c>
      <c r="Y74" s="52"/>
      <c r="Z74" s="52"/>
      <c r="AA74" s="52"/>
      <c r="AB74" s="52"/>
      <c r="AC74" s="52"/>
    </row>
    <row r="75" customHeight="1" ht="48.6">
      <c r="A75" s="73">
        <v>63</v>
      </c>
      <c r="B75" s="116"/>
      <c r="C75" s="116"/>
      <c r="D75" s="116"/>
      <c r="E75" s="58" t="s">
        <v>683</v>
      </c>
      <c r="F75" s="58" t="s">
        <v>210</v>
      </c>
      <c r="G75" s="58" t="s">
        <v>1599</v>
      </c>
      <c r="H75" s="58" t="s">
        <v>685</v>
      </c>
      <c r="I75" s="58" t="s">
        <v>1259</v>
      </c>
      <c r="J75" s="58" t="s">
        <v>2586</v>
      </c>
      <c r="K75" s="74" t="s">
        <v>687</v>
      </c>
      <c r="L75" s="58"/>
      <c r="M75" s="58"/>
      <c r="N75" s="58"/>
      <c r="O75" s="58"/>
      <c r="P75" s="58"/>
      <c r="Q75" s="58"/>
      <c r="R75" s="58"/>
      <c r="S75" s="58"/>
      <c r="T75" s="58"/>
      <c r="U75" s="58"/>
      <c r="V75" s="58"/>
      <c r="W75" s="105"/>
      <c r="X75" s="58" t="s">
        <v>2350</v>
      </c>
      <c r="Y75" s="52"/>
      <c r="Z75" s="52"/>
      <c r="AA75" s="52"/>
      <c r="AB75" s="52"/>
      <c r="AC75" s="52"/>
    </row>
    <row r="76" customHeight="1" ht="48.6">
      <c r="A76" s="73">
        <v>64</v>
      </c>
      <c r="B76" s="116"/>
      <c r="C76" s="116"/>
      <c r="D76" s="116"/>
      <c r="E76" s="58" t="s">
        <v>2587</v>
      </c>
      <c r="F76" s="58" t="s">
        <v>225</v>
      </c>
      <c r="G76" s="58" t="s">
        <v>1604</v>
      </c>
      <c r="H76" s="58" t="s">
        <v>2588</v>
      </c>
      <c r="I76" s="58" t="s">
        <v>1259</v>
      </c>
      <c r="J76" s="58" t="s">
        <v>2589</v>
      </c>
      <c r="K76" s="104"/>
      <c r="L76" s="58"/>
      <c r="M76" s="58"/>
      <c r="N76" s="58"/>
      <c r="O76" s="58"/>
      <c r="P76" s="58"/>
      <c r="Q76" s="58"/>
      <c r="R76" s="58"/>
      <c r="S76" s="58"/>
      <c r="T76" s="58"/>
      <c r="U76" s="58"/>
      <c r="V76" s="58"/>
      <c r="W76" s="77" t="s">
        <v>2590</v>
      </c>
      <c r="X76" s="58" t="s">
        <v>2350</v>
      </c>
      <c r="Y76" s="52"/>
      <c r="Z76" s="52"/>
      <c r="AA76" s="52"/>
      <c r="AB76" s="52"/>
      <c r="AC76" s="52"/>
    </row>
    <row r="77" customHeight="1" ht="48.6">
      <c r="A77" s="73">
        <v>65</v>
      </c>
      <c r="B77" s="116"/>
      <c r="C77" s="118"/>
      <c r="D77" s="118"/>
      <c r="E77" s="58" t="s">
        <v>688</v>
      </c>
      <c r="F77" s="58" t="s">
        <v>210</v>
      </c>
      <c r="G77" s="58" t="s">
        <v>1609</v>
      </c>
      <c r="H77" s="58" t="s">
        <v>690</v>
      </c>
      <c r="I77" s="58" t="s">
        <v>1259</v>
      </c>
      <c r="J77" s="58" t="s">
        <v>1344</v>
      </c>
      <c r="K77" s="74" t="s">
        <v>3075</v>
      </c>
      <c r="L77" s="58"/>
      <c r="M77" s="58"/>
      <c r="N77" s="58"/>
      <c r="O77" s="58"/>
      <c r="P77" s="58"/>
      <c r="Q77" s="58"/>
      <c r="R77" s="58"/>
      <c r="S77" s="58"/>
      <c r="T77" s="58"/>
      <c r="U77" s="58"/>
      <c r="V77" s="58"/>
      <c r="W77" s="105"/>
      <c r="X77" s="58" t="s">
        <v>2350</v>
      </c>
      <c r="Y77" s="52"/>
      <c r="Z77" s="52"/>
      <c r="AA77" s="52"/>
      <c r="AB77" s="52"/>
      <c r="AC77" s="52"/>
    </row>
    <row r="78" customHeight="1" ht="141.0">
      <c r="A78" s="73">
        <v>66</v>
      </c>
      <c r="B78" s="116"/>
      <c r="C78" s="116" t="s">
        <v>97</v>
      </c>
      <c r="D78" s="116" t="s">
        <v>268</v>
      </c>
      <c r="E78" s="58" t="s">
        <v>693</v>
      </c>
      <c r="F78" s="58" t="s">
        <v>203</v>
      </c>
      <c r="G78" s="58" t="s">
        <v>1614</v>
      </c>
      <c r="H78" s="58" t="s">
        <v>695</v>
      </c>
      <c r="I78" s="58" t="s">
        <v>1259</v>
      </c>
      <c r="J78" s="58" t="s">
        <v>1350</v>
      </c>
      <c r="K78" s="74" t="s">
        <v>2593</v>
      </c>
      <c r="L78" s="58"/>
      <c r="M78" s="58"/>
      <c r="N78" s="58"/>
      <c r="O78" s="58"/>
      <c r="P78" s="58"/>
      <c r="Q78" s="58"/>
      <c r="R78" s="58"/>
      <c r="S78" s="58"/>
      <c r="T78" s="58"/>
      <c r="U78" s="58"/>
      <c r="V78" s="58"/>
      <c r="W78" s="77" t="s">
        <v>3120</v>
      </c>
      <c r="X78" s="58" t="s">
        <v>2350</v>
      </c>
      <c r="Y78" s="52"/>
      <c r="Z78" s="52"/>
      <c r="AA78" s="52"/>
      <c r="AB78" s="52"/>
      <c r="AC78" s="52"/>
    </row>
    <row r="79" customHeight="1" ht="73.5">
      <c r="A79" s="73">
        <v>67</v>
      </c>
      <c r="B79" s="116"/>
      <c r="C79" s="116"/>
      <c r="D79" s="116"/>
      <c r="E79" s="58" t="s">
        <v>2595</v>
      </c>
      <c r="F79" s="58" t="s">
        <v>203</v>
      </c>
      <c r="G79" s="58" t="s">
        <v>1619</v>
      </c>
      <c r="H79" s="58" t="s">
        <v>2596</v>
      </c>
      <c r="I79" s="58" t="s">
        <v>1259</v>
      </c>
      <c r="J79" s="58" t="s">
        <v>2597</v>
      </c>
      <c r="K79" s="74" t="s">
        <v>2598</v>
      </c>
      <c r="L79" s="58"/>
      <c r="M79" s="58"/>
      <c r="N79" s="58"/>
      <c r="O79" s="58"/>
      <c r="P79" s="58"/>
      <c r="Q79" s="58"/>
      <c r="R79" s="58"/>
      <c r="S79" s="58"/>
      <c r="T79" s="58"/>
      <c r="U79" s="58"/>
      <c r="V79" s="58"/>
      <c r="W79" s="77" t="s">
        <v>3121</v>
      </c>
      <c r="X79" s="58" t="s">
        <v>2350</v>
      </c>
      <c r="Y79" s="52"/>
      <c r="Z79" s="52"/>
      <c r="AA79" s="52"/>
      <c r="AB79" s="52"/>
      <c r="AC79" s="52"/>
    </row>
    <row r="80" customHeight="1" ht="48.6">
      <c r="A80" s="73">
        <v>68</v>
      </c>
      <c r="B80" s="116"/>
      <c r="C80" s="116"/>
      <c r="D80" s="116"/>
      <c r="E80" s="58" t="s">
        <v>2600</v>
      </c>
      <c r="F80" s="58" t="s">
        <v>203</v>
      </c>
      <c r="G80" s="58" t="s">
        <v>1624</v>
      </c>
      <c r="H80" s="58" t="s">
        <v>2601</v>
      </c>
      <c r="I80" s="58" t="s">
        <v>1259</v>
      </c>
      <c r="J80" s="58" t="s">
        <v>2602</v>
      </c>
      <c r="K80" s="74" t="s">
        <v>2603</v>
      </c>
      <c r="L80" s="58"/>
      <c r="M80" s="58"/>
      <c r="N80" s="58"/>
      <c r="O80" s="58"/>
      <c r="P80" s="58"/>
      <c r="Q80" s="58"/>
      <c r="R80" s="58"/>
      <c r="S80" s="58"/>
      <c r="T80" s="58"/>
      <c r="U80" s="58"/>
      <c r="V80" s="58"/>
      <c r="W80" s="105"/>
      <c r="X80" s="58" t="s">
        <v>2350</v>
      </c>
      <c r="Y80" s="52"/>
      <c r="Z80" s="52"/>
      <c r="AA80" s="52"/>
      <c r="AB80" s="52"/>
      <c r="AC80" s="52"/>
    </row>
    <row r="81" customHeight="1" ht="48.6">
      <c r="A81" s="73">
        <v>69</v>
      </c>
      <c r="B81" s="116"/>
      <c r="C81" s="116"/>
      <c r="D81" s="116"/>
      <c r="E81" s="58" t="s">
        <v>2604</v>
      </c>
      <c r="F81" s="58" t="s">
        <v>203</v>
      </c>
      <c r="G81" s="58" t="s">
        <v>1629</v>
      </c>
      <c r="H81" s="58" t="s">
        <v>2605</v>
      </c>
      <c r="I81" s="58" t="s">
        <v>2606</v>
      </c>
      <c r="J81" s="58" t="s">
        <v>2607</v>
      </c>
      <c r="K81" s="74" t="s">
        <v>2608</v>
      </c>
      <c r="L81" s="58"/>
      <c r="M81" s="58"/>
      <c r="N81" s="58"/>
      <c r="O81" s="58"/>
      <c r="P81" s="58"/>
      <c r="Q81" s="58"/>
      <c r="R81" s="58"/>
      <c r="S81" s="58"/>
      <c r="T81" s="58"/>
      <c r="U81" s="58"/>
      <c r="V81" s="58"/>
      <c r="W81" s="105"/>
      <c r="X81" s="58" t="s">
        <v>2350</v>
      </c>
      <c r="Y81" s="52"/>
      <c r="Z81" s="52"/>
      <c r="AA81" s="52"/>
      <c r="AB81" s="52"/>
      <c r="AC81" s="52"/>
    </row>
    <row r="82" customHeight="1" ht="48.6">
      <c r="A82" s="73">
        <v>70</v>
      </c>
      <c r="B82" s="116"/>
      <c r="C82" s="116"/>
      <c r="D82" s="116"/>
      <c r="E82" s="58" t="s">
        <v>2609</v>
      </c>
      <c r="F82" s="58" t="s">
        <v>210</v>
      </c>
      <c r="G82" s="58" t="s">
        <v>1634</v>
      </c>
      <c r="H82" s="58" t="s">
        <v>2610</v>
      </c>
      <c r="I82" s="58" t="s">
        <v>2611</v>
      </c>
      <c r="J82" s="58" t="s">
        <v>2612</v>
      </c>
      <c r="K82" s="74" t="s">
        <v>2613</v>
      </c>
      <c r="L82" s="58"/>
      <c r="M82" s="58"/>
      <c r="N82" s="58"/>
      <c r="O82" s="58"/>
      <c r="P82" s="58"/>
      <c r="Q82" s="58"/>
      <c r="R82" s="58"/>
      <c r="S82" s="58"/>
      <c r="T82" s="58"/>
      <c r="U82" s="58"/>
      <c r="V82" s="58"/>
      <c r="W82" s="105"/>
      <c r="X82" s="58" t="s">
        <v>2350</v>
      </c>
      <c r="Y82" s="52"/>
      <c r="Z82" s="52"/>
      <c r="AA82" s="52"/>
      <c r="AB82" s="52"/>
      <c r="AC82" s="52"/>
    </row>
    <row r="83" customHeight="1" ht="48.6">
      <c r="A83" s="73">
        <v>71</v>
      </c>
      <c r="B83" s="116"/>
      <c r="C83" s="116"/>
      <c r="D83" s="116"/>
      <c r="E83" s="58" t="s">
        <v>2614</v>
      </c>
      <c r="F83" s="58" t="s">
        <v>210</v>
      </c>
      <c r="G83" s="58" t="s">
        <v>1639</v>
      </c>
      <c r="H83" s="58" t="s">
        <v>2615</v>
      </c>
      <c r="I83" s="58" t="s">
        <v>2355</v>
      </c>
      <c r="J83" s="58" t="s">
        <v>2616</v>
      </c>
      <c r="K83" s="74" t="s">
        <v>735</v>
      </c>
      <c r="L83" s="58"/>
      <c r="M83" s="58"/>
      <c r="N83" s="58"/>
      <c r="O83" s="58"/>
      <c r="P83" s="58"/>
      <c r="Q83" s="58"/>
      <c r="R83" s="58"/>
      <c r="S83" s="58"/>
      <c r="T83" s="58"/>
      <c r="U83" s="58"/>
      <c r="V83" s="58"/>
      <c r="W83" s="105"/>
      <c r="X83" s="58" t="s">
        <v>2350</v>
      </c>
      <c r="Y83" s="52"/>
      <c r="Z83" s="52"/>
      <c r="AA83" s="52"/>
      <c r="AB83" s="52"/>
      <c r="AC83" s="52"/>
    </row>
    <row r="84" customHeight="1" ht="48.6">
      <c r="A84" s="73">
        <v>72</v>
      </c>
      <c r="B84" s="116"/>
      <c r="C84" s="116"/>
      <c r="D84" s="116"/>
      <c r="E84" s="58" t="s">
        <v>2617</v>
      </c>
      <c r="F84" s="58" t="s">
        <v>210</v>
      </c>
      <c r="G84" s="58" t="s">
        <v>1644</v>
      </c>
      <c r="H84" s="58" t="s">
        <v>2618</v>
      </c>
      <c r="I84" s="58" t="s">
        <v>2355</v>
      </c>
      <c r="J84" s="58" t="s">
        <v>2619</v>
      </c>
      <c r="K84" s="74" t="s">
        <v>2620</v>
      </c>
      <c r="L84" s="58"/>
      <c r="M84" s="58"/>
      <c r="N84" s="58"/>
      <c r="O84" s="58"/>
      <c r="P84" s="58"/>
      <c r="Q84" s="58"/>
      <c r="R84" s="58"/>
      <c r="S84" s="58"/>
      <c r="T84" s="58"/>
      <c r="U84" s="58"/>
      <c r="V84" s="58"/>
      <c r="W84" s="105"/>
      <c r="X84" s="58" t="s">
        <v>2350</v>
      </c>
      <c r="Y84" s="52"/>
      <c r="Z84" s="52"/>
      <c r="AA84" s="52"/>
      <c r="AB84" s="52"/>
      <c r="AC84" s="52"/>
    </row>
    <row r="85" customHeight="1" ht="48.6">
      <c r="A85" s="73">
        <v>73</v>
      </c>
      <c r="B85" s="116"/>
      <c r="C85" s="116"/>
      <c r="D85" s="116"/>
      <c r="E85" s="58" t="s">
        <v>2621</v>
      </c>
      <c r="F85" s="58" t="s">
        <v>203</v>
      </c>
      <c r="G85" s="58" t="s">
        <v>1649</v>
      </c>
      <c r="H85" s="58" t="s">
        <v>2622</v>
      </c>
      <c r="I85" s="58" t="s">
        <v>2361</v>
      </c>
      <c r="J85" s="58" t="s">
        <v>2623</v>
      </c>
      <c r="K85" s="74" t="s">
        <v>2624</v>
      </c>
      <c r="L85" s="58"/>
      <c r="M85" s="58"/>
      <c r="N85" s="58"/>
      <c r="O85" s="58"/>
      <c r="P85" s="58"/>
      <c r="Q85" s="58"/>
      <c r="R85" s="58"/>
      <c r="S85" s="58"/>
      <c r="T85" s="58"/>
      <c r="U85" s="58"/>
      <c r="V85" s="58"/>
      <c r="W85" s="105"/>
      <c r="X85" s="58" t="s">
        <v>2350</v>
      </c>
      <c r="Y85" s="52"/>
      <c r="Z85" s="52"/>
      <c r="AA85" s="52"/>
      <c r="AB85" s="52"/>
      <c r="AC85" s="52"/>
    </row>
    <row r="86" customHeight="1" ht="60.0">
      <c r="A86" s="73">
        <v>74</v>
      </c>
      <c r="B86" s="116"/>
      <c r="C86" s="116"/>
      <c r="D86" s="116"/>
      <c r="E86" s="58" t="s">
        <v>2625</v>
      </c>
      <c r="F86" s="58" t="s">
        <v>225</v>
      </c>
      <c r="G86" s="58" t="s">
        <v>1653</v>
      </c>
      <c r="H86" s="58" t="s">
        <v>2626</v>
      </c>
      <c r="I86" s="58" t="s">
        <v>1259</v>
      </c>
      <c r="J86" s="58" t="s">
        <v>2627</v>
      </c>
      <c r="K86" s="74" t="s">
        <v>2628</v>
      </c>
      <c r="L86" s="58"/>
      <c r="M86" s="58"/>
      <c r="N86" s="58"/>
      <c r="O86" s="58"/>
      <c r="P86" s="58"/>
      <c r="Q86" s="58"/>
      <c r="R86" s="58"/>
      <c r="S86" s="58"/>
      <c r="T86" s="58"/>
      <c r="U86" s="58"/>
      <c r="V86" s="58"/>
      <c r="W86" s="77" t="s">
        <v>2629</v>
      </c>
      <c r="X86" s="58" t="s">
        <v>2350</v>
      </c>
      <c r="Y86" s="52"/>
      <c r="Z86" s="52"/>
      <c r="AA86" s="52"/>
      <c r="AB86" s="52"/>
      <c r="AC86" s="52"/>
    </row>
    <row r="87" customHeight="1" ht="48.6">
      <c r="A87" s="73">
        <v>75</v>
      </c>
      <c r="B87" s="116"/>
      <c r="C87" s="116"/>
      <c r="D87" s="118"/>
      <c r="E87" s="58" t="s">
        <v>2630</v>
      </c>
      <c r="F87" s="58" t="s">
        <v>210</v>
      </c>
      <c r="G87" s="58" t="s">
        <v>1657</v>
      </c>
      <c r="H87" s="58" t="s">
        <v>2631</v>
      </c>
      <c r="I87" s="58" t="s">
        <v>2632</v>
      </c>
      <c r="J87" s="58" t="s">
        <v>2633</v>
      </c>
      <c r="K87" s="74" t="s">
        <v>2634</v>
      </c>
      <c r="L87" s="58"/>
      <c r="M87" s="58"/>
      <c r="N87" s="58"/>
      <c r="O87" s="58"/>
      <c r="P87" s="58"/>
      <c r="Q87" s="58"/>
      <c r="R87" s="58"/>
      <c r="S87" s="58"/>
      <c r="T87" s="58"/>
      <c r="U87" s="58"/>
      <c r="V87" s="58"/>
      <c r="W87" s="105"/>
      <c r="X87" s="58" t="s">
        <v>2350</v>
      </c>
      <c r="Y87" s="52"/>
      <c r="Z87" s="52"/>
      <c r="AA87" s="52"/>
      <c r="AB87" s="52"/>
      <c r="AC87" s="52"/>
    </row>
    <row r="88" customHeight="1" ht="60.0">
      <c r="A88" s="73">
        <v>76</v>
      </c>
      <c r="B88" s="116"/>
      <c r="C88" s="116"/>
      <c r="D88" s="116" t="s">
        <v>784</v>
      </c>
      <c r="E88" s="58" t="s">
        <v>785</v>
      </c>
      <c r="F88" s="58" t="s">
        <v>210</v>
      </c>
      <c r="G88" s="58" t="s">
        <v>1661</v>
      </c>
      <c r="H88" s="58" t="s">
        <v>787</v>
      </c>
      <c r="I88" s="58" t="s">
        <v>1259</v>
      </c>
      <c r="J88" s="58" t="s">
        <v>2635</v>
      </c>
      <c r="K88" s="74" t="s">
        <v>2636</v>
      </c>
      <c r="L88" s="58"/>
      <c r="M88" s="58"/>
      <c r="N88" s="58"/>
      <c r="O88" s="58"/>
      <c r="P88" s="58"/>
      <c r="Q88" s="58"/>
      <c r="R88" s="58"/>
      <c r="S88" s="58"/>
      <c r="T88" s="58"/>
      <c r="U88" s="58"/>
      <c r="V88" s="58"/>
      <c r="W88" s="77" t="s">
        <v>2637</v>
      </c>
      <c r="X88" s="58" t="s">
        <v>2350</v>
      </c>
      <c r="Y88" s="52"/>
      <c r="Z88" s="52"/>
      <c r="AA88" s="52"/>
      <c r="AB88" s="52"/>
      <c r="AC88" s="52"/>
    </row>
    <row r="89" customHeight="1" ht="60.0">
      <c r="A89" s="73">
        <v>77</v>
      </c>
      <c r="B89" s="116"/>
      <c r="C89" s="116"/>
      <c r="D89" s="116"/>
      <c r="E89" s="58" t="s">
        <v>2638</v>
      </c>
      <c r="F89" s="58" t="s">
        <v>210</v>
      </c>
      <c r="G89" s="58" t="s">
        <v>1665</v>
      </c>
      <c r="H89" s="58" t="s">
        <v>2639</v>
      </c>
      <c r="I89" s="58" t="s">
        <v>1259</v>
      </c>
      <c r="J89" s="58" t="s">
        <v>2640</v>
      </c>
      <c r="K89" s="74" t="s">
        <v>2641</v>
      </c>
      <c r="L89" s="58"/>
      <c r="M89" s="58"/>
      <c r="N89" s="58"/>
      <c r="O89" s="58"/>
      <c r="P89" s="58"/>
      <c r="Q89" s="58"/>
      <c r="R89" s="58"/>
      <c r="S89" s="58"/>
      <c r="T89" s="58"/>
      <c r="U89" s="58"/>
      <c r="V89" s="58"/>
      <c r="W89" s="77" t="s">
        <v>3122</v>
      </c>
      <c r="X89" s="58" t="s">
        <v>2350</v>
      </c>
      <c r="Y89" s="52"/>
      <c r="Z89" s="52"/>
      <c r="AA89" s="52"/>
      <c r="AB89" s="52"/>
      <c r="AC89" s="52"/>
    </row>
    <row r="90" customHeight="1" ht="48.6">
      <c r="A90" s="73">
        <v>78</v>
      </c>
      <c r="B90" s="116"/>
      <c r="C90" s="116"/>
      <c r="D90" s="116"/>
      <c r="E90" s="58" t="s">
        <v>2643</v>
      </c>
      <c r="F90" s="58" t="s">
        <v>210</v>
      </c>
      <c r="G90" s="58" t="s">
        <v>1669</v>
      </c>
      <c r="H90" s="58" t="s">
        <v>2644</v>
      </c>
      <c r="I90" s="58" t="s">
        <v>1259</v>
      </c>
      <c r="J90" s="58" t="s">
        <v>2645</v>
      </c>
      <c r="K90" s="74" t="s">
        <v>2646</v>
      </c>
      <c r="L90" s="58"/>
      <c r="M90" s="58"/>
      <c r="N90" s="58"/>
      <c r="O90" s="58"/>
      <c r="P90" s="58"/>
      <c r="Q90" s="58"/>
      <c r="R90" s="58"/>
      <c r="S90" s="58"/>
      <c r="T90" s="58"/>
      <c r="U90" s="58"/>
      <c r="V90" s="58"/>
      <c r="W90" s="105"/>
      <c r="X90" s="58" t="s">
        <v>2350</v>
      </c>
      <c r="Y90" s="52"/>
      <c r="Z90" s="52"/>
      <c r="AA90" s="52"/>
      <c r="AB90" s="52"/>
      <c r="AC90" s="52"/>
    </row>
    <row r="91" customHeight="1" ht="48.6">
      <c r="A91" s="73">
        <v>79</v>
      </c>
      <c r="B91" s="116"/>
      <c r="C91" s="116"/>
      <c r="D91" s="116"/>
      <c r="E91" s="58" t="s">
        <v>2647</v>
      </c>
      <c r="F91" s="58" t="s">
        <v>225</v>
      </c>
      <c r="G91" s="58" t="s">
        <v>1673</v>
      </c>
      <c r="H91" s="58" t="s">
        <v>2648</v>
      </c>
      <c r="I91" s="58" t="s">
        <v>1259</v>
      </c>
      <c r="J91" s="58" t="s">
        <v>2649</v>
      </c>
      <c r="K91" s="74" t="s">
        <v>2650</v>
      </c>
      <c r="L91" s="58"/>
      <c r="M91" s="58"/>
      <c r="N91" s="58"/>
      <c r="O91" s="58"/>
      <c r="P91" s="58"/>
      <c r="Q91" s="58"/>
      <c r="R91" s="58"/>
      <c r="S91" s="58"/>
      <c r="T91" s="58"/>
      <c r="U91" s="58"/>
      <c r="V91" s="58"/>
      <c r="W91" s="105"/>
      <c r="X91" s="58" t="s">
        <v>2350</v>
      </c>
      <c r="Y91" s="52"/>
      <c r="Z91" s="52"/>
      <c r="AA91" s="52"/>
      <c r="AB91" s="52"/>
      <c r="AC91" s="52"/>
    </row>
    <row r="92" customHeight="1" ht="60.0">
      <c r="A92" s="73">
        <v>80</v>
      </c>
      <c r="B92" s="116"/>
      <c r="C92" s="116"/>
      <c r="D92" s="116"/>
      <c r="E92" s="58" t="s">
        <v>2652</v>
      </c>
      <c r="F92" s="58" t="s">
        <v>225</v>
      </c>
      <c r="G92" s="58" t="s">
        <v>1678</v>
      </c>
      <c r="H92" s="58" t="s">
        <v>2653</v>
      </c>
      <c r="I92" s="58" t="s">
        <v>1259</v>
      </c>
      <c r="J92" s="58" t="s">
        <v>2654</v>
      </c>
      <c r="K92" s="74" t="s">
        <v>2655</v>
      </c>
      <c r="L92" s="58"/>
      <c r="M92" s="58"/>
      <c r="N92" s="58"/>
      <c r="O92" s="58"/>
      <c r="P92" s="58"/>
      <c r="Q92" s="58"/>
      <c r="R92" s="58"/>
      <c r="S92" s="58"/>
      <c r="T92" s="58"/>
      <c r="U92" s="58"/>
      <c r="V92" s="58"/>
      <c r="W92" s="105"/>
      <c r="X92" s="58" t="s">
        <v>2350</v>
      </c>
      <c r="Y92" s="52"/>
      <c r="Z92" s="52"/>
      <c r="AA92" s="52"/>
      <c r="AB92" s="52"/>
      <c r="AC92" s="52"/>
    </row>
    <row r="93" customHeight="1" ht="48.6">
      <c r="A93" s="73">
        <v>81</v>
      </c>
      <c r="B93" s="116"/>
      <c r="C93" s="116"/>
      <c r="D93" s="116"/>
      <c r="E93" s="58" t="s">
        <v>2657</v>
      </c>
      <c r="F93" s="58" t="s">
        <v>225</v>
      </c>
      <c r="G93" s="58" t="s">
        <v>1683</v>
      </c>
      <c r="H93" s="58" t="s">
        <v>2658</v>
      </c>
      <c r="I93" s="58" t="s">
        <v>1259</v>
      </c>
      <c r="J93" s="58" t="s">
        <v>2659</v>
      </c>
      <c r="K93" s="74" t="s">
        <v>2660</v>
      </c>
      <c r="L93" s="58"/>
      <c r="M93" s="58"/>
      <c r="N93" s="58"/>
      <c r="O93" s="58"/>
      <c r="P93" s="58"/>
      <c r="Q93" s="58"/>
      <c r="R93" s="58"/>
      <c r="S93" s="58"/>
      <c r="T93" s="58"/>
      <c r="U93" s="58"/>
      <c r="V93" s="58"/>
      <c r="W93" s="105"/>
      <c r="X93" s="58" t="s">
        <v>2350</v>
      </c>
      <c r="Y93" s="52"/>
      <c r="Z93" s="52"/>
      <c r="AA93" s="52"/>
      <c r="AB93" s="52"/>
      <c r="AC93" s="52"/>
    </row>
    <row r="94" customHeight="1" ht="48.6">
      <c r="A94" s="73">
        <v>82</v>
      </c>
      <c r="B94" s="116"/>
      <c r="C94" s="116"/>
      <c r="D94" s="118"/>
      <c r="E94" s="58" t="s">
        <v>2614</v>
      </c>
      <c r="F94" s="58" t="s">
        <v>210</v>
      </c>
      <c r="G94" s="58" t="s">
        <v>1688</v>
      </c>
      <c r="H94" s="58" t="s">
        <v>2661</v>
      </c>
      <c r="I94" s="58" t="s">
        <v>1259</v>
      </c>
      <c r="J94" s="58" t="s">
        <v>2662</v>
      </c>
      <c r="K94" s="74" t="s">
        <v>2663</v>
      </c>
      <c r="L94" s="58"/>
      <c r="M94" s="58"/>
      <c r="N94" s="58"/>
      <c r="O94" s="58"/>
      <c r="P94" s="58"/>
      <c r="Q94" s="58"/>
      <c r="R94" s="58"/>
      <c r="S94" s="58"/>
      <c r="T94" s="58"/>
      <c r="U94" s="58"/>
      <c r="V94" s="58"/>
      <c r="W94" s="105"/>
      <c r="X94" s="58" t="s">
        <v>2350</v>
      </c>
      <c r="Y94" s="52"/>
      <c r="Z94" s="52"/>
      <c r="AA94" s="52"/>
      <c r="AB94" s="52"/>
      <c r="AC94" s="52"/>
    </row>
    <row r="95" customHeight="1" ht="48.6">
      <c r="A95" s="73">
        <v>83</v>
      </c>
      <c r="B95" s="116"/>
      <c r="C95" s="116"/>
      <c r="D95" s="116" t="s">
        <v>1380</v>
      </c>
      <c r="E95" s="58" t="s">
        <v>2664</v>
      </c>
      <c r="F95" s="58" t="s">
        <v>225</v>
      </c>
      <c r="G95" s="58" t="s">
        <v>1693</v>
      </c>
      <c r="H95" s="58" t="s">
        <v>2665</v>
      </c>
      <c r="I95" s="58" t="s">
        <v>2355</v>
      </c>
      <c r="J95" s="58" t="s">
        <v>2666</v>
      </c>
      <c r="K95" s="74" t="s">
        <v>3077</v>
      </c>
      <c r="L95" s="58"/>
      <c r="M95" s="58"/>
      <c r="N95" s="58"/>
      <c r="O95" s="58"/>
      <c r="P95" s="58"/>
      <c r="Q95" s="58"/>
      <c r="R95" s="58"/>
      <c r="S95" s="58"/>
      <c r="T95" s="58"/>
      <c r="U95" s="58"/>
      <c r="V95" s="58"/>
      <c r="W95" s="77" t="s">
        <v>3123</v>
      </c>
      <c r="X95" s="58" t="s">
        <v>1090</v>
      </c>
      <c r="Y95" s="52"/>
      <c r="Z95" s="52"/>
      <c r="AA95" s="52"/>
      <c r="AB95" s="52"/>
      <c r="AC95" s="52"/>
    </row>
    <row r="96" customHeight="1" ht="73.5">
      <c r="A96" s="73">
        <v>84</v>
      </c>
      <c r="B96" s="116"/>
      <c r="C96" s="118"/>
      <c r="D96" s="118"/>
      <c r="E96" s="58" t="s">
        <v>1385</v>
      </c>
      <c r="F96" s="58" t="s">
        <v>225</v>
      </c>
      <c r="G96" s="58" t="s">
        <v>1698</v>
      </c>
      <c r="H96" s="58" t="s">
        <v>2669</v>
      </c>
      <c r="I96" s="58" t="s">
        <v>2355</v>
      </c>
      <c r="J96" s="58" t="s">
        <v>2670</v>
      </c>
      <c r="K96" s="74" t="s">
        <v>2671</v>
      </c>
      <c r="L96" s="58"/>
      <c r="M96" s="58"/>
      <c r="N96" s="58"/>
      <c r="O96" s="58"/>
      <c r="P96" s="58"/>
      <c r="Q96" s="58"/>
      <c r="R96" s="58"/>
      <c r="S96" s="58"/>
      <c r="T96" s="58"/>
      <c r="U96" s="58"/>
      <c r="V96" s="58"/>
      <c r="W96" s="77" t="s">
        <v>2672</v>
      </c>
      <c r="X96" s="58" t="s">
        <v>1090</v>
      </c>
      <c r="Y96" s="52"/>
      <c r="Z96" s="52"/>
      <c r="AA96" s="52"/>
      <c r="AB96" s="52"/>
      <c r="AC96" s="52"/>
    </row>
    <row r="97" customHeight="1" ht="60.0">
      <c r="A97" s="73">
        <v>85</v>
      </c>
      <c r="B97" s="116"/>
      <c r="C97" s="116" t="s">
        <v>98</v>
      </c>
      <c r="D97" s="116" t="s">
        <v>268</v>
      </c>
      <c r="E97" s="58" t="s">
        <v>269</v>
      </c>
      <c r="F97" s="58" t="s">
        <v>210</v>
      </c>
      <c r="G97" s="58" t="s">
        <v>1703</v>
      </c>
      <c r="H97" s="58" t="s">
        <v>803</v>
      </c>
      <c r="I97" s="58" t="s">
        <v>1259</v>
      </c>
      <c r="J97" s="58" t="s">
        <v>1392</v>
      </c>
      <c r="K97" s="74" t="s">
        <v>2673</v>
      </c>
      <c r="L97" s="58"/>
      <c r="M97" s="58"/>
      <c r="N97" s="58"/>
      <c r="O97" s="58"/>
      <c r="P97" s="58"/>
      <c r="Q97" s="58"/>
      <c r="R97" s="58"/>
      <c r="S97" s="58"/>
      <c r="T97" s="58"/>
      <c r="U97" s="58"/>
      <c r="V97" s="58"/>
      <c r="W97" s="77" t="s">
        <v>3124</v>
      </c>
      <c r="X97" s="58" t="s">
        <v>2350</v>
      </c>
      <c r="Y97" s="52"/>
      <c r="Z97" s="52"/>
      <c r="AA97" s="52"/>
      <c r="AB97" s="52"/>
      <c r="AC97" s="52"/>
    </row>
    <row r="98" customHeight="1" ht="73.5">
      <c r="A98" s="73">
        <v>86</v>
      </c>
      <c r="B98" s="116"/>
      <c r="C98" s="116"/>
      <c r="D98" s="118"/>
      <c r="E98" s="58" t="s">
        <v>2675</v>
      </c>
      <c r="F98" s="58" t="s">
        <v>210</v>
      </c>
      <c r="G98" s="58" t="s">
        <v>1708</v>
      </c>
      <c r="H98" s="58" t="s">
        <v>809</v>
      </c>
      <c r="I98" s="58" t="s">
        <v>1259</v>
      </c>
      <c r="J98" s="58" t="s">
        <v>2676</v>
      </c>
      <c r="K98" s="74" t="s">
        <v>2677</v>
      </c>
      <c r="L98" s="58"/>
      <c r="M98" s="58"/>
      <c r="N98" s="58"/>
      <c r="O98" s="58"/>
      <c r="P98" s="58"/>
      <c r="Q98" s="58"/>
      <c r="R98" s="58"/>
      <c r="S98" s="58"/>
      <c r="T98" s="58"/>
      <c r="U98" s="58"/>
      <c r="V98" s="58"/>
      <c r="W98" s="77" t="s">
        <v>3125</v>
      </c>
      <c r="X98" s="58" t="s">
        <v>2350</v>
      </c>
      <c r="Y98" s="52"/>
      <c r="Z98" s="52"/>
      <c r="AA98" s="52"/>
      <c r="AB98" s="52"/>
      <c r="AC98" s="52"/>
    </row>
    <row r="99" customHeight="1" ht="48.6">
      <c r="A99" s="73">
        <v>87</v>
      </c>
      <c r="B99" s="116"/>
      <c r="C99" s="116"/>
      <c r="D99" s="117" t="s">
        <v>812</v>
      </c>
      <c r="E99" s="58" t="s">
        <v>2679</v>
      </c>
      <c r="F99" s="58" t="s">
        <v>210</v>
      </c>
      <c r="G99" s="58" t="s">
        <v>1714</v>
      </c>
      <c r="H99" s="58" t="s">
        <v>815</v>
      </c>
      <c r="I99" s="58" t="s">
        <v>2680</v>
      </c>
      <c r="J99" s="58" t="s">
        <v>2681</v>
      </c>
      <c r="K99" s="74" t="s">
        <v>2682</v>
      </c>
      <c r="L99" s="58"/>
      <c r="M99" s="58"/>
      <c r="N99" s="58"/>
      <c r="O99" s="58"/>
      <c r="P99" s="58"/>
      <c r="Q99" s="58"/>
      <c r="R99" s="58"/>
      <c r="S99" s="58"/>
      <c r="T99" s="58"/>
      <c r="U99" s="58"/>
      <c r="V99" s="58"/>
      <c r="W99" s="77" t="s">
        <v>2683</v>
      </c>
      <c r="X99" s="58" t="s">
        <v>2350</v>
      </c>
      <c r="Y99" s="52"/>
      <c r="Z99" s="52"/>
      <c r="AA99" s="52"/>
      <c r="AB99" s="52"/>
      <c r="AC99" s="52"/>
    </row>
    <row r="100" customHeight="1" ht="48.6">
      <c r="A100" s="73">
        <v>88</v>
      </c>
      <c r="B100" s="116"/>
      <c r="C100" s="116"/>
      <c r="D100" s="116" t="s">
        <v>820</v>
      </c>
      <c r="E100" s="58" t="s">
        <v>821</v>
      </c>
      <c r="F100" s="58" t="s">
        <v>225</v>
      </c>
      <c r="G100" s="58" t="s">
        <v>1719</v>
      </c>
      <c r="H100" s="58" t="s">
        <v>823</v>
      </c>
      <c r="I100" s="58" t="s">
        <v>2684</v>
      </c>
      <c r="J100" s="58" t="s">
        <v>2685</v>
      </c>
      <c r="K100" s="74" t="s">
        <v>825</v>
      </c>
      <c r="L100" s="58"/>
      <c r="M100" s="58"/>
      <c r="N100" s="58"/>
      <c r="O100" s="58"/>
      <c r="P100" s="58"/>
      <c r="Q100" s="58"/>
      <c r="R100" s="58"/>
      <c r="S100" s="58"/>
      <c r="T100" s="58"/>
      <c r="U100" s="58"/>
      <c r="V100" s="58"/>
      <c r="W100" s="77" t="s">
        <v>3126</v>
      </c>
      <c r="X100" s="58" t="s">
        <v>2350</v>
      </c>
      <c r="Y100" s="52"/>
      <c r="Z100" s="52"/>
      <c r="AA100" s="52"/>
      <c r="AB100" s="52"/>
      <c r="AC100" s="52"/>
    </row>
    <row r="101" customHeight="1" ht="48.6">
      <c r="A101" s="73">
        <v>89</v>
      </c>
      <c r="B101" s="118"/>
      <c r="C101" s="118"/>
      <c r="D101" s="118"/>
      <c r="E101" s="58" t="s">
        <v>826</v>
      </c>
      <c r="F101" s="58" t="s">
        <v>210</v>
      </c>
      <c r="G101" s="58" t="s">
        <v>1725</v>
      </c>
      <c r="H101" s="58" t="s">
        <v>828</v>
      </c>
      <c r="I101" s="58" t="s">
        <v>2680</v>
      </c>
      <c r="J101" s="58" t="s">
        <v>2687</v>
      </c>
      <c r="K101" s="74" t="s">
        <v>2688</v>
      </c>
      <c r="L101" s="58"/>
      <c r="M101" s="58"/>
      <c r="N101" s="58"/>
      <c r="O101" s="58"/>
      <c r="P101" s="58"/>
      <c r="Q101" s="58"/>
      <c r="R101" s="58"/>
      <c r="S101" s="58"/>
      <c r="T101" s="58"/>
      <c r="U101" s="58"/>
      <c r="V101" s="58"/>
      <c r="W101" s="77" t="s">
        <v>3127</v>
      </c>
      <c r="X101" s="58" t="s">
        <v>2350</v>
      </c>
      <c r="Y101" s="52"/>
      <c r="Z101" s="52"/>
      <c r="AA101" s="52"/>
      <c r="AB101" s="52"/>
      <c r="AC101" s="52"/>
    </row>
    <row r="102" customHeight="1" ht="100.5">
      <c r="A102" s="73">
        <v>90</v>
      </c>
      <c r="B102" s="116" t="s">
        <v>131</v>
      </c>
      <c r="C102" s="116" t="s">
        <v>100</v>
      </c>
      <c r="D102" s="117" t="s">
        <v>268</v>
      </c>
      <c r="E102" s="58" t="s">
        <v>832</v>
      </c>
      <c r="F102" s="58" t="s">
        <v>203</v>
      </c>
      <c r="G102" s="58" t="s">
        <v>1729</v>
      </c>
      <c r="H102" s="58" t="s">
        <v>2690</v>
      </c>
      <c r="I102" s="58" t="s">
        <v>2361</v>
      </c>
      <c r="J102" s="58" t="s">
        <v>2691</v>
      </c>
      <c r="K102" s="74" t="s">
        <v>2692</v>
      </c>
      <c r="L102" s="58"/>
      <c r="M102" s="58"/>
      <c r="N102" s="58"/>
      <c r="O102" s="58"/>
      <c r="P102" s="58"/>
      <c r="Q102" s="58"/>
      <c r="R102" s="58"/>
      <c r="S102" s="58"/>
      <c r="T102" s="58"/>
      <c r="U102" s="58"/>
      <c r="V102" s="58"/>
      <c r="W102" s="105"/>
      <c r="X102" s="58" t="s">
        <v>2358</v>
      </c>
      <c r="Y102" s="52"/>
      <c r="Z102" s="52"/>
      <c r="AA102" s="52"/>
      <c r="AB102" s="52"/>
      <c r="AC102" s="52"/>
    </row>
    <row r="103" customHeight="1" ht="48.6">
      <c r="A103" s="73">
        <v>91</v>
      </c>
      <c r="B103" s="116"/>
      <c r="C103" s="118"/>
      <c r="D103" s="117" t="s">
        <v>851</v>
      </c>
      <c r="E103" s="58" t="s">
        <v>852</v>
      </c>
      <c r="F103" s="58" t="s">
        <v>210</v>
      </c>
      <c r="G103" s="58" t="s">
        <v>1733</v>
      </c>
      <c r="H103" s="58" t="s">
        <v>2693</v>
      </c>
      <c r="I103" s="58" t="s">
        <v>2361</v>
      </c>
      <c r="J103" s="58" t="s">
        <v>2694</v>
      </c>
      <c r="K103" s="74" t="s">
        <v>1281</v>
      </c>
      <c r="L103" s="58"/>
      <c r="M103" s="58"/>
      <c r="N103" s="58"/>
      <c r="O103" s="58"/>
      <c r="P103" s="58"/>
      <c r="Q103" s="58"/>
      <c r="R103" s="58"/>
      <c r="S103" s="58"/>
      <c r="T103" s="58"/>
      <c r="U103" s="58"/>
      <c r="V103" s="58"/>
      <c r="W103" s="105"/>
      <c r="X103" s="58" t="s">
        <v>2358</v>
      </c>
      <c r="Y103" s="52"/>
      <c r="Z103" s="52"/>
      <c r="AA103" s="52"/>
      <c r="AB103" s="52"/>
      <c r="AC103" s="52"/>
    </row>
    <row r="104" customHeight="1" ht="73.5">
      <c r="A104" s="73">
        <v>92</v>
      </c>
      <c r="B104" s="116"/>
      <c r="C104" s="116" t="s">
        <v>101</v>
      </c>
      <c r="D104" s="116" t="s">
        <v>268</v>
      </c>
      <c r="E104" s="58" t="s">
        <v>1034</v>
      </c>
      <c r="F104" s="58" t="s">
        <v>225</v>
      </c>
      <c r="G104" s="58" t="s">
        <v>1737</v>
      </c>
      <c r="H104" s="58" t="s">
        <v>2695</v>
      </c>
      <c r="I104" s="58" t="s">
        <v>2361</v>
      </c>
      <c r="J104" s="58" t="s">
        <v>2696</v>
      </c>
      <c r="K104" s="74" t="s">
        <v>2697</v>
      </c>
      <c r="L104" s="58"/>
      <c r="M104" s="58"/>
      <c r="N104" s="58"/>
      <c r="O104" s="58"/>
      <c r="P104" s="58"/>
      <c r="Q104" s="58"/>
      <c r="R104" s="58"/>
      <c r="S104" s="58"/>
      <c r="T104" s="58"/>
      <c r="U104" s="58"/>
      <c r="V104" s="58"/>
      <c r="W104" s="105"/>
      <c r="X104" s="58" t="s">
        <v>2358</v>
      </c>
      <c r="Y104" s="52"/>
      <c r="Z104" s="52"/>
      <c r="AA104" s="52"/>
      <c r="AB104" s="52"/>
      <c r="AC104" s="52"/>
    </row>
    <row r="105" customHeight="1" ht="60.0">
      <c r="A105" s="73">
        <v>93</v>
      </c>
      <c r="B105" s="116"/>
      <c r="C105" s="116"/>
      <c r="D105" s="118"/>
      <c r="E105" s="58" t="s">
        <v>1040</v>
      </c>
      <c r="F105" s="58" t="s">
        <v>225</v>
      </c>
      <c r="G105" s="58" t="s">
        <v>1742</v>
      </c>
      <c r="H105" s="58" t="s">
        <v>2698</v>
      </c>
      <c r="I105" s="58" t="s">
        <v>2699</v>
      </c>
      <c r="J105" s="58" t="s">
        <v>2700</v>
      </c>
      <c r="K105" s="74" t="s">
        <v>2701</v>
      </c>
      <c r="L105" s="58"/>
      <c r="M105" s="58"/>
      <c r="N105" s="58"/>
      <c r="O105" s="58"/>
      <c r="P105" s="58"/>
      <c r="Q105" s="58"/>
      <c r="R105" s="58"/>
      <c r="S105" s="58"/>
      <c r="T105" s="58"/>
      <c r="U105" s="58"/>
      <c r="V105" s="58"/>
      <c r="W105" s="77" t="s">
        <v>3128</v>
      </c>
      <c r="X105" s="58" t="s">
        <v>2358</v>
      </c>
      <c r="Y105" s="52"/>
      <c r="Z105" s="52"/>
      <c r="AA105" s="52"/>
      <c r="AB105" s="52"/>
      <c r="AC105" s="52"/>
    </row>
    <row r="106" customHeight="1" ht="48.6">
      <c r="A106" s="73">
        <v>94</v>
      </c>
      <c r="B106" s="116"/>
      <c r="C106" s="118"/>
      <c r="D106" s="117" t="s">
        <v>876</v>
      </c>
      <c r="E106" s="58" t="s">
        <v>2703</v>
      </c>
      <c r="F106" s="58" t="s">
        <v>225</v>
      </c>
      <c r="G106" s="58" t="s">
        <v>1747</v>
      </c>
      <c r="H106" s="58" t="s">
        <v>3078</v>
      </c>
      <c r="I106" s="58" t="s">
        <v>2361</v>
      </c>
      <c r="J106" s="58" t="s">
        <v>2704</v>
      </c>
      <c r="K106" s="74" t="s">
        <v>2705</v>
      </c>
      <c r="L106" s="58"/>
      <c r="M106" s="58"/>
      <c r="N106" s="58"/>
      <c r="O106" s="58"/>
      <c r="P106" s="58"/>
      <c r="Q106" s="58"/>
      <c r="R106" s="58"/>
      <c r="S106" s="58"/>
      <c r="T106" s="58"/>
      <c r="U106" s="58"/>
      <c r="V106" s="58"/>
      <c r="W106" s="105"/>
      <c r="X106" s="58" t="s">
        <v>2358</v>
      </c>
      <c r="Y106" s="52"/>
      <c r="Z106" s="52"/>
      <c r="AA106" s="52"/>
      <c r="AB106" s="52"/>
      <c r="AC106" s="52"/>
    </row>
    <row r="107" customHeight="1" ht="114.0">
      <c r="A107" s="73">
        <v>95</v>
      </c>
      <c r="B107" s="116"/>
      <c r="C107" s="116" t="s">
        <v>132</v>
      </c>
      <c r="D107" s="116" t="s">
        <v>268</v>
      </c>
      <c r="E107" s="58" t="s">
        <v>2706</v>
      </c>
      <c r="F107" s="58" t="s">
        <v>203</v>
      </c>
      <c r="G107" s="58" t="s">
        <v>1752</v>
      </c>
      <c r="H107" s="58" t="s">
        <v>2707</v>
      </c>
      <c r="I107" s="58" t="s">
        <v>2361</v>
      </c>
      <c r="J107" s="58" t="s">
        <v>2708</v>
      </c>
      <c r="K107" s="74" t="s">
        <v>2709</v>
      </c>
      <c r="L107" s="58"/>
      <c r="M107" s="58"/>
      <c r="N107" s="58"/>
      <c r="O107" s="58"/>
      <c r="P107" s="58"/>
      <c r="Q107" s="58"/>
      <c r="R107" s="58"/>
      <c r="S107" s="58"/>
      <c r="T107" s="58"/>
      <c r="U107" s="58"/>
      <c r="V107" s="58"/>
      <c r="W107" s="105"/>
      <c r="X107" s="58" t="s">
        <v>2358</v>
      </c>
      <c r="Y107" s="52"/>
      <c r="Z107" s="52"/>
      <c r="AA107" s="52"/>
      <c r="AB107" s="52"/>
      <c r="AC107" s="52"/>
    </row>
    <row r="108" customHeight="1" ht="141.0">
      <c r="A108" s="73">
        <v>96</v>
      </c>
      <c r="B108" s="116"/>
      <c r="C108" s="116"/>
      <c r="D108" s="118"/>
      <c r="E108" s="58" t="s">
        <v>2710</v>
      </c>
      <c r="F108" s="58" t="s">
        <v>203</v>
      </c>
      <c r="G108" s="58" t="s">
        <v>1756</v>
      </c>
      <c r="H108" s="58" t="s">
        <v>2711</v>
      </c>
      <c r="I108" s="58" t="s">
        <v>2712</v>
      </c>
      <c r="J108" s="58" t="s">
        <v>2713</v>
      </c>
      <c r="K108" s="74" t="s">
        <v>2714</v>
      </c>
      <c r="L108" s="58"/>
      <c r="M108" s="58"/>
      <c r="N108" s="58"/>
      <c r="O108" s="58"/>
      <c r="P108" s="58"/>
      <c r="Q108" s="58"/>
      <c r="R108" s="58"/>
      <c r="S108" s="58"/>
      <c r="T108" s="58"/>
      <c r="U108" s="58"/>
      <c r="V108" s="58"/>
      <c r="W108" s="105"/>
      <c r="X108" s="58" t="s">
        <v>2358</v>
      </c>
      <c r="Y108" s="52"/>
      <c r="Z108" s="52"/>
      <c r="AA108" s="52"/>
      <c r="AB108" s="52"/>
      <c r="AC108" s="52"/>
    </row>
    <row r="109" customHeight="1" ht="73.5">
      <c r="A109" s="73">
        <v>97</v>
      </c>
      <c r="B109" s="116"/>
      <c r="C109" s="116"/>
      <c r="D109" s="117" t="s">
        <v>2715</v>
      </c>
      <c r="E109" s="58" t="s">
        <v>2716</v>
      </c>
      <c r="F109" s="58" t="s">
        <v>210</v>
      </c>
      <c r="G109" s="58" t="s">
        <v>1760</v>
      </c>
      <c r="H109" s="58" t="s">
        <v>2717</v>
      </c>
      <c r="I109" s="58" t="s">
        <v>2712</v>
      </c>
      <c r="J109" s="58" t="s">
        <v>2718</v>
      </c>
      <c r="K109" s="74" t="s">
        <v>3079</v>
      </c>
      <c r="L109" s="58"/>
      <c r="M109" s="58"/>
      <c r="N109" s="58"/>
      <c r="O109" s="58"/>
      <c r="P109" s="58"/>
      <c r="Q109" s="58"/>
      <c r="R109" s="58"/>
      <c r="S109" s="58"/>
      <c r="T109" s="58"/>
      <c r="U109" s="58"/>
      <c r="V109" s="58"/>
      <c r="W109" s="77" t="s">
        <v>3080</v>
      </c>
      <c r="X109" s="58" t="s">
        <v>2358</v>
      </c>
      <c r="Y109" s="52"/>
      <c r="Z109" s="52"/>
      <c r="AA109" s="52"/>
      <c r="AB109" s="52"/>
      <c r="AC109" s="52"/>
    </row>
    <row r="110" customHeight="1" ht="87.0">
      <c r="A110" s="73">
        <v>98</v>
      </c>
      <c r="B110" s="116"/>
      <c r="C110" s="116"/>
      <c r="D110" s="116" t="s">
        <v>268</v>
      </c>
      <c r="E110" s="58" t="s">
        <v>2721</v>
      </c>
      <c r="F110" s="58" t="s">
        <v>203</v>
      </c>
      <c r="G110" s="58" t="s">
        <v>1766</v>
      </c>
      <c r="H110" s="58" t="s">
        <v>2722</v>
      </c>
      <c r="I110" s="58" t="s">
        <v>2361</v>
      </c>
      <c r="J110" s="58" t="s">
        <v>2723</v>
      </c>
      <c r="K110" s="74" t="s">
        <v>2724</v>
      </c>
      <c r="L110" s="58"/>
      <c r="M110" s="58"/>
      <c r="N110" s="58"/>
      <c r="O110" s="58"/>
      <c r="P110" s="58"/>
      <c r="Q110" s="58"/>
      <c r="R110" s="58"/>
      <c r="S110" s="58"/>
      <c r="T110" s="58"/>
      <c r="U110" s="58"/>
      <c r="V110" s="58"/>
      <c r="W110" s="105"/>
      <c r="X110" s="58" t="s">
        <v>2358</v>
      </c>
      <c r="Y110" s="52"/>
      <c r="Z110" s="52"/>
      <c r="AA110" s="52"/>
      <c r="AB110" s="52"/>
      <c r="AC110" s="52"/>
    </row>
    <row r="111" customHeight="1" ht="114.0">
      <c r="A111" s="73">
        <v>99</v>
      </c>
      <c r="B111" s="116"/>
      <c r="C111" s="118"/>
      <c r="D111" s="118"/>
      <c r="E111" s="58" t="s">
        <v>2725</v>
      </c>
      <c r="F111" s="58" t="s">
        <v>210</v>
      </c>
      <c r="G111" s="58" t="s">
        <v>1771</v>
      </c>
      <c r="H111" s="58" t="s">
        <v>2726</v>
      </c>
      <c r="I111" s="58" t="s">
        <v>2361</v>
      </c>
      <c r="J111" s="58" t="s">
        <v>2727</v>
      </c>
      <c r="K111" s="74" t="s">
        <v>2728</v>
      </c>
      <c r="L111" s="58"/>
      <c r="M111" s="58"/>
      <c r="N111" s="58"/>
      <c r="O111" s="58"/>
      <c r="P111" s="58"/>
      <c r="Q111" s="58"/>
      <c r="R111" s="58"/>
      <c r="S111" s="58"/>
      <c r="T111" s="58"/>
      <c r="U111" s="58"/>
      <c r="V111" s="58"/>
      <c r="W111" s="77" t="s">
        <v>3129</v>
      </c>
      <c r="X111" s="58" t="s">
        <v>2358</v>
      </c>
      <c r="Y111" s="52"/>
      <c r="Z111" s="52"/>
      <c r="AA111" s="52"/>
      <c r="AB111" s="52"/>
      <c r="AC111" s="52"/>
    </row>
    <row r="112" customHeight="1" ht="73.5">
      <c r="A112" s="73">
        <v>100</v>
      </c>
      <c r="B112" s="116"/>
      <c r="C112" s="116" t="s">
        <v>2730</v>
      </c>
      <c r="D112" s="116" t="s">
        <v>268</v>
      </c>
      <c r="E112" s="58" t="s">
        <v>2731</v>
      </c>
      <c r="F112" s="58" t="s">
        <v>210</v>
      </c>
      <c r="G112" s="58" t="s">
        <v>1777</v>
      </c>
      <c r="H112" s="58" t="s">
        <v>2732</v>
      </c>
      <c r="I112" s="58" t="s">
        <v>2361</v>
      </c>
      <c r="J112" s="58" t="s">
        <v>2733</v>
      </c>
      <c r="K112" s="74" t="s">
        <v>2734</v>
      </c>
      <c r="L112" s="58"/>
      <c r="M112" s="58"/>
      <c r="N112" s="58"/>
      <c r="O112" s="58"/>
      <c r="P112" s="58"/>
      <c r="Q112" s="58"/>
      <c r="R112" s="58"/>
      <c r="S112" s="58"/>
      <c r="T112" s="58"/>
      <c r="U112" s="58"/>
      <c r="V112" s="58"/>
      <c r="W112" s="105"/>
      <c r="X112" s="58" t="s">
        <v>2378</v>
      </c>
      <c r="Y112" s="52"/>
      <c r="Z112" s="52"/>
      <c r="AA112" s="52"/>
      <c r="AB112" s="52"/>
      <c r="AC112" s="52"/>
    </row>
    <row r="113" customHeight="1" ht="87.0">
      <c r="A113" s="73">
        <v>101</v>
      </c>
      <c r="B113" s="116"/>
      <c r="C113" s="118"/>
      <c r="D113" s="118"/>
      <c r="E113" s="58" t="s">
        <v>1775</v>
      </c>
      <c r="F113" s="58" t="s">
        <v>210</v>
      </c>
      <c r="G113" s="58" t="s">
        <v>1782</v>
      </c>
      <c r="H113" s="58" t="s">
        <v>1715</v>
      </c>
      <c r="I113" s="58" t="s">
        <v>2361</v>
      </c>
      <c r="J113" s="58" t="s">
        <v>2735</v>
      </c>
      <c r="K113" s="74" t="s">
        <v>2736</v>
      </c>
      <c r="L113" s="58"/>
      <c r="M113" s="58"/>
      <c r="N113" s="58"/>
      <c r="O113" s="58"/>
      <c r="P113" s="58"/>
      <c r="Q113" s="58"/>
      <c r="R113" s="58"/>
      <c r="S113" s="58"/>
      <c r="T113" s="58"/>
      <c r="U113" s="58"/>
      <c r="V113" s="58"/>
      <c r="W113" s="77" t="s">
        <v>3130</v>
      </c>
      <c r="X113" s="58" t="s">
        <v>2738</v>
      </c>
      <c r="Y113" s="52"/>
      <c r="Z113" s="52"/>
      <c r="AA113" s="52"/>
      <c r="AB113" s="52"/>
      <c r="AC113" s="52"/>
    </row>
    <row r="114" customHeight="1" ht="127.5">
      <c r="A114" s="73">
        <v>102</v>
      </c>
      <c r="B114" s="116"/>
      <c r="C114" s="116" t="s">
        <v>134</v>
      </c>
      <c r="D114" s="117" t="s">
        <v>552</v>
      </c>
      <c r="E114" s="58" t="s">
        <v>2739</v>
      </c>
      <c r="F114" s="58" t="s">
        <v>203</v>
      </c>
      <c r="G114" s="58" t="s">
        <v>1789</v>
      </c>
      <c r="H114" s="58" t="s">
        <v>2740</v>
      </c>
      <c r="I114" s="58" t="s">
        <v>2361</v>
      </c>
      <c r="J114" s="58" t="s">
        <v>2741</v>
      </c>
      <c r="K114" s="74" t="s">
        <v>2742</v>
      </c>
      <c r="L114" s="58"/>
      <c r="M114" s="58"/>
      <c r="N114" s="58"/>
      <c r="O114" s="58"/>
      <c r="P114" s="58"/>
      <c r="Q114" s="58"/>
      <c r="R114" s="58"/>
      <c r="S114" s="58"/>
      <c r="T114" s="58"/>
      <c r="U114" s="58"/>
      <c r="V114" s="58"/>
      <c r="W114" s="77" t="s">
        <v>2743</v>
      </c>
      <c r="X114" s="58" t="s">
        <v>1090</v>
      </c>
      <c r="Y114" s="52"/>
      <c r="Z114" s="52"/>
      <c r="AA114" s="52"/>
      <c r="AB114" s="52"/>
      <c r="AC114" s="52"/>
    </row>
    <row r="115" customHeight="1" ht="60.0">
      <c r="A115" s="73">
        <v>103</v>
      </c>
      <c r="B115" s="116"/>
      <c r="C115" s="116"/>
      <c r="D115" s="116" t="s">
        <v>393</v>
      </c>
      <c r="E115" s="58" t="s">
        <v>622</v>
      </c>
      <c r="F115" s="58" t="s">
        <v>210</v>
      </c>
      <c r="G115" s="58" t="s">
        <v>1793</v>
      </c>
      <c r="H115" s="58" t="s">
        <v>2744</v>
      </c>
      <c r="I115" s="58" t="s">
        <v>2361</v>
      </c>
      <c r="J115" s="58" t="s">
        <v>2745</v>
      </c>
      <c r="K115" s="74" t="s">
        <v>2746</v>
      </c>
      <c r="L115" s="58"/>
      <c r="M115" s="58"/>
      <c r="N115" s="58"/>
      <c r="O115" s="58"/>
      <c r="P115" s="58"/>
      <c r="Q115" s="58"/>
      <c r="R115" s="58"/>
      <c r="S115" s="58"/>
      <c r="T115" s="58"/>
      <c r="U115" s="58"/>
      <c r="V115" s="58"/>
      <c r="W115" s="77" t="s">
        <v>2747</v>
      </c>
      <c r="X115" s="58" t="s">
        <v>1090</v>
      </c>
      <c r="Y115" s="52"/>
      <c r="Z115" s="52"/>
      <c r="AA115" s="52"/>
      <c r="AB115" s="52"/>
      <c r="AC115" s="52"/>
    </row>
    <row r="116" customHeight="1" ht="60.0">
      <c r="A116" s="73">
        <v>104</v>
      </c>
      <c r="B116" s="116"/>
      <c r="C116" s="116"/>
      <c r="D116" s="116"/>
      <c r="E116" s="58" t="s">
        <v>628</v>
      </c>
      <c r="F116" s="58" t="s">
        <v>225</v>
      </c>
      <c r="G116" s="58" t="s">
        <v>1797</v>
      </c>
      <c r="H116" s="58" t="s">
        <v>2748</v>
      </c>
      <c r="I116" s="58" t="s">
        <v>2361</v>
      </c>
      <c r="J116" s="58" t="s">
        <v>2749</v>
      </c>
      <c r="K116" s="74" t="s">
        <v>2750</v>
      </c>
      <c r="L116" s="58"/>
      <c r="M116" s="58"/>
      <c r="N116" s="58"/>
      <c r="O116" s="58"/>
      <c r="P116" s="58"/>
      <c r="Q116" s="58"/>
      <c r="R116" s="58"/>
      <c r="S116" s="58"/>
      <c r="T116" s="58"/>
      <c r="U116" s="58"/>
      <c r="V116" s="58"/>
      <c r="W116" s="77" t="s">
        <v>2747</v>
      </c>
      <c r="X116" s="58" t="s">
        <v>1090</v>
      </c>
      <c r="Y116" s="52"/>
      <c r="Z116" s="52"/>
      <c r="AA116" s="52"/>
      <c r="AB116" s="52"/>
      <c r="AC116" s="52"/>
    </row>
    <row r="117" customHeight="1" ht="60.0">
      <c r="A117" s="73">
        <v>105</v>
      </c>
      <c r="B117" s="116"/>
      <c r="C117" s="116"/>
      <c r="D117" s="118"/>
      <c r="E117" s="58" t="s">
        <v>633</v>
      </c>
      <c r="F117" s="58" t="s">
        <v>225</v>
      </c>
      <c r="G117" s="58" t="s">
        <v>1801</v>
      </c>
      <c r="H117" s="58" t="s">
        <v>2751</v>
      </c>
      <c r="I117" s="58" t="s">
        <v>2361</v>
      </c>
      <c r="J117" s="58" t="s">
        <v>2752</v>
      </c>
      <c r="K117" s="74" t="s">
        <v>2750</v>
      </c>
      <c r="L117" s="58"/>
      <c r="M117" s="58"/>
      <c r="N117" s="58"/>
      <c r="O117" s="58"/>
      <c r="P117" s="58"/>
      <c r="Q117" s="58"/>
      <c r="R117" s="58"/>
      <c r="S117" s="58"/>
      <c r="T117" s="58"/>
      <c r="U117" s="58"/>
      <c r="V117" s="58"/>
      <c r="W117" s="77" t="s">
        <v>3113</v>
      </c>
      <c r="X117" s="58" t="s">
        <v>1090</v>
      </c>
      <c r="Y117" s="52"/>
      <c r="Z117" s="52"/>
      <c r="AA117" s="52"/>
      <c r="AB117" s="52"/>
      <c r="AC117" s="52"/>
    </row>
    <row r="118" customHeight="1" ht="73.5">
      <c r="A118" s="73">
        <v>106</v>
      </c>
      <c r="B118" s="116"/>
      <c r="C118" s="118"/>
      <c r="D118" s="117" t="s">
        <v>369</v>
      </c>
      <c r="E118" s="58" t="s">
        <v>2739</v>
      </c>
      <c r="F118" s="58" t="s">
        <v>203</v>
      </c>
      <c r="G118" s="58" t="s">
        <v>1808</v>
      </c>
      <c r="H118" s="58" t="s">
        <v>2753</v>
      </c>
      <c r="I118" s="58" t="s">
        <v>2361</v>
      </c>
      <c r="J118" s="58" t="s">
        <v>2754</v>
      </c>
      <c r="K118" s="74" t="s">
        <v>2755</v>
      </c>
      <c r="L118" s="58"/>
      <c r="M118" s="58"/>
      <c r="N118" s="58"/>
      <c r="O118" s="58"/>
      <c r="P118" s="58"/>
      <c r="Q118" s="58"/>
      <c r="R118" s="58"/>
      <c r="S118" s="58"/>
      <c r="T118" s="58"/>
      <c r="U118" s="58"/>
      <c r="V118" s="58"/>
      <c r="W118" s="77" t="s">
        <v>3131</v>
      </c>
      <c r="X118" s="58" t="s">
        <v>1090</v>
      </c>
      <c r="Y118" s="52"/>
      <c r="Z118" s="52"/>
      <c r="AA118" s="52"/>
      <c r="AB118" s="52"/>
      <c r="AC118" s="52"/>
    </row>
    <row r="119" customHeight="1" ht="154.5">
      <c r="A119" s="73">
        <v>107</v>
      </c>
      <c r="B119" s="116"/>
      <c r="C119" s="116" t="s">
        <v>2757</v>
      </c>
      <c r="D119" s="116" t="s">
        <v>552</v>
      </c>
      <c r="E119" s="58" t="s">
        <v>1034</v>
      </c>
      <c r="F119" s="58" t="s">
        <v>203</v>
      </c>
      <c r="G119" s="58" t="s">
        <v>1813</v>
      </c>
      <c r="H119" s="58" t="s">
        <v>2758</v>
      </c>
      <c r="I119" s="58" t="s">
        <v>2712</v>
      </c>
      <c r="J119" s="58" t="s">
        <v>2759</v>
      </c>
      <c r="K119" s="74" t="s">
        <v>2760</v>
      </c>
      <c r="L119" s="58"/>
      <c r="M119" s="58"/>
      <c r="N119" s="58"/>
      <c r="O119" s="58"/>
      <c r="P119" s="58"/>
      <c r="Q119" s="58"/>
      <c r="R119" s="58"/>
      <c r="S119" s="58"/>
      <c r="T119" s="58"/>
      <c r="U119" s="58"/>
      <c r="V119" s="58"/>
      <c r="W119" s="77" t="s">
        <v>3132</v>
      </c>
      <c r="X119" s="58" t="s">
        <v>2738</v>
      </c>
      <c r="Y119" s="52"/>
      <c r="Z119" s="52"/>
      <c r="AA119" s="52"/>
      <c r="AB119" s="52"/>
      <c r="AC119" s="52"/>
    </row>
    <row r="120" customHeight="1" ht="48.6">
      <c r="A120" s="73">
        <v>108</v>
      </c>
      <c r="B120" s="116"/>
      <c r="C120" s="116"/>
      <c r="D120" s="118"/>
      <c r="E120" s="58" t="s">
        <v>1040</v>
      </c>
      <c r="F120" s="58" t="s">
        <v>210</v>
      </c>
      <c r="G120" s="58" t="s">
        <v>1818</v>
      </c>
      <c r="H120" s="58" t="s">
        <v>2762</v>
      </c>
      <c r="I120" s="58" t="s">
        <v>2699</v>
      </c>
      <c r="J120" s="58" t="s">
        <v>2763</v>
      </c>
      <c r="K120" s="104"/>
      <c r="L120" s="58"/>
      <c r="M120" s="58"/>
      <c r="N120" s="58"/>
      <c r="O120" s="58"/>
      <c r="P120" s="58"/>
      <c r="Q120" s="58"/>
      <c r="R120" s="58"/>
      <c r="S120" s="58"/>
      <c r="T120" s="58"/>
      <c r="U120" s="58"/>
      <c r="V120" s="58"/>
      <c r="W120" s="77" t="s">
        <v>2764</v>
      </c>
      <c r="X120" s="58" t="s">
        <v>2738</v>
      </c>
      <c r="Y120" s="52"/>
      <c r="Z120" s="52"/>
      <c r="AA120" s="52"/>
      <c r="AB120" s="52"/>
      <c r="AC120" s="52"/>
    </row>
    <row r="121" customHeight="1" ht="73.5">
      <c r="A121" s="73">
        <v>109</v>
      </c>
      <c r="B121" s="116"/>
      <c r="C121" s="116"/>
      <c r="D121" s="116" t="s">
        <v>393</v>
      </c>
      <c r="E121" s="58" t="s">
        <v>2765</v>
      </c>
      <c r="F121" s="58" t="s">
        <v>203</v>
      </c>
      <c r="G121" s="58" t="s">
        <v>1825</v>
      </c>
      <c r="H121" s="58" t="s">
        <v>2766</v>
      </c>
      <c r="I121" s="58" t="s">
        <v>2767</v>
      </c>
      <c r="J121" s="58" t="s">
        <v>2768</v>
      </c>
      <c r="K121" s="74" t="s">
        <v>2769</v>
      </c>
      <c r="L121" s="58"/>
      <c r="M121" s="58"/>
      <c r="N121" s="58"/>
      <c r="O121" s="58"/>
      <c r="P121" s="58"/>
      <c r="Q121" s="58"/>
      <c r="R121" s="58"/>
      <c r="S121" s="58"/>
      <c r="T121" s="58"/>
      <c r="U121" s="58"/>
      <c r="V121" s="58"/>
      <c r="W121" s="77" t="s">
        <v>2770</v>
      </c>
      <c r="X121" s="58" t="s">
        <v>2738</v>
      </c>
      <c r="Y121" s="52"/>
      <c r="Z121" s="52"/>
      <c r="AA121" s="52"/>
      <c r="AB121" s="52"/>
      <c r="AC121" s="52"/>
    </row>
    <row r="122" customHeight="1" ht="60.0">
      <c r="A122" s="73">
        <v>110</v>
      </c>
      <c r="B122" s="116"/>
      <c r="C122" s="116"/>
      <c r="D122" s="116"/>
      <c r="E122" s="58" t="s">
        <v>622</v>
      </c>
      <c r="F122" s="58" t="s">
        <v>210</v>
      </c>
      <c r="G122" s="58" t="s">
        <v>1830</v>
      </c>
      <c r="H122" s="58" t="s">
        <v>2771</v>
      </c>
      <c r="I122" s="58" t="s">
        <v>2361</v>
      </c>
      <c r="J122" s="58" t="s">
        <v>2772</v>
      </c>
      <c r="K122" s="74" t="s">
        <v>2773</v>
      </c>
      <c r="L122" s="58"/>
      <c r="M122" s="58"/>
      <c r="N122" s="58"/>
      <c r="O122" s="58"/>
      <c r="P122" s="58"/>
      <c r="Q122" s="58"/>
      <c r="R122" s="58"/>
      <c r="S122" s="58"/>
      <c r="T122" s="58"/>
      <c r="U122" s="58"/>
      <c r="V122" s="58"/>
      <c r="W122" s="105"/>
      <c r="X122" s="58" t="s">
        <v>2738</v>
      </c>
      <c r="Y122" s="52"/>
      <c r="Z122" s="52"/>
      <c r="AA122" s="52"/>
      <c r="AB122" s="52"/>
      <c r="AC122" s="52"/>
    </row>
    <row r="123" customHeight="1" ht="60.0">
      <c r="A123" s="73">
        <v>111</v>
      </c>
      <c r="B123" s="116"/>
      <c r="C123" s="116"/>
      <c r="D123" s="116"/>
      <c r="E123" s="58" t="s">
        <v>628</v>
      </c>
      <c r="F123" s="58" t="s">
        <v>225</v>
      </c>
      <c r="G123" s="58" t="s">
        <v>1833</v>
      </c>
      <c r="H123" s="58" t="s">
        <v>2774</v>
      </c>
      <c r="I123" s="58" t="s">
        <v>2361</v>
      </c>
      <c r="J123" s="58" t="s">
        <v>2775</v>
      </c>
      <c r="K123" s="74" t="s">
        <v>2776</v>
      </c>
      <c r="L123" s="58"/>
      <c r="M123" s="58"/>
      <c r="N123" s="58"/>
      <c r="O123" s="58"/>
      <c r="P123" s="58"/>
      <c r="Q123" s="58"/>
      <c r="R123" s="58"/>
      <c r="S123" s="58"/>
      <c r="T123" s="58"/>
      <c r="U123" s="58"/>
      <c r="V123" s="58"/>
      <c r="W123" s="77" t="s">
        <v>3133</v>
      </c>
      <c r="X123" s="58" t="s">
        <v>2738</v>
      </c>
      <c r="Y123" s="52"/>
      <c r="Z123" s="52"/>
      <c r="AA123" s="52"/>
      <c r="AB123" s="52"/>
      <c r="AC123" s="52"/>
    </row>
    <row r="124" customHeight="1" ht="60.0">
      <c r="A124" s="73">
        <v>112</v>
      </c>
      <c r="B124" s="116"/>
      <c r="C124" s="116"/>
      <c r="D124" s="118"/>
      <c r="E124" s="58" t="s">
        <v>633</v>
      </c>
      <c r="F124" s="58" t="s">
        <v>225</v>
      </c>
      <c r="G124" s="58" t="s">
        <v>1838</v>
      </c>
      <c r="H124" s="58" t="s">
        <v>2778</v>
      </c>
      <c r="I124" s="58" t="s">
        <v>2361</v>
      </c>
      <c r="J124" s="58" t="s">
        <v>2779</v>
      </c>
      <c r="K124" s="74" t="s">
        <v>2776</v>
      </c>
      <c r="L124" s="58"/>
      <c r="M124" s="58"/>
      <c r="N124" s="58"/>
      <c r="O124" s="58"/>
      <c r="P124" s="58"/>
      <c r="Q124" s="58"/>
      <c r="R124" s="58"/>
      <c r="S124" s="58"/>
      <c r="T124" s="58"/>
      <c r="U124" s="58"/>
      <c r="V124" s="58"/>
      <c r="W124" s="77" t="s">
        <v>3113</v>
      </c>
      <c r="X124" s="58" t="s">
        <v>2738</v>
      </c>
      <c r="Y124" s="52"/>
      <c r="Z124" s="52"/>
      <c r="AA124" s="52"/>
      <c r="AB124" s="52"/>
      <c r="AC124" s="52"/>
    </row>
    <row r="125" customHeight="1" ht="73.5">
      <c r="A125" s="73">
        <v>113</v>
      </c>
      <c r="B125" s="116"/>
      <c r="C125" s="116"/>
      <c r="D125" s="116" t="s">
        <v>369</v>
      </c>
      <c r="E125" s="58" t="s">
        <v>2780</v>
      </c>
      <c r="F125" s="58" t="s">
        <v>203</v>
      </c>
      <c r="G125" s="58" t="s">
        <v>1841</v>
      </c>
      <c r="H125" s="58" t="s">
        <v>2781</v>
      </c>
      <c r="I125" s="58" t="s">
        <v>2782</v>
      </c>
      <c r="J125" s="58" t="s">
        <v>2768</v>
      </c>
      <c r="K125" s="74" t="s">
        <v>2783</v>
      </c>
      <c r="L125" s="58"/>
      <c r="M125" s="58"/>
      <c r="N125" s="58"/>
      <c r="O125" s="58"/>
      <c r="P125" s="58"/>
      <c r="Q125" s="58"/>
      <c r="R125" s="58"/>
      <c r="S125" s="58"/>
      <c r="T125" s="58"/>
      <c r="U125" s="58"/>
      <c r="V125" s="58"/>
      <c r="W125" s="77" t="s">
        <v>3134</v>
      </c>
      <c r="X125" s="58" t="s">
        <v>2738</v>
      </c>
      <c r="Y125" s="52"/>
      <c r="Z125" s="52"/>
      <c r="AA125" s="52"/>
      <c r="AB125" s="52"/>
      <c r="AC125" s="52"/>
    </row>
    <row r="126" customHeight="1" ht="100.5">
      <c r="A126" s="73">
        <v>114</v>
      </c>
      <c r="B126" s="116"/>
      <c r="C126" s="116"/>
      <c r="D126" s="116"/>
      <c r="E126" s="58" t="s">
        <v>2785</v>
      </c>
      <c r="F126" s="58" t="s">
        <v>203</v>
      </c>
      <c r="G126" s="58" t="s">
        <v>1845</v>
      </c>
      <c r="H126" s="58" t="s">
        <v>2786</v>
      </c>
      <c r="I126" s="58" t="s">
        <v>2787</v>
      </c>
      <c r="J126" s="58" t="s">
        <v>2788</v>
      </c>
      <c r="K126" s="74" t="s">
        <v>2789</v>
      </c>
      <c r="L126" s="58"/>
      <c r="M126" s="58"/>
      <c r="N126" s="58"/>
      <c r="O126" s="58"/>
      <c r="P126" s="58"/>
      <c r="Q126" s="58"/>
      <c r="R126" s="58"/>
      <c r="S126" s="58"/>
      <c r="T126" s="58"/>
      <c r="U126" s="58"/>
      <c r="V126" s="58"/>
      <c r="W126" s="77" t="s">
        <v>3135</v>
      </c>
      <c r="X126" s="58" t="s">
        <v>2738</v>
      </c>
      <c r="Y126" s="52"/>
      <c r="Z126" s="52"/>
      <c r="AA126" s="52"/>
      <c r="AB126" s="52"/>
      <c r="AC126" s="52"/>
    </row>
    <row r="127" customHeight="1" ht="73.5">
      <c r="A127" s="73">
        <v>115</v>
      </c>
      <c r="B127" s="116"/>
      <c r="C127" s="116"/>
      <c r="D127" s="116"/>
      <c r="E127" s="58" t="s">
        <v>2791</v>
      </c>
      <c r="F127" s="58" t="s">
        <v>203</v>
      </c>
      <c r="G127" s="58" t="s">
        <v>1850</v>
      </c>
      <c r="H127" s="58" t="s">
        <v>2792</v>
      </c>
      <c r="I127" s="58" t="s">
        <v>2793</v>
      </c>
      <c r="J127" s="58" t="s">
        <v>2794</v>
      </c>
      <c r="K127" s="74" t="s">
        <v>2795</v>
      </c>
      <c r="L127" s="58"/>
      <c r="M127" s="58"/>
      <c r="N127" s="58"/>
      <c r="O127" s="58"/>
      <c r="P127" s="58"/>
      <c r="Q127" s="58"/>
      <c r="R127" s="58"/>
      <c r="S127" s="58"/>
      <c r="T127" s="58"/>
      <c r="U127" s="58"/>
      <c r="V127" s="58"/>
      <c r="W127" s="105"/>
      <c r="X127" s="58" t="s">
        <v>2738</v>
      </c>
      <c r="Y127" s="52"/>
      <c r="Z127" s="52"/>
      <c r="AA127" s="52"/>
      <c r="AB127" s="52"/>
      <c r="AC127" s="52"/>
    </row>
    <row r="128" customHeight="1" ht="114.0">
      <c r="A128" s="73">
        <v>116</v>
      </c>
      <c r="B128" s="118"/>
      <c r="C128" s="118"/>
      <c r="D128" s="118"/>
      <c r="E128" s="58" t="s">
        <v>2796</v>
      </c>
      <c r="F128" s="58" t="s">
        <v>210</v>
      </c>
      <c r="G128" s="58" t="s">
        <v>1856</v>
      </c>
      <c r="H128" s="58" t="s">
        <v>2797</v>
      </c>
      <c r="I128" s="58" t="s">
        <v>2798</v>
      </c>
      <c r="J128" s="58" t="s">
        <v>2799</v>
      </c>
      <c r="K128" s="104"/>
      <c r="L128" s="58"/>
      <c r="M128" s="58"/>
      <c r="N128" s="58"/>
      <c r="O128" s="58"/>
      <c r="P128" s="58"/>
      <c r="Q128" s="58"/>
      <c r="R128" s="58"/>
      <c r="S128" s="58"/>
      <c r="T128" s="58"/>
      <c r="U128" s="58"/>
      <c r="V128" s="58"/>
      <c r="W128" s="77" t="s">
        <v>2800</v>
      </c>
      <c r="X128" s="58" t="s">
        <v>2738</v>
      </c>
      <c r="Y128" s="52"/>
      <c r="Z128" s="52"/>
      <c r="AA128" s="52"/>
      <c r="AB128" s="52"/>
      <c r="AC128" s="52"/>
    </row>
    <row r="129" customHeight="1" ht="100.5">
      <c r="A129" s="73">
        <v>117</v>
      </c>
      <c r="B129" s="116" t="s">
        <v>123</v>
      </c>
      <c r="C129" s="116" t="s">
        <v>100</v>
      </c>
      <c r="D129" s="117" t="s">
        <v>268</v>
      </c>
      <c r="E129" s="58" t="s">
        <v>832</v>
      </c>
      <c r="F129" s="58" t="s">
        <v>203</v>
      </c>
      <c r="G129" s="58" t="s">
        <v>1861</v>
      </c>
      <c r="H129" s="58" t="s">
        <v>2801</v>
      </c>
      <c r="I129" s="58" t="s">
        <v>2355</v>
      </c>
      <c r="J129" s="58" t="s">
        <v>2802</v>
      </c>
      <c r="K129" s="74" t="s">
        <v>2803</v>
      </c>
      <c r="L129" s="58"/>
      <c r="M129" s="58"/>
      <c r="N129" s="58"/>
      <c r="O129" s="58"/>
      <c r="P129" s="58"/>
      <c r="Q129" s="58"/>
      <c r="R129" s="58"/>
      <c r="S129" s="58"/>
      <c r="T129" s="58"/>
      <c r="U129" s="58"/>
      <c r="V129" s="58"/>
      <c r="W129" s="105"/>
      <c r="X129" s="58" t="s">
        <v>2358</v>
      </c>
      <c r="Y129" s="52"/>
      <c r="Z129" s="52"/>
      <c r="AA129" s="52"/>
      <c r="AB129" s="52"/>
      <c r="AC129" s="52"/>
    </row>
    <row r="130" customHeight="1" ht="48.6">
      <c r="A130" s="73">
        <v>118</v>
      </c>
      <c r="B130" s="116"/>
      <c r="C130" s="116"/>
      <c r="D130" s="117" t="s">
        <v>851</v>
      </c>
      <c r="E130" s="58" t="s">
        <v>852</v>
      </c>
      <c r="F130" s="58" t="s">
        <v>210</v>
      </c>
      <c r="G130" s="58" t="s">
        <v>1865</v>
      </c>
      <c r="H130" s="58" t="s">
        <v>2805</v>
      </c>
      <c r="I130" s="58" t="s">
        <v>2355</v>
      </c>
      <c r="J130" s="58" t="s">
        <v>2806</v>
      </c>
      <c r="K130" s="74" t="s">
        <v>1281</v>
      </c>
      <c r="L130" s="58"/>
      <c r="M130" s="58"/>
      <c r="N130" s="58"/>
      <c r="O130" s="58"/>
      <c r="P130" s="58"/>
      <c r="Q130" s="58"/>
      <c r="R130" s="58"/>
      <c r="S130" s="58"/>
      <c r="T130" s="58"/>
      <c r="U130" s="58"/>
      <c r="V130" s="58"/>
      <c r="W130" s="105"/>
      <c r="X130" s="58" t="s">
        <v>2358</v>
      </c>
      <c r="Y130" s="52"/>
      <c r="Z130" s="52"/>
      <c r="AA130" s="52"/>
      <c r="AB130" s="52"/>
      <c r="AC130" s="52"/>
    </row>
    <row r="131" customHeight="1" ht="48.6">
      <c r="A131" s="73">
        <v>119</v>
      </c>
      <c r="B131" s="116"/>
      <c r="C131" s="116"/>
      <c r="D131" s="116" t="s">
        <v>857</v>
      </c>
      <c r="E131" s="58" t="s">
        <v>858</v>
      </c>
      <c r="F131" s="58" t="s">
        <v>210</v>
      </c>
      <c r="G131" s="58" t="s">
        <v>2804</v>
      </c>
      <c r="H131" s="58" t="s">
        <v>2808</v>
      </c>
      <c r="I131" s="58" t="s">
        <v>2355</v>
      </c>
      <c r="J131" s="58" t="s">
        <v>2809</v>
      </c>
      <c r="K131" s="74" t="s">
        <v>2810</v>
      </c>
      <c r="L131" s="58"/>
      <c r="M131" s="58"/>
      <c r="N131" s="58"/>
      <c r="O131" s="58"/>
      <c r="P131" s="58"/>
      <c r="Q131" s="58"/>
      <c r="R131" s="58"/>
      <c r="S131" s="58"/>
      <c r="T131" s="58"/>
      <c r="U131" s="58"/>
      <c r="V131" s="58"/>
      <c r="W131" s="77" t="s">
        <v>3136</v>
      </c>
      <c r="X131" s="58" t="s">
        <v>2378</v>
      </c>
      <c r="Y131" s="52"/>
      <c r="Z131" s="52"/>
      <c r="AA131" s="52"/>
      <c r="AB131" s="52"/>
      <c r="AC131" s="52"/>
    </row>
    <row r="132" customHeight="1" ht="60.0">
      <c r="A132" s="73">
        <v>120</v>
      </c>
      <c r="B132" s="116"/>
      <c r="C132" s="118"/>
      <c r="D132" s="118"/>
      <c r="E132" s="58" t="s">
        <v>2812</v>
      </c>
      <c r="F132" s="58" t="s">
        <v>210</v>
      </c>
      <c r="G132" s="58" t="s">
        <v>2807</v>
      </c>
      <c r="H132" s="58" t="s">
        <v>2814</v>
      </c>
      <c r="I132" s="58" t="s">
        <v>2355</v>
      </c>
      <c r="J132" s="58" t="s">
        <v>2815</v>
      </c>
      <c r="K132" s="74" t="s">
        <v>3081</v>
      </c>
      <c r="L132" s="58"/>
      <c r="M132" s="58"/>
      <c r="N132" s="58"/>
      <c r="O132" s="58"/>
      <c r="P132" s="58"/>
      <c r="Q132" s="58"/>
      <c r="R132" s="58"/>
      <c r="S132" s="58"/>
      <c r="T132" s="58"/>
      <c r="U132" s="58"/>
      <c r="V132" s="58"/>
      <c r="W132" s="77" t="s">
        <v>2817</v>
      </c>
      <c r="X132" s="58" t="s">
        <v>2378</v>
      </c>
      <c r="Y132" s="52"/>
      <c r="Z132" s="52"/>
      <c r="AA132" s="52"/>
      <c r="AB132" s="52"/>
      <c r="AC132" s="52"/>
    </row>
    <row r="133" customHeight="1" ht="73.5">
      <c r="A133" s="73">
        <v>121</v>
      </c>
      <c r="B133" s="116"/>
      <c r="C133" s="116" t="s">
        <v>101</v>
      </c>
      <c r="D133" s="117" t="s">
        <v>268</v>
      </c>
      <c r="E133" s="58" t="s">
        <v>871</v>
      </c>
      <c r="F133" s="58" t="s">
        <v>225</v>
      </c>
      <c r="G133" s="58" t="s">
        <v>2813</v>
      </c>
      <c r="H133" s="58" t="s">
        <v>2819</v>
      </c>
      <c r="I133" s="58" t="s">
        <v>2355</v>
      </c>
      <c r="J133" s="58" t="s">
        <v>2820</v>
      </c>
      <c r="K133" s="74" t="s">
        <v>2821</v>
      </c>
      <c r="L133" s="58"/>
      <c r="M133" s="58"/>
      <c r="N133" s="58"/>
      <c r="O133" s="58"/>
      <c r="P133" s="58"/>
      <c r="Q133" s="58"/>
      <c r="R133" s="58"/>
      <c r="S133" s="58"/>
      <c r="T133" s="58"/>
      <c r="U133" s="58"/>
      <c r="V133" s="58"/>
      <c r="W133" s="77" t="s">
        <v>3137</v>
      </c>
      <c r="X133" s="58" t="s">
        <v>2358</v>
      </c>
      <c r="Y133" s="52"/>
      <c r="Z133" s="52"/>
      <c r="AA133" s="52"/>
      <c r="AB133" s="52"/>
      <c r="AC133" s="52"/>
    </row>
    <row r="134" customHeight="1" ht="60.0">
      <c r="A134" s="73">
        <v>122</v>
      </c>
      <c r="B134" s="116"/>
      <c r="C134" s="118"/>
      <c r="D134" s="117" t="s">
        <v>876</v>
      </c>
      <c r="E134" s="58" t="s">
        <v>2823</v>
      </c>
      <c r="F134" s="58" t="s">
        <v>225</v>
      </c>
      <c r="G134" s="58" t="s">
        <v>2818</v>
      </c>
      <c r="H134" s="58" t="s">
        <v>3082</v>
      </c>
      <c r="I134" s="58" t="s">
        <v>2355</v>
      </c>
      <c r="J134" s="58" t="s">
        <v>2825</v>
      </c>
      <c r="K134" s="74" t="s">
        <v>2826</v>
      </c>
      <c r="L134" s="58"/>
      <c r="M134" s="58"/>
      <c r="N134" s="58"/>
      <c r="O134" s="58"/>
      <c r="P134" s="58"/>
      <c r="Q134" s="58"/>
      <c r="R134" s="58"/>
      <c r="S134" s="58"/>
      <c r="T134" s="58"/>
      <c r="U134" s="58"/>
      <c r="V134" s="58"/>
      <c r="W134" s="105"/>
      <c r="X134" s="58" t="s">
        <v>2358</v>
      </c>
      <c r="Y134" s="52"/>
      <c r="Z134" s="52"/>
      <c r="AA134" s="52"/>
      <c r="AB134" s="52"/>
      <c r="AC134" s="52"/>
    </row>
    <row r="135" customHeight="1" ht="127.5">
      <c r="A135" s="73">
        <v>123</v>
      </c>
      <c r="B135" s="116"/>
      <c r="C135" s="116" t="s">
        <v>102</v>
      </c>
      <c r="D135" s="116" t="s">
        <v>268</v>
      </c>
      <c r="E135" s="58" t="s">
        <v>2706</v>
      </c>
      <c r="F135" s="58" t="s">
        <v>203</v>
      </c>
      <c r="G135" s="58" t="s">
        <v>2824</v>
      </c>
      <c r="H135" s="58" t="s">
        <v>1435</v>
      </c>
      <c r="I135" s="58" t="s">
        <v>2355</v>
      </c>
      <c r="J135" s="58" t="s">
        <v>2828</v>
      </c>
      <c r="K135" s="74" t="s">
        <v>2829</v>
      </c>
      <c r="L135" s="58"/>
      <c r="M135" s="58"/>
      <c r="N135" s="58"/>
      <c r="O135" s="58"/>
      <c r="P135" s="58"/>
      <c r="Q135" s="58"/>
      <c r="R135" s="58"/>
      <c r="S135" s="58"/>
      <c r="T135" s="58"/>
      <c r="U135" s="58"/>
      <c r="V135" s="58"/>
      <c r="W135" s="77" t="s">
        <v>2830</v>
      </c>
      <c r="X135" s="58" t="s">
        <v>2358</v>
      </c>
      <c r="Y135" s="52"/>
      <c r="Z135" s="52"/>
      <c r="AA135" s="52"/>
      <c r="AB135" s="52"/>
      <c r="AC135" s="52"/>
    </row>
    <row r="136" customHeight="1" ht="127.5">
      <c r="A136" s="73">
        <v>124</v>
      </c>
      <c r="B136" s="116"/>
      <c r="C136" s="116"/>
      <c r="D136" s="116"/>
      <c r="E136" s="58" t="s">
        <v>2831</v>
      </c>
      <c r="F136" s="58" t="s">
        <v>203</v>
      </c>
      <c r="G136" s="58" t="s">
        <v>2827</v>
      </c>
      <c r="H136" s="58" t="s">
        <v>1441</v>
      </c>
      <c r="I136" s="58" t="s">
        <v>2606</v>
      </c>
      <c r="J136" s="58" t="s">
        <v>2833</v>
      </c>
      <c r="K136" s="74" t="s">
        <v>2834</v>
      </c>
      <c r="L136" s="58"/>
      <c r="M136" s="58"/>
      <c r="N136" s="58"/>
      <c r="O136" s="58"/>
      <c r="P136" s="58"/>
      <c r="Q136" s="58"/>
      <c r="R136" s="58"/>
      <c r="S136" s="58"/>
      <c r="T136" s="58"/>
      <c r="U136" s="58"/>
      <c r="V136" s="58"/>
      <c r="W136" s="105"/>
      <c r="X136" s="58" t="s">
        <v>2358</v>
      </c>
      <c r="Y136" s="52"/>
      <c r="Z136" s="52"/>
      <c r="AA136" s="52"/>
      <c r="AB136" s="52"/>
      <c r="AC136" s="52"/>
    </row>
    <row r="137" customHeight="1" ht="60.0">
      <c r="A137" s="73">
        <v>125</v>
      </c>
      <c r="B137" s="116"/>
      <c r="C137" s="116"/>
      <c r="D137" s="116"/>
      <c r="E137" s="58" t="s">
        <v>2835</v>
      </c>
      <c r="F137" s="58" t="s">
        <v>210</v>
      </c>
      <c r="G137" s="58" t="s">
        <v>2832</v>
      </c>
      <c r="H137" s="58" t="s">
        <v>1446</v>
      </c>
      <c r="I137" s="58" t="s">
        <v>2611</v>
      </c>
      <c r="J137" s="58" t="s">
        <v>2837</v>
      </c>
      <c r="K137" s="74" t="s">
        <v>2838</v>
      </c>
      <c r="L137" s="58"/>
      <c r="M137" s="58"/>
      <c r="N137" s="58"/>
      <c r="O137" s="58"/>
      <c r="P137" s="58"/>
      <c r="Q137" s="58"/>
      <c r="R137" s="58"/>
      <c r="S137" s="58"/>
      <c r="T137" s="58"/>
      <c r="U137" s="58"/>
      <c r="V137" s="58"/>
      <c r="W137" s="77" t="s">
        <v>3138</v>
      </c>
      <c r="X137" s="58" t="s">
        <v>2358</v>
      </c>
      <c r="Y137" s="52"/>
      <c r="Z137" s="52"/>
      <c r="AA137" s="52"/>
      <c r="AB137" s="52"/>
      <c r="AC137" s="52"/>
    </row>
    <row r="138" customHeight="1" ht="100.5">
      <c r="A138" s="73">
        <v>126</v>
      </c>
      <c r="B138" s="116"/>
      <c r="C138" s="116"/>
      <c r="D138" s="116"/>
      <c r="E138" s="58" t="s">
        <v>2840</v>
      </c>
      <c r="F138" s="58" t="s">
        <v>210</v>
      </c>
      <c r="G138" s="58" t="s">
        <v>2836</v>
      </c>
      <c r="H138" s="58" t="s">
        <v>2842</v>
      </c>
      <c r="I138" s="58" t="s">
        <v>2843</v>
      </c>
      <c r="J138" s="58" t="s">
        <v>2844</v>
      </c>
      <c r="K138" s="74" t="s">
        <v>2845</v>
      </c>
      <c r="L138" s="58"/>
      <c r="M138" s="58"/>
      <c r="N138" s="58"/>
      <c r="O138" s="58"/>
      <c r="P138" s="58"/>
      <c r="Q138" s="58"/>
      <c r="R138" s="58"/>
      <c r="S138" s="58"/>
      <c r="T138" s="58"/>
      <c r="U138" s="58"/>
      <c r="V138" s="58"/>
      <c r="W138" s="105"/>
      <c r="X138" s="58" t="s">
        <v>2358</v>
      </c>
      <c r="Y138" s="52"/>
      <c r="Z138" s="52"/>
      <c r="AA138" s="52"/>
      <c r="AB138" s="52"/>
      <c r="AC138" s="52"/>
    </row>
    <row r="139" customHeight="1" ht="60.0">
      <c r="A139" s="73">
        <v>127</v>
      </c>
      <c r="B139" s="116"/>
      <c r="C139" s="116"/>
      <c r="D139" s="118"/>
      <c r="E139" s="58" t="s">
        <v>2846</v>
      </c>
      <c r="F139" s="58" t="s">
        <v>210</v>
      </c>
      <c r="G139" s="58" t="s">
        <v>2841</v>
      </c>
      <c r="H139" s="58" t="s">
        <v>2848</v>
      </c>
      <c r="I139" s="58" t="s">
        <v>2611</v>
      </c>
      <c r="J139" s="58" t="s">
        <v>2849</v>
      </c>
      <c r="K139" s="74" t="s">
        <v>2850</v>
      </c>
      <c r="L139" s="58"/>
      <c r="M139" s="58"/>
      <c r="N139" s="58"/>
      <c r="O139" s="58"/>
      <c r="P139" s="58"/>
      <c r="Q139" s="58"/>
      <c r="R139" s="58"/>
      <c r="S139" s="58"/>
      <c r="T139" s="58"/>
      <c r="U139" s="58"/>
      <c r="V139" s="58"/>
      <c r="W139" s="77" t="s">
        <v>2851</v>
      </c>
      <c r="X139" s="58" t="s">
        <v>2358</v>
      </c>
      <c r="Y139" s="52"/>
      <c r="Z139" s="52"/>
      <c r="AA139" s="52"/>
      <c r="AB139" s="52"/>
      <c r="AC139" s="52"/>
    </row>
    <row r="140" customHeight="1" ht="154.5">
      <c r="A140" s="73">
        <v>128</v>
      </c>
      <c r="B140" s="116"/>
      <c r="C140" s="116"/>
      <c r="D140" s="116" t="s">
        <v>2715</v>
      </c>
      <c r="E140" s="58" t="s">
        <v>2852</v>
      </c>
      <c r="F140" s="58" t="s">
        <v>203</v>
      </c>
      <c r="G140" s="58" t="s">
        <v>2847</v>
      </c>
      <c r="H140" s="58" t="s">
        <v>2854</v>
      </c>
      <c r="I140" s="58" t="s">
        <v>3139</v>
      </c>
      <c r="J140" s="58" t="s">
        <v>3084</v>
      </c>
      <c r="K140" s="74" t="s">
        <v>2857</v>
      </c>
      <c r="L140" s="58"/>
      <c r="M140" s="58"/>
      <c r="N140" s="58"/>
      <c r="O140" s="58"/>
      <c r="P140" s="58"/>
      <c r="Q140" s="58"/>
      <c r="R140" s="58"/>
      <c r="S140" s="58"/>
      <c r="T140" s="58"/>
      <c r="U140" s="58"/>
      <c r="V140" s="58"/>
      <c r="W140" s="77" t="s">
        <v>2858</v>
      </c>
      <c r="X140" s="58" t="s">
        <v>2358</v>
      </c>
      <c r="Y140" s="52"/>
      <c r="Z140" s="52"/>
      <c r="AA140" s="52"/>
      <c r="AB140" s="52"/>
      <c r="AC140" s="52"/>
    </row>
    <row r="141" customHeight="1" ht="154.5">
      <c r="A141" s="73">
        <v>129</v>
      </c>
      <c r="B141" s="116"/>
      <c r="C141" s="116"/>
      <c r="D141" s="116"/>
      <c r="E141" s="58" t="s">
        <v>2859</v>
      </c>
      <c r="F141" s="58" t="s">
        <v>203</v>
      </c>
      <c r="G141" s="58" t="s">
        <v>2853</v>
      </c>
      <c r="H141" s="58" t="s">
        <v>2861</v>
      </c>
      <c r="I141" s="58" t="s">
        <v>3139</v>
      </c>
      <c r="J141" s="58" t="s">
        <v>3085</v>
      </c>
      <c r="K141" s="74" t="s">
        <v>3140</v>
      </c>
      <c r="L141" s="58"/>
      <c r="M141" s="58"/>
      <c r="N141" s="58"/>
      <c r="O141" s="58"/>
      <c r="P141" s="58"/>
      <c r="Q141" s="58"/>
      <c r="R141" s="58"/>
      <c r="S141" s="58"/>
      <c r="T141" s="58"/>
      <c r="U141" s="58"/>
      <c r="V141" s="58"/>
      <c r="W141" s="77" t="s">
        <v>2858</v>
      </c>
      <c r="X141" s="58" t="s">
        <v>2358</v>
      </c>
      <c r="Y141" s="52"/>
      <c r="Z141" s="52"/>
      <c r="AA141" s="52"/>
      <c r="AB141" s="52"/>
      <c r="AC141" s="52"/>
    </row>
    <row r="142" customHeight="1" ht="154.5">
      <c r="A142" s="73">
        <v>130</v>
      </c>
      <c r="B142" s="116"/>
      <c r="C142" s="116"/>
      <c r="D142" s="116"/>
      <c r="E142" s="58" t="s">
        <v>2864</v>
      </c>
      <c r="F142" s="58" t="s">
        <v>203</v>
      </c>
      <c r="G142" s="58" t="s">
        <v>2860</v>
      </c>
      <c r="H142" s="58" t="s">
        <v>2866</v>
      </c>
      <c r="I142" s="58" t="s">
        <v>3139</v>
      </c>
      <c r="J142" s="58" t="s">
        <v>3141</v>
      </c>
      <c r="K142" s="74" t="s">
        <v>3087</v>
      </c>
      <c r="L142" s="58"/>
      <c r="M142" s="58"/>
      <c r="N142" s="58"/>
      <c r="O142" s="58"/>
      <c r="P142" s="58"/>
      <c r="Q142" s="58"/>
      <c r="R142" s="58"/>
      <c r="S142" s="58"/>
      <c r="T142" s="58"/>
      <c r="U142" s="58"/>
      <c r="V142" s="58"/>
      <c r="W142" s="77" t="s">
        <v>3088</v>
      </c>
      <c r="X142" s="58" t="s">
        <v>2358</v>
      </c>
      <c r="Y142" s="52"/>
      <c r="Z142" s="52"/>
      <c r="AA142" s="52"/>
      <c r="AB142" s="52"/>
      <c r="AC142" s="52"/>
    </row>
    <row r="143" customHeight="1" ht="73.5">
      <c r="A143" s="73">
        <v>131</v>
      </c>
      <c r="B143" s="116"/>
      <c r="C143" s="116"/>
      <c r="D143" s="116"/>
      <c r="E143" s="58" t="s">
        <v>2870</v>
      </c>
      <c r="F143" s="58" t="s">
        <v>225</v>
      </c>
      <c r="G143" s="58" t="s">
        <v>2865</v>
      </c>
      <c r="H143" s="58" t="s">
        <v>2872</v>
      </c>
      <c r="I143" s="58" t="s">
        <v>2873</v>
      </c>
      <c r="J143" s="58" t="s">
        <v>2874</v>
      </c>
      <c r="K143" s="74" t="s">
        <v>2875</v>
      </c>
      <c r="L143" s="58"/>
      <c r="M143" s="58"/>
      <c r="N143" s="58"/>
      <c r="O143" s="58"/>
      <c r="P143" s="58"/>
      <c r="Q143" s="58"/>
      <c r="R143" s="58"/>
      <c r="S143" s="58"/>
      <c r="T143" s="58"/>
      <c r="U143" s="58"/>
      <c r="V143" s="58"/>
      <c r="W143" s="77" t="s">
        <v>2876</v>
      </c>
      <c r="X143" s="58" t="s">
        <v>2358</v>
      </c>
      <c r="Y143" s="52"/>
      <c r="Z143" s="52"/>
      <c r="AA143" s="52"/>
      <c r="AB143" s="52"/>
      <c r="AC143" s="52"/>
    </row>
    <row r="144" customHeight="1" ht="73.5">
      <c r="A144" s="73">
        <v>132</v>
      </c>
      <c r="B144" s="116"/>
      <c r="C144" s="116"/>
      <c r="D144" s="116"/>
      <c r="E144" s="58" t="s">
        <v>2877</v>
      </c>
      <c r="F144" s="58" t="s">
        <v>225</v>
      </c>
      <c r="G144" s="58" t="s">
        <v>2871</v>
      </c>
      <c r="H144" s="58" t="s">
        <v>2879</v>
      </c>
      <c r="I144" s="58" t="s">
        <v>2880</v>
      </c>
      <c r="J144" s="58" t="s">
        <v>2881</v>
      </c>
      <c r="K144" s="74" t="s">
        <v>3089</v>
      </c>
      <c r="L144" s="58"/>
      <c r="M144" s="58"/>
      <c r="N144" s="58"/>
      <c r="O144" s="58"/>
      <c r="P144" s="58"/>
      <c r="Q144" s="58"/>
      <c r="R144" s="58"/>
      <c r="S144" s="58"/>
      <c r="T144" s="58"/>
      <c r="U144" s="58"/>
      <c r="V144" s="58"/>
      <c r="W144" s="77" t="s">
        <v>3142</v>
      </c>
      <c r="X144" s="58" t="s">
        <v>2358</v>
      </c>
      <c r="Y144" s="52"/>
      <c r="Z144" s="52"/>
      <c r="AA144" s="52"/>
      <c r="AB144" s="52"/>
      <c r="AC144" s="52"/>
    </row>
    <row r="145" customHeight="1" ht="73.5">
      <c r="A145" s="73">
        <v>133</v>
      </c>
      <c r="B145" s="116"/>
      <c r="C145" s="116"/>
      <c r="D145" s="116"/>
      <c r="E145" s="58" t="s">
        <v>2884</v>
      </c>
      <c r="F145" s="58" t="s">
        <v>210</v>
      </c>
      <c r="G145" s="58" t="s">
        <v>2878</v>
      </c>
      <c r="H145" s="58" t="s">
        <v>2886</v>
      </c>
      <c r="I145" s="58" t="s">
        <v>2887</v>
      </c>
      <c r="J145" s="58" t="s">
        <v>2888</v>
      </c>
      <c r="K145" s="104"/>
      <c r="L145" s="58"/>
      <c r="M145" s="58"/>
      <c r="N145" s="58"/>
      <c r="O145" s="58"/>
      <c r="P145" s="58"/>
      <c r="Q145" s="58"/>
      <c r="R145" s="58"/>
      <c r="S145" s="58"/>
      <c r="T145" s="58"/>
      <c r="U145" s="58"/>
      <c r="V145" s="58"/>
      <c r="W145" s="77" t="s">
        <v>3090</v>
      </c>
      <c r="X145" s="58" t="s">
        <v>2358</v>
      </c>
      <c r="Y145" s="52"/>
      <c r="Z145" s="52"/>
      <c r="AA145" s="52"/>
      <c r="AB145" s="52"/>
      <c r="AC145" s="52"/>
    </row>
    <row r="146" customHeight="1" ht="73.5">
      <c r="A146" s="73">
        <v>134</v>
      </c>
      <c r="B146" s="116"/>
      <c r="C146" s="116"/>
      <c r="D146" s="118"/>
      <c r="E146" s="58" t="s">
        <v>2891</v>
      </c>
      <c r="F146" s="58" t="s">
        <v>210</v>
      </c>
      <c r="G146" s="58" t="s">
        <v>2885</v>
      </c>
      <c r="H146" s="58" t="s">
        <v>2893</v>
      </c>
      <c r="I146" s="58" t="s">
        <v>2355</v>
      </c>
      <c r="J146" s="58" t="s">
        <v>2894</v>
      </c>
      <c r="K146" s="74" t="s">
        <v>2895</v>
      </c>
      <c r="L146" s="58"/>
      <c r="M146" s="58"/>
      <c r="N146" s="58"/>
      <c r="O146" s="58"/>
      <c r="P146" s="58"/>
      <c r="Q146" s="58"/>
      <c r="R146" s="58"/>
      <c r="S146" s="58"/>
      <c r="T146" s="58"/>
      <c r="U146" s="58"/>
      <c r="V146" s="58"/>
      <c r="W146" s="77" t="s">
        <v>3091</v>
      </c>
      <c r="X146" s="58" t="s">
        <v>2358</v>
      </c>
      <c r="Y146" s="52"/>
      <c r="Z146" s="52"/>
      <c r="AA146" s="52"/>
      <c r="AB146" s="52"/>
      <c r="AC146" s="52"/>
    </row>
    <row r="147" customHeight="1" ht="48.6">
      <c r="A147" s="73">
        <v>135</v>
      </c>
      <c r="B147" s="116"/>
      <c r="C147" s="118"/>
      <c r="D147" s="117" t="s">
        <v>448</v>
      </c>
      <c r="E147" s="58" t="s">
        <v>2897</v>
      </c>
      <c r="F147" s="58" t="s">
        <v>225</v>
      </c>
      <c r="G147" s="58" t="s">
        <v>2892</v>
      </c>
      <c r="H147" s="58" t="s">
        <v>2899</v>
      </c>
      <c r="I147" s="58" t="s">
        <v>2355</v>
      </c>
      <c r="J147" s="58" t="s">
        <v>2900</v>
      </c>
      <c r="K147" s="104"/>
      <c r="L147" s="58"/>
      <c r="M147" s="58"/>
      <c r="N147" s="58"/>
      <c r="O147" s="58"/>
      <c r="P147" s="58"/>
      <c r="Q147" s="58"/>
      <c r="R147" s="58"/>
      <c r="S147" s="58"/>
      <c r="T147" s="58"/>
      <c r="U147" s="58"/>
      <c r="V147" s="58"/>
      <c r="W147" s="77" t="s">
        <v>3092</v>
      </c>
      <c r="X147" s="58" t="s">
        <v>2358</v>
      </c>
      <c r="Y147" s="52"/>
      <c r="Z147" s="52"/>
      <c r="AA147" s="52"/>
      <c r="AB147" s="52"/>
      <c r="AC147" s="52"/>
    </row>
    <row r="148" customHeight="1" ht="100.5">
      <c r="A148" s="73">
        <v>136</v>
      </c>
      <c r="B148" s="116"/>
      <c r="C148" s="116" t="s">
        <v>126</v>
      </c>
      <c r="D148" s="116" t="s">
        <v>268</v>
      </c>
      <c r="E148" s="58" t="s">
        <v>2903</v>
      </c>
      <c r="F148" s="58" t="s">
        <v>203</v>
      </c>
      <c r="G148" s="58" t="s">
        <v>2898</v>
      </c>
      <c r="H148" s="58" t="s">
        <v>1480</v>
      </c>
      <c r="I148" s="58" t="s">
        <v>2606</v>
      </c>
      <c r="J148" s="58" t="s">
        <v>2905</v>
      </c>
      <c r="K148" s="74" t="s">
        <v>2906</v>
      </c>
      <c r="L148" s="58"/>
      <c r="M148" s="58"/>
      <c r="N148" s="58"/>
      <c r="O148" s="58"/>
      <c r="P148" s="58"/>
      <c r="Q148" s="58"/>
      <c r="R148" s="58"/>
      <c r="S148" s="58"/>
      <c r="T148" s="58"/>
      <c r="U148" s="58"/>
      <c r="V148" s="58"/>
      <c r="W148" s="105"/>
      <c r="X148" s="58" t="s">
        <v>2358</v>
      </c>
      <c r="Y148" s="52"/>
      <c r="Z148" s="52"/>
      <c r="AA148" s="52"/>
      <c r="AB148" s="52"/>
      <c r="AC148" s="52"/>
    </row>
    <row r="149" customHeight="1" ht="73.5">
      <c r="A149" s="73">
        <v>137</v>
      </c>
      <c r="B149" s="116"/>
      <c r="C149" s="116"/>
      <c r="D149" s="116"/>
      <c r="E149" s="58" t="s">
        <v>2907</v>
      </c>
      <c r="F149" s="58" t="s">
        <v>203</v>
      </c>
      <c r="G149" s="58" t="s">
        <v>2904</v>
      </c>
      <c r="H149" s="58" t="s">
        <v>1485</v>
      </c>
      <c r="I149" s="58" t="s">
        <v>2606</v>
      </c>
      <c r="J149" s="58" t="s">
        <v>2909</v>
      </c>
      <c r="K149" s="74" t="s">
        <v>2910</v>
      </c>
      <c r="L149" s="58"/>
      <c r="M149" s="58"/>
      <c r="N149" s="58"/>
      <c r="O149" s="58"/>
      <c r="P149" s="58"/>
      <c r="Q149" s="58"/>
      <c r="R149" s="58"/>
      <c r="S149" s="58"/>
      <c r="T149" s="58"/>
      <c r="U149" s="58"/>
      <c r="V149" s="58"/>
      <c r="W149" s="105"/>
      <c r="X149" s="58" t="s">
        <v>2358</v>
      </c>
      <c r="Y149" s="52"/>
      <c r="Z149" s="52"/>
      <c r="AA149" s="52"/>
      <c r="AB149" s="52"/>
      <c r="AC149" s="52"/>
    </row>
    <row r="150" customHeight="1" ht="60.0">
      <c r="A150" s="73">
        <v>138</v>
      </c>
      <c r="B150" s="116"/>
      <c r="C150" s="116"/>
      <c r="D150" s="118"/>
      <c r="E150" s="58" t="s">
        <v>1040</v>
      </c>
      <c r="F150" s="58" t="s">
        <v>210</v>
      </c>
      <c r="G150" s="58" t="s">
        <v>2908</v>
      </c>
      <c r="H150" s="58" t="s">
        <v>2912</v>
      </c>
      <c r="I150" s="58" t="s">
        <v>2611</v>
      </c>
      <c r="J150" s="58" t="s">
        <v>2913</v>
      </c>
      <c r="K150" s="74" t="s">
        <v>2914</v>
      </c>
      <c r="L150" s="58"/>
      <c r="M150" s="58"/>
      <c r="N150" s="58"/>
      <c r="O150" s="58"/>
      <c r="P150" s="58"/>
      <c r="Q150" s="58"/>
      <c r="R150" s="58"/>
      <c r="S150" s="58"/>
      <c r="T150" s="58"/>
      <c r="U150" s="58"/>
      <c r="V150" s="58"/>
      <c r="W150" s="77" t="s">
        <v>3143</v>
      </c>
      <c r="X150" s="58" t="s">
        <v>2358</v>
      </c>
      <c r="Y150" s="52"/>
      <c r="Z150" s="52"/>
      <c r="AA150" s="52"/>
      <c r="AB150" s="52"/>
      <c r="AC150" s="52"/>
    </row>
    <row r="151" customHeight="1" ht="154.5">
      <c r="A151" s="73">
        <v>139</v>
      </c>
      <c r="B151" s="116"/>
      <c r="C151" s="116"/>
      <c r="D151" s="116" t="s">
        <v>2725</v>
      </c>
      <c r="E151" s="58" t="s">
        <v>2916</v>
      </c>
      <c r="F151" s="58" t="s">
        <v>203</v>
      </c>
      <c r="G151" s="58" t="s">
        <v>2911</v>
      </c>
      <c r="H151" s="58" t="s">
        <v>2918</v>
      </c>
      <c r="I151" s="58" t="s">
        <v>2606</v>
      </c>
      <c r="J151" s="58" t="s">
        <v>2919</v>
      </c>
      <c r="K151" s="74" t="s">
        <v>2920</v>
      </c>
      <c r="L151" s="58"/>
      <c r="M151" s="58"/>
      <c r="N151" s="58"/>
      <c r="O151" s="58"/>
      <c r="P151" s="58"/>
      <c r="Q151" s="58"/>
      <c r="R151" s="58"/>
      <c r="S151" s="58"/>
      <c r="T151" s="58"/>
      <c r="U151" s="58"/>
      <c r="V151" s="58"/>
      <c r="W151" s="105"/>
      <c r="X151" s="58" t="s">
        <v>2358</v>
      </c>
      <c r="Y151" s="52"/>
      <c r="Z151" s="52"/>
      <c r="AA151" s="52"/>
      <c r="AB151" s="52"/>
      <c r="AC151" s="52"/>
    </row>
    <row r="152" customHeight="1" ht="60.0">
      <c r="A152" s="73">
        <v>140</v>
      </c>
      <c r="B152" s="116"/>
      <c r="C152" s="116"/>
      <c r="D152" s="116"/>
      <c r="E152" s="58" t="s">
        <v>2921</v>
      </c>
      <c r="F152" s="58" t="s">
        <v>210</v>
      </c>
      <c r="G152" s="58" t="s">
        <v>2917</v>
      </c>
      <c r="H152" s="58" t="s">
        <v>2923</v>
      </c>
      <c r="I152" s="58" t="s">
        <v>2606</v>
      </c>
      <c r="J152" s="58" t="s">
        <v>2924</v>
      </c>
      <c r="K152" s="74" t="s">
        <v>2925</v>
      </c>
      <c r="L152" s="58"/>
      <c r="M152" s="58"/>
      <c r="N152" s="58"/>
      <c r="O152" s="58"/>
      <c r="P152" s="58"/>
      <c r="Q152" s="58"/>
      <c r="R152" s="58"/>
      <c r="S152" s="58"/>
      <c r="T152" s="58"/>
      <c r="U152" s="58"/>
      <c r="V152" s="58"/>
      <c r="W152" s="105"/>
      <c r="X152" s="58" t="s">
        <v>2358</v>
      </c>
      <c r="Y152" s="52"/>
      <c r="Z152" s="52"/>
      <c r="AA152" s="52"/>
      <c r="AB152" s="52"/>
      <c r="AC152" s="52"/>
    </row>
    <row r="153" customHeight="1" ht="60.0">
      <c r="A153" s="73">
        <v>141</v>
      </c>
      <c r="B153" s="116"/>
      <c r="C153" s="116"/>
      <c r="D153" s="116"/>
      <c r="E153" s="58" t="s">
        <v>2926</v>
      </c>
      <c r="F153" s="58" t="s">
        <v>210</v>
      </c>
      <c r="G153" s="58" t="s">
        <v>2922</v>
      </c>
      <c r="H153" s="58" t="s">
        <v>2928</v>
      </c>
      <c r="I153" s="58" t="s">
        <v>2606</v>
      </c>
      <c r="J153" s="58" t="s">
        <v>2929</v>
      </c>
      <c r="K153" s="74" t="s">
        <v>2930</v>
      </c>
      <c r="L153" s="58"/>
      <c r="M153" s="58"/>
      <c r="N153" s="58"/>
      <c r="O153" s="58"/>
      <c r="P153" s="58"/>
      <c r="Q153" s="58"/>
      <c r="R153" s="58"/>
      <c r="S153" s="58"/>
      <c r="T153" s="58"/>
      <c r="U153" s="58"/>
      <c r="V153" s="58"/>
      <c r="W153" s="105"/>
      <c r="X153" s="58" t="s">
        <v>2358</v>
      </c>
      <c r="Y153" s="52"/>
      <c r="Z153" s="52"/>
      <c r="AA153" s="52"/>
      <c r="AB153" s="52"/>
      <c r="AC153" s="52"/>
    </row>
    <row r="154" customHeight="1" ht="60.0">
      <c r="A154" s="73">
        <v>142</v>
      </c>
      <c r="B154" s="116"/>
      <c r="C154" s="116"/>
      <c r="D154" s="116"/>
      <c r="E154" s="58" t="s">
        <v>1040</v>
      </c>
      <c r="F154" s="58" t="s">
        <v>225</v>
      </c>
      <c r="G154" s="58" t="s">
        <v>2927</v>
      </c>
      <c r="H154" s="58" t="s">
        <v>2932</v>
      </c>
      <c r="I154" s="58" t="s">
        <v>2611</v>
      </c>
      <c r="J154" s="58" t="s">
        <v>2933</v>
      </c>
      <c r="K154" s="74" t="s">
        <v>2934</v>
      </c>
      <c r="L154" s="58"/>
      <c r="M154" s="58"/>
      <c r="N154" s="58"/>
      <c r="O154" s="58"/>
      <c r="P154" s="58"/>
      <c r="Q154" s="58"/>
      <c r="R154" s="58"/>
      <c r="S154" s="58"/>
      <c r="T154" s="58"/>
      <c r="U154" s="58"/>
      <c r="V154" s="58"/>
      <c r="W154" s="77" t="s">
        <v>3144</v>
      </c>
      <c r="X154" s="58" t="s">
        <v>2358</v>
      </c>
      <c r="Y154" s="52"/>
      <c r="Z154" s="52"/>
      <c r="AA154" s="52"/>
      <c r="AB154" s="52"/>
      <c r="AC154" s="52"/>
    </row>
    <row r="155" customHeight="1" ht="73.5">
      <c r="A155" s="73">
        <v>143</v>
      </c>
      <c r="B155" s="116"/>
      <c r="C155" s="116"/>
      <c r="D155" s="118"/>
      <c r="E155" s="58" t="s">
        <v>2935</v>
      </c>
      <c r="F155" s="58" t="s">
        <v>225</v>
      </c>
      <c r="G155" s="58" t="s">
        <v>2931</v>
      </c>
      <c r="H155" s="58" t="s">
        <v>2937</v>
      </c>
      <c r="I155" s="58" t="s">
        <v>2938</v>
      </c>
      <c r="J155" s="58" t="s">
        <v>2939</v>
      </c>
      <c r="K155" s="104"/>
      <c r="L155" s="58"/>
      <c r="M155" s="58"/>
      <c r="N155" s="58"/>
      <c r="O155" s="58"/>
      <c r="P155" s="58"/>
      <c r="Q155" s="58"/>
      <c r="R155" s="58"/>
      <c r="S155" s="58"/>
      <c r="T155" s="58"/>
      <c r="U155" s="58"/>
      <c r="V155" s="58"/>
      <c r="W155" s="77" t="s">
        <v>3145</v>
      </c>
      <c r="X155" s="58" t="s">
        <v>2358</v>
      </c>
      <c r="Y155" s="52"/>
      <c r="Z155" s="52"/>
      <c r="AA155" s="52"/>
      <c r="AB155" s="52"/>
      <c r="AC155" s="52"/>
    </row>
    <row r="156" customHeight="1" ht="60.0">
      <c r="A156" s="73">
        <v>144</v>
      </c>
      <c r="B156" s="116"/>
      <c r="C156" s="116"/>
      <c r="D156" s="117" t="s">
        <v>1216</v>
      </c>
      <c r="E156" s="58" t="s">
        <v>2941</v>
      </c>
      <c r="F156" s="58" t="s">
        <v>203</v>
      </c>
      <c r="G156" s="58" t="s">
        <v>2936</v>
      </c>
      <c r="H156" s="58" t="s">
        <v>1495</v>
      </c>
      <c r="I156" s="58" t="s">
        <v>2355</v>
      </c>
      <c r="J156" s="58" t="s">
        <v>2943</v>
      </c>
      <c r="K156" s="74" t="s">
        <v>1497</v>
      </c>
      <c r="L156" s="58"/>
      <c r="M156" s="58"/>
      <c r="N156" s="58"/>
      <c r="O156" s="58"/>
      <c r="P156" s="58"/>
      <c r="Q156" s="58"/>
      <c r="R156" s="58"/>
      <c r="S156" s="58"/>
      <c r="T156" s="58"/>
      <c r="U156" s="58"/>
      <c r="V156" s="58"/>
      <c r="W156" s="105"/>
      <c r="X156" s="58" t="s">
        <v>2358</v>
      </c>
      <c r="Y156" s="52"/>
      <c r="Z156" s="52"/>
      <c r="AA156" s="52"/>
      <c r="AB156" s="52"/>
      <c r="AC156" s="52"/>
    </row>
    <row r="157" customHeight="1" ht="60.0">
      <c r="A157" s="73">
        <v>145</v>
      </c>
      <c r="B157" s="116"/>
      <c r="C157" s="116"/>
      <c r="D157" s="116" t="s">
        <v>659</v>
      </c>
      <c r="E157" s="58" t="s">
        <v>2556</v>
      </c>
      <c r="F157" s="58" t="s">
        <v>203</v>
      </c>
      <c r="G157" s="58" t="s">
        <v>2942</v>
      </c>
      <c r="H157" s="58" t="s">
        <v>1500</v>
      </c>
      <c r="I157" s="58" t="s">
        <v>2355</v>
      </c>
      <c r="J157" s="58" t="s">
        <v>3093</v>
      </c>
      <c r="K157" s="74" t="s">
        <v>3094</v>
      </c>
      <c r="L157" s="58"/>
      <c r="M157" s="58"/>
      <c r="N157" s="58"/>
      <c r="O157" s="58"/>
      <c r="P157" s="58"/>
      <c r="Q157" s="58"/>
      <c r="R157" s="58"/>
      <c r="S157" s="58"/>
      <c r="T157" s="58"/>
      <c r="U157" s="58"/>
      <c r="V157" s="58"/>
      <c r="W157" s="105"/>
      <c r="X157" s="58" t="s">
        <v>2358</v>
      </c>
      <c r="Y157" s="52"/>
      <c r="Z157" s="52"/>
      <c r="AA157" s="52"/>
      <c r="AB157" s="52"/>
      <c r="AC157" s="52"/>
    </row>
    <row r="158" customHeight="1" ht="60.0">
      <c r="A158" s="73">
        <v>146</v>
      </c>
      <c r="B158" s="116"/>
      <c r="C158" s="116"/>
      <c r="D158" s="116"/>
      <c r="E158" s="58" t="s">
        <v>2948</v>
      </c>
      <c r="F158" s="58" t="s">
        <v>210</v>
      </c>
      <c r="G158" s="58" t="s">
        <v>2944</v>
      </c>
      <c r="H158" s="58" t="s">
        <v>1505</v>
      </c>
      <c r="I158" s="58" t="s">
        <v>2355</v>
      </c>
      <c r="J158" s="58" t="s">
        <v>3095</v>
      </c>
      <c r="K158" s="74" t="s">
        <v>3096</v>
      </c>
      <c r="L158" s="58"/>
      <c r="M158" s="58"/>
      <c r="N158" s="58"/>
      <c r="O158" s="58"/>
      <c r="P158" s="58"/>
      <c r="Q158" s="58"/>
      <c r="R158" s="58"/>
      <c r="S158" s="58"/>
      <c r="T158" s="58"/>
      <c r="U158" s="58"/>
      <c r="V158" s="58"/>
      <c r="W158" s="105"/>
      <c r="X158" s="58" t="s">
        <v>2358</v>
      </c>
      <c r="Y158" s="52"/>
      <c r="Z158" s="52"/>
      <c r="AA158" s="52"/>
      <c r="AB158" s="52"/>
      <c r="AC158" s="52"/>
    </row>
    <row r="159" customHeight="1" ht="60.0">
      <c r="A159" s="73">
        <v>147</v>
      </c>
      <c r="B159" s="116"/>
      <c r="C159" s="116"/>
      <c r="D159" s="118"/>
      <c r="E159" s="58" t="s">
        <v>677</v>
      </c>
      <c r="F159" s="58" t="s">
        <v>210</v>
      </c>
      <c r="G159" s="58" t="s">
        <v>2949</v>
      </c>
      <c r="H159" s="58" t="s">
        <v>2954</v>
      </c>
      <c r="I159" s="58" t="s">
        <v>2355</v>
      </c>
      <c r="J159" s="58" t="s">
        <v>3097</v>
      </c>
      <c r="K159" s="74" t="s">
        <v>3098</v>
      </c>
      <c r="L159" s="58"/>
      <c r="M159" s="58"/>
      <c r="N159" s="58"/>
      <c r="O159" s="58"/>
      <c r="P159" s="58"/>
      <c r="Q159" s="58"/>
      <c r="R159" s="58"/>
      <c r="S159" s="58"/>
      <c r="T159" s="58"/>
      <c r="U159" s="58"/>
      <c r="V159" s="58"/>
      <c r="W159" s="105"/>
      <c r="X159" s="58" t="s">
        <v>2358</v>
      </c>
      <c r="Y159" s="52"/>
      <c r="Z159" s="52"/>
      <c r="AA159" s="52"/>
      <c r="AB159" s="52"/>
      <c r="AC159" s="52"/>
    </row>
    <row r="160" customHeight="1" ht="60.0">
      <c r="A160" s="73">
        <v>148</v>
      </c>
      <c r="B160" s="116"/>
      <c r="C160" s="116"/>
      <c r="D160" s="116" t="s">
        <v>2957</v>
      </c>
      <c r="E160" s="58" t="s">
        <v>1513</v>
      </c>
      <c r="F160" s="58" t="s">
        <v>210</v>
      </c>
      <c r="G160" s="58" t="s">
        <v>2953</v>
      </c>
      <c r="H160" s="58" t="s">
        <v>2959</v>
      </c>
      <c r="I160" s="58" t="s">
        <v>2606</v>
      </c>
      <c r="J160" s="58" t="s">
        <v>2960</v>
      </c>
      <c r="K160" s="74" t="s">
        <v>3099</v>
      </c>
      <c r="L160" s="58"/>
      <c r="M160" s="58"/>
      <c r="N160" s="58"/>
      <c r="O160" s="58"/>
      <c r="P160" s="58"/>
      <c r="Q160" s="58"/>
      <c r="R160" s="58"/>
      <c r="S160" s="58"/>
      <c r="T160" s="58"/>
      <c r="U160" s="58"/>
      <c r="V160" s="58"/>
      <c r="W160" s="105"/>
      <c r="X160" s="58" t="s">
        <v>2358</v>
      </c>
      <c r="Y160" s="52"/>
      <c r="Z160" s="52"/>
      <c r="AA160" s="52"/>
      <c r="AB160" s="52"/>
      <c r="AC160" s="52"/>
    </row>
    <row r="161" customHeight="1" ht="60.0">
      <c r="A161" s="73">
        <v>149</v>
      </c>
      <c r="B161" s="116"/>
      <c r="C161" s="116"/>
      <c r="D161" s="116"/>
      <c r="E161" s="58" t="s">
        <v>1518</v>
      </c>
      <c r="F161" s="58" t="s">
        <v>210</v>
      </c>
      <c r="G161" s="58" t="s">
        <v>2958</v>
      </c>
      <c r="H161" s="58" t="s">
        <v>2964</v>
      </c>
      <c r="I161" s="58" t="s">
        <v>2606</v>
      </c>
      <c r="J161" s="58" t="s">
        <v>2965</v>
      </c>
      <c r="K161" s="74" t="s">
        <v>3100</v>
      </c>
      <c r="L161" s="58"/>
      <c r="M161" s="58"/>
      <c r="N161" s="58"/>
      <c r="O161" s="58"/>
      <c r="P161" s="58"/>
      <c r="Q161" s="58"/>
      <c r="R161" s="58"/>
      <c r="S161" s="58"/>
      <c r="T161" s="58"/>
      <c r="U161" s="58"/>
      <c r="V161" s="58"/>
      <c r="W161" s="77" t="s">
        <v>3101</v>
      </c>
      <c r="X161" s="58" t="s">
        <v>2358</v>
      </c>
      <c r="Y161" s="52"/>
      <c r="Z161" s="52"/>
      <c r="AA161" s="52"/>
      <c r="AB161" s="52"/>
      <c r="AC161" s="52"/>
    </row>
    <row r="162" customHeight="1" ht="60.0">
      <c r="A162" s="73">
        <v>150</v>
      </c>
      <c r="B162" s="116"/>
      <c r="C162" s="116"/>
      <c r="D162" s="116"/>
      <c r="E162" s="58" t="s">
        <v>1523</v>
      </c>
      <c r="F162" s="58" t="s">
        <v>210</v>
      </c>
      <c r="G162" s="58" t="s">
        <v>2963</v>
      </c>
      <c r="H162" s="58" t="s">
        <v>2968</v>
      </c>
      <c r="I162" s="58" t="s">
        <v>2606</v>
      </c>
      <c r="J162" s="58" t="s">
        <v>2969</v>
      </c>
      <c r="K162" s="74" t="s">
        <v>3102</v>
      </c>
      <c r="L162" s="58"/>
      <c r="M162" s="58"/>
      <c r="N162" s="58"/>
      <c r="O162" s="58"/>
      <c r="P162" s="58"/>
      <c r="Q162" s="58"/>
      <c r="R162" s="58"/>
      <c r="S162" s="58"/>
      <c r="T162" s="58"/>
      <c r="U162" s="58"/>
      <c r="V162" s="58"/>
      <c r="W162" s="77" t="s">
        <v>3146</v>
      </c>
      <c r="X162" s="58" t="s">
        <v>2358</v>
      </c>
      <c r="Y162" s="52"/>
      <c r="Z162" s="52"/>
      <c r="AA162" s="52"/>
      <c r="AB162" s="52"/>
      <c r="AC162" s="52"/>
    </row>
    <row r="163" customHeight="1" ht="60.0">
      <c r="A163" s="73">
        <v>151</v>
      </c>
      <c r="B163" s="116"/>
      <c r="C163" s="116"/>
      <c r="D163" s="116"/>
      <c r="E163" s="58" t="s">
        <v>1528</v>
      </c>
      <c r="F163" s="58" t="s">
        <v>225</v>
      </c>
      <c r="G163" s="58" t="s">
        <v>2967</v>
      </c>
      <c r="H163" s="58" t="s">
        <v>2972</v>
      </c>
      <c r="I163" s="58" t="s">
        <v>2606</v>
      </c>
      <c r="J163" s="58" t="s">
        <v>3103</v>
      </c>
      <c r="K163" s="74" t="s">
        <v>3104</v>
      </c>
      <c r="L163" s="58"/>
      <c r="M163" s="58"/>
      <c r="N163" s="58"/>
      <c r="O163" s="58"/>
      <c r="P163" s="58"/>
      <c r="Q163" s="58"/>
      <c r="R163" s="58"/>
      <c r="S163" s="58"/>
      <c r="T163" s="58"/>
      <c r="U163" s="58"/>
      <c r="V163" s="58"/>
      <c r="W163" s="105"/>
      <c r="X163" s="58" t="s">
        <v>2358</v>
      </c>
      <c r="Y163" s="52"/>
      <c r="Z163" s="52"/>
      <c r="AA163" s="52"/>
      <c r="AB163" s="52"/>
      <c r="AC163" s="52"/>
    </row>
    <row r="164" customHeight="1" ht="73.5">
      <c r="A164" s="73">
        <v>152</v>
      </c>
      <c r="B164" s="118"/>
      <c r="C164" s="118"/>
      <c r="D164" s="118"/>
      <c r="E164" s="58" t="s">
        <v>2975</v>
      </c>
      <c r="F164" s="58" t="s">
        <v>225</v>
      </c>
      <c r="G164" s="58" t="s">
        <v>2971</v>
      </c>
      <c r="H164" s="58" t="s">
        <v>2977</v>
      </c>
      <c r="I164" s="58" t="s">
        <v>2606</v>
      </c>
      <c r="J164" s="58" t="s">
        <v>2978</v>
      </c>
      <c r="K164" s="74" t="s">
        <v>2979</v>
      </c>
      <c r="L164" s="58"/>
      <c r="M164" s="58"/>
      <c r="N164" s="58"/>
      <c r="O164" s="58"/>
      <c r="P164" s="58"/>
      <c r="Q164" s="58"/>
      <c r="R164" s="58"/>
      <c r="S164" s="58"/>
      <c r="T164" s="58"/>
      <c r="U164" s="58"/>
      <c r="V164" s="58"/>
      <c r="W164" s="105"/>
      <c r="X164" s="58" t="s">
        <v>2358</v>
      </c>
      <c r="Y164" s="52"/>
      <c r="Z164" s="52"/>
      <c r="AA164" s="52"/>
      <c r="AB164" s="52"/>
      <c r="AC164" s="52"/>
    </row>
    <row r="165" customHeight="1" ht="48.6">
      <c r="A165" s="73">
        <v>153</v>
      </c>
      <c r="B165" s="116" t="s">
        <v>110</v>
      </c>
      <c r="C165" s="116" t="s">
        <v>139</v>
      </c>
      <c r="D165" s="116" t="s">
        <v>1183</v>
      </c>
      <c r="E165" s="58" t="s">
        <v>2981</v>
      </c>
      <c r="F165" s="58" t="s">
        <v>203</v>
      </c>
      <c r="G165" s="58" t="s">
        <v>2976</v>
      </c>
      <c r="H165" s="58" t="s">
        <v>2983</v>
      </c>
      <c r="I165" s="58" t="s">
        <v>1803</v>
      </c>
      <c r="J165" s="58" t="s">
        <v>2984</v>
      </c>
      <c r="K165" s="74" t="s">
        <v>2985</v>
      </c>
      <c r="L165" s="58"/>
      <c r="M165" s="58"/>
      <c r="N165" s="58"/>
      <c r="O165" s="58"/>
      <c r="P165" s="58"/>
      <c r="Q165" s="58"/>
      <c r="R165" s="58"/>
      <c r="S165" s="58"/>
      <c r="T165" s="58"/>
      <c r="U165" s="58"/>
      <c r="V165" s="58"/>
      <c r="W165" s="77" t="s">
        <v>3147</v>
      </c>
      <c r="X165" s="58" t="s">
        <v>2350</v>
      </c>
      <c r="Y165" s="52"/>
      <c r="Z165" s="52"/>
      <c r="AA165" s="52"/>
      <c r="AB165" s="52"/>
      <c r="AC165" s="52"/>
    </row>
    <row r="166" customHeight="1" ht="48.6">
      <c r="A166" s="73">
        <v>154</v>
      </c>
      <c r="B166" s="116"/>
      <c r="C166" s="116"/>
      <c r="D166" s="118"/>
      <c r="E166" s="58" t="s">
        <v>2987</v>
      </c>
      <c r="F166" s="58" t="s">
        <v>203</v>
      </c>
      <c r="G166" s="58" t="s">
        <v>2982</v>
      </c>
      <c r="H166" s="58" t="s">
        <v>2989</v>
      </c>
      <c r="I166" s="58" t="s">
        <v>1803</v>
      </c>
      <c r="J166" s="58" t="s">
        <v>2990</v>
      </c>
      <c r="K166" s="74" t="s">
        <v>2991</v>
      </c>
      <c r="L166" s="58"/>
      <c r="M166" s="58"/>
      <c r="N166" s="58"/>
      <c r="O166" s="58"/>
      <c r="P166" s="58"/>
      <c r="Q166" s="58"/>
      <c r="R166" s="58"/>
      <c r="S166" s="58"/>
      <c r="T166" s="58"/>
      <c r="U166" s="58"/>
      <c r="V166" s="58"/>
      <c r="W166" s="77" t="s">
        <v>3148</v>
      </c>
      <c r="X166" s="58" t="s">
        <v>2118</v>
      </c>
      <c r="Y166" s="52"/>
      <c r="Z166" s="52"/>
      <c r="AA166" s="52"/>
      <c r="AB166" s="52"/>
      <c r="AC166" s="52"/>
    </row>
    <row r="167" customHeight="1" ht="48.6">
      <c r="A167" s="73">
        <v>155</v>
      </c>
      <c r="B167" s="116"/>
      <c r="C167" s="118"/>
      <c r="D167" s="117" t="s">
        <v>1195</v>
      </c>
      <c r="E167" s="58" t="s">
        <v>1196</v>
      </c>
      <c r="F167" s="58" t="s">
        <v>203</v>
      </c>
      <c r="G167" s="58" t="s">
        <v>2988</v>
      </c>
      <c r="H167" s="58" t="s">
        <v>2994</v>
      </c>
      <c r="I167" s="58" t="s">
        <v>2995</v>
      </c>
      <c r="J167" s="58" t="s">
        <v>2996</v>
      </c>
      <c r="K167" s="74" t="s">
        <v>2997</v>
      </c>
      <c r="L167" s="58"/>
      <c r="M167" s="58"/>
      <c r="N167" s="58"/>
      <c r="O167" s="58"/>
      <c r="P167" s="58"/>
      <c r="Q167" s="58"/>
      <c r="R167" s="58"/>
      <c r="S167" s="58"/>
      <c r="T167" s="58"/>
      <c r="U167" s="58"/>
      <c r="V167" s="58"/>
      <c r="W167" s="77" t="s">
        <v>3149</v>
      </c>
      <c r="X167" s="58" t="s">
        <v>2358</v>
      </c>
      <c r="Y167" s="52"/>
      <c r="Z167" s="52"/>
      <c r="AA167" s="52"/>
      <c r="AB167" s="52"/>
      <c r="AC167" s="52"/>
    </row>
    <row r="168" customHeight="1" ht="73.5">
      <c r="A168" s="73">
        <v>156</v>
      </c>
      <c r="B168" s="116"/>
      <c r="C168" s="116" t="s">
        <v>140</v>
      </c>
      <c r="D168" s="116" t="s">
        <v>1207</v>
      </c>
      <c r="E168" s="58" t="s">
        <v>2999</v>
      </c>
      <c r="F168" s="58" t="s">
        <v>203</v>
      </c>
      <c r="G168" s="58" t="s">
        <v>2993</v>
      </c>
      <c r="H168" s="58" t="s">
        <v>3001</v>
      </c>
      <c r="I168" s="58" t="s">
        <v>3002</v>
      </c>
      <c r="J168" s="58" t="s">
        <v>3003</v>
      </c>
      <c r="K168" s="74" t="s">
        <v>3004</v>
      </c>
      <c r="L168" s="58"/>
      <c r="M168" s="58"/>
      <c r="N168" s="58"/>
      <c r="O168" s="58"/>
      <c r="P168" s="58"/>
      <c r="Q168" s="58"/>
      <c r="R168" s="58"/>
      <c r="S168" s="58"/>
      <c r="T168" s="58"/>
      <c r="U168" s="58"/>
      <c r="V168" s="58"/>
      <c r="W168" s="77" t="s">
        <v>3150</v>
      </c>
      <c r="X168" s="58" t="s">
        <v>2350</v>
      </c>
      <c r="Y168" s="52"/>
      <c r="Z168" s="52"/>
      <c r="AA168" s="52"/>
      <c r="AB168" s="52"/>
      <c r="AC168" s="52"/>
    </row>
    <row r="169" customHeight="1" ht="60.0">
      <c r="A169" s="73">
        <v>157</v>
      </c>
      <c r="B169" s="116"/>
      <c r="C169" s="118"/>
      <c r="D169" s="118"/>
      <c r="E169" s="58" t="s">
        <v>2987</v>
      </c>
      <c r="F169" s="58" t="s">
        <v>203</v>
      </c>
      <c r="G169" s="58" t="s">
        <v>3000</v>
      </c>
      <c r="H169" s="58" t="s">
        <v>3007</v>
      </c>
      <c r="I169" s="58" t="s">
        <v>1815</v>
      </c>
      <c r="J169" s="58" t="s">
        <v>2990</v>
      </c>
      <c r="K169" s="74" t="s">
        <v>2991</v>
      </c>
      <c r="L169" s="58"/>
      <c r="M169" s="58"/>
      <c r="N169" s="58"/>
      <c r="O169" s="58"/>
      <c r="P169" s="58"/>
      <c r="Q169" s="58"/>
      <c r="R169" s="58"/>
      <c r="S169" s="58"/>
      <c r="T169" s="58"/>
      <c r="U169" s="58"/>
      <c r="V169" s="58"/>
      <c r="W169" s="77" t="s">
        <v>3151</v>
      </c>
      <c r="X169" s="58" t="s">
        <v>2118</v>
      </c>
      <c r="Y169" s="52"/>
      <c r="Z169" s="52"/>
      <c r="AA169" s="52"/>
      <c r="AB169" s="52"/>
      <c r="AC169" s="52"/>
    </row>
    <row r="170" customHeight="1" ht="48.6">
      <c r="A170" s="73">
        <v>158</v>
      </c>
      <c r="B170" s="116"/>
      <c r="C170" s="116" t="s">
        <v>141</v>
      </c>
      <c r="D170" s="116" t="s">
        <v>3009</v>
      </c>
      <c r="E170" s="58" t="s">
        <v>2106</v>
      </c>
      <c r="F170" s="58" t="s">
        <v>203</v>
      </c>
      <c r="G170" s="58" t="s">
        <v>3006</v>
      </c>
      <c r="H170" s="58" t="s">
        <v>3011</v>
      </c>
      <c r="I170" s="58" t="s">
        <v>1820</v>
      </c>
      <c r="J170" s="58" t="s">
        <v>1821</v>
      </c>
      <c r="K170" s="74" t="s">
        <v>1822</v>
      </c>
      <c r="L170" s="58"/>
      <c r="M170" s="58"/>
      <c r="N170" s="58"/>
      <c r="O170" s="58"/>
      <c r="P170" s="58"/>
      <c r="Q170" s="58"/>
      <c r="R170" s="58"/>
      <c r="S170" s="58"/>
      <c r="T170" s="58"/>
      <c r="U170" s="58"/>
      <c r="V170" s="58"/>
      <c r="W170" s="77" t="s">
        <v>3152</v>
      </c>
      <c r="X170" s="58" t="s">
        <v>2118</v>
      </c>
      <c r="Y170" s="52"/>
      <c r="Z170" s="52"/>
      <c r="AA170" s="52"/>
      <c r="AB170" s="52"/>
      <c r="AC170" s="52"/>
    </row>
    <row r="171" customHeight="1" ht="73.5">
      <c r="A171" s="73">
        <v>159</v>
      </c>
      <c r="B171" s="116"/>
      <c r="C171" s="118"/>
      <c r="D171" s="118"/>
      <c r="E171" s="58" t="s">
        <v>3013</v>
      </c>
      <c r="F171" s="58" t="s">
        <v>203</v>
      </c>
      <c r="G171" s="58" t="s">
        <v>3010</v>
      </c>
      <c r="H171" s="58" t="s">
        <v>3015</v>
      </c>
      <c r="I171" s="58" t="s">
        <v>3016</v>
      </c>
      <c r="J171" s="58" t="s">
        <v>3017</v>
      </c>
      <c r="K171" s="74" t="s">
        <v>3018</v>
      </c>
      <c r="L171" s="58"/>
      <c r="M171" s="58"/>
      <c r="N171" s="58"/>
      <c r="O171" s="58"/>
      <c r="P171" s="58"/>
      <c r="Q171" s="58"/>
      <c r="R171" s="58"/>
      <c r="S171" s="58"/>
      <c r="T171" s="58"/>
      <c r="U171" s="58"/>
      <c r="V171" s="58"/>
      <c r="W171" s="105"/>
      <c r="X171" s="58" t="s">
        <v>2118</v>
      </c>
      <c r="Y171" s="52"/>
      <c r="Z171" s="52"/>
      <c r="AA171" s="52"/>
      <c r="AB171" s="52"/>
      <c r="AC171" s="52"/>
    </row>
    <row r="172" customHeight="1" ht="48.6">
      <c r="A172" s="73">
        <v>160</v>
      </c>
      <c r="B172" s="116"/>
      <c r="C172" s="116" t="s">
        <v>3020</v>
      </c>
      <c r="D172" s="116" t="s">
        <v>3009</v>
      </c>
      <c r="E172" s="58" t="s">
        <v>3021</v>
      </c>
      <c r="F172" s="58" t="s">
        <v>203</v>
      </c>
      <c r="G172" s="58" t="s">
        <v>3014</v>
      </c>
      <c r="H172" s="58" t="s">
        <v>3023</v>
      </c>
      <c r="I172" s="58" t="s">
        <v>504</v>
      </c>
      <c r="J172" s="58" t="s">
        <v>1821</v>
      </c>
      <c r="K172" s="74" t="s">
        <v>1822</v>
      </c>
      <c r="L172" s="58"/>
      <c r="M172" s="58"/>
      <c r="N172" s="58"/>
      <c r="O172" s="58"/>
      <c r="P172" s="58"/>
      <c r="Q172" s="58"/>
      <c r="R172" s="58"/>
      <c r="S172" s="58"/>
      <c r="T172" s="58"/>
      <c r="U172" s="58"/>
      <c r="V172" s="58"/>
      <c r="W172" s="105"/>
      <c r="X172" s="58" t="s">
        <v>2118</v>
      </c>
      <c r="Y172" s="52"/>
      <c r="Z172" s="52"/>
      <c r="AA172" s="52"/>
      <c r="AB172" s="52"/>
      <c r="AC172" s="52"/>
    </row>
    <row r="173" customHeight="1" ht="48.6">
      <c r="A173" s="73">
        <v>161</v>
      </c>
      <c r="B173" s="116"/>
      <c r="C173" s="116"/>
      <c r="D173" s="116"/>
      <c r="E173" s="58" t="s">
        <v>3024</v>
      </c>
      <c r="F173" s="58" t="s">
        <v>210</v>
      </c>
      <c r="G173" s="58" t="s">
        <v>3022</v>
      </c>
      <c r="H173" s="58" t="s">
        <v>3026</v>
      </c>
      <c r="I173" s="58" t="s">
        <v>1835</v>
      </c>
      <c r="J173" s="58" t="s">
        <v>1821</v>
      </c>
      <c r="K173" s="74" t="s">
        <v>1822</v>
      </c>
      <c r="L173" s="58"/>
      <c r="M173" s="58"/>
      <c r="N173" s="58"/>
      <c r="O173" s="58"/>
      <c r="P173" s="58"/>
      <c r="Q173" s="58"/>
      <c r="R173" s="58"/>
      <c r="S173" s="58"/>
      <c r="T173" s="58"/>
      <c r="U173" s="58"/>
      <c r="V173" s="58"/>
      <c r="W173" s="105"/>
      <c r="X173" s="58" t="s">
        <v>2118</v>
      </c>
      <c r="Y173" s="52"/>
      <c r="Z173" s="52"/>
      <c r="AA173" s="52"/>
      <c r="AB173" s="52"/>
      <c r="AC173" s="52"/>
    </row>
    <row r="174" customHeight="1" ht="48.6">
      <c r="A174" s="73">
        <v>162</v>
      </c>
      <c r="B174" s="116"/>
      <c r="C174" s="116"/>
      <c r="D174" s="116"/>
      <c r="E174" s="58" t="s">
        <v>3027</v>
      </c>
      <c r="F174" s="58" t="s">
        <v>210</v>
      </c>
      <c r="G174" s="58" t="s">
        <v>3025</v>
      </c>
      <c r="H174" s="58" t="s">
        <v>3029</v>
      </c>
      <c r="I174" s="58" t="s">
        <v>1211</v>
      </c>
      <c r="J174" s="58" t="s">
        <v>1821</v>
      </c>
      <c r="K174" s="74" t="s">
        <v>1822</v>
      </c>
      <c r="L174" s="58"/>
      <c r="M174" s="58"/>
      <c r="N174" s="58"/>
      <c r="O174" s="58"/>
      <c r="P174" s="58"/>
      <c r="Q174" s="58"/>
      <c r="R174" s="58"/>
      <c r="S174" s="58"/>
      <c r="T174" s="58"/>
      <c r="U174" s="58"/>
      <c r="V174" s="58"/>
      <c r="W174" s="105"/>
      <c r="X174" s="58" t="s">
        <v>2118</v>
      </c>
      <c r="Y174" s="52"/>
      <c r="Z174" s="52"/>
      <c r="AA174" s="52"/>
      <c r="AB174" s="52"/>
      <c r="AC174" s="52"/>
    </row>
    <row r="175" customHeight="1" ht="100.5">
      <c r="A175" s="73">
        <v>163</v>
      </c>
      <c r="B175" s="118"/>
      <c r="C175" s="118"/>
      <c r="D175" s="118"/>
      <c r="E175" s="58" t="s">
        <v>3030</v>
      </c>
      <c r="F175" s="58" t="s">
        <v>203</v>
      </c>
      <c r="G175" s="58" t="s">
        <v>3028</v>
      </c>
      <c r="H175" s="58" t="s">
        <v>3032</v>
      </c>
      <c r="I175" s="58" t="s">
        <v>504</v>
      </c>
      <c r="J175" s="58" t="s">
        <v>2352</v>
      </c>
      <c r="K175" s="74" t="s">
        <v>3033</v>
      </c>
      <c r="L175" s="58"/>
      <c r="M175" s="58"/>
      <c r="N175" s="58"/>
      <c r="O175" s="58"/>
      <c r="P175" s="58"/>
      <c r="Q175" s="58"/>
      <c r="R175" s="58"/>
      <c r="S175" s="58"/>
      <c r="T175" s="58"/>
      <c r="U175" s="58"/>
      <c r="V175" s="58"/>
      <c r="W175" s="105"/>
      <c r="X175" s="58" t="s">
        <v>2118</v>
      </c>
      <c r="Y175" s="52"/>
      <c r="Z175" s="52"/>
      <c r="AA175" s="52"/>
      <c r="AB175" s="52"/>
      <c r="AC175" s="52"/>
    </row>
    <row r="176" customHeight="1" ht="87.0">
      <c r="A176" s="73">
        <v>164</v>
      </c>
      <c r="B176" s="116" t="s">
        <v>89</v>
      </c>
      <c r="C176" s="116" t="s">
        <v>3034</v>
      </c>
      <c r="D176" s="117" t="s">
        <v>1241</v>
      </c>
      <c r="E176" s="58" t="s">
        <v>3035</v>
      </c>
      <c r="F176" s="58" t="s">
        <v>203</v>
      </c>
      <c r="G176" s="58" t="s">
        <v>3031</v>
      </c>
      <c r="H176" s="58" t="s">
        <v>3037</v>
      </c>
      <c r="I176" s="58" t="s">
        <v>1259</v>
      </c>
      <c r="J176" s="58" t="s">
        <v>3038</v>
      </c>
      <c r="K176" s="74" t="s">
        <v>3039</v>
      </c>
      <c r="L176" s="58"/>
      <c r="M176" s="58"/>
      <c r="N176" s="58"/>
      <c r="O176" s="58"/>
      <c r="P176" s="58"/>
      <c r="Q176" s="58"/>
      <c r="R176" s="58"/>
      <c r="S176" s="58"/>
      <c r="T176" s="58"/>
      <c r="U176" s="58"/>
      <c r="V176" s="58"/>
      <c r="W176" s="77" t="s">
        <v>3153</v>
      </c>
      <c r="X176" s="58" t="s">
        <v>2378</v>
      </c>
      <c r="Y176" s="52"/>
      <c r="Z176" s="52"/>
      <c r="AA176" s="52"/>
      <c r="AB176" s="52"/>
      <c r="AC176" s="52"/>
    </row>
    <row r="177" customHeight="1" ht="60.0">
      <c r="A177" s="73">
        <v>165</v>
      </c>
      <c r="B177" s="116"/>
      <c r="C177" s="118"/>
      <c r="D177" s="117" t="s">
        <v>3041</v>
      </c>
      <c r="E177" s="58" t="s">
        <v>3042</v>
      </c>
      <c r="F177" s="58" t="s">
        <v>203</v>
      </c>
      <c r="G177" s="58" t="s">
        <v>3036</v>
      </c>
      <c r="H177" s="58" t="s">
        <v>3044</v>
      </c>
      <c r="I177" s="58" t="s">
        <v>1259</v>
      </c>
      <c r="J177" s="58" t="s">
        <v>3045</v>
      </c>
      <c r="K177" s="74" t="s">
        <v>3046</v>
      </c>
      <c r="L177" s="58"/>
      <c r="M177" s="58"/>
      <c r="N177" s="58"/>
      <c r="O177" s="58"/>
      <c r="P177" s="58"/>
      <c r="Q177" s="58"/>
      <c r="R177" s="58"/>
      <c r="S177" s="58"/>
      <c r="T177" s="58"/>
      <c r="U177" s="58"/>
      <c r="V177" s="58"/>
      <c r="W177" s="77" t="s">
        <v>3154</v>
      </c>
      <c r="X177" s="58" t="s">
        <v>2378</v>
      </c>
      <c r="Y177" s="52"/>
      <c r="Z177" s="52"/>
      <c r="AA177" s="52"/>
      <c r="AB177" s="52"/>
      <c r="AC177" s="52"/>
    </row>
    <row r="178" customHeight="1" ht="87.0">
      <c r="A178" s="73">
        <v>166</v>
      </c>
      <c r="B178" s="118"/>
      <c r="C178" s="117" t="s">
        <v>116</v>
      </c>
      <c r="D178" s="117" t="s">
        <v>1247</v>
      </c>
      <c r="E178" s="58" t="s">
        <v>3048</v>
      </c>
      <c r="F178" s="58" t="s">
        <v>210</v>
      </c>
      <c r="G178" s="58" t="s">
        <v>3043</v>
      </c>
      <c r="H178" s="58" t="s">
        <v>3050</v>
      </c>
      <c r="I178" s="58" t="s">
        <v>1259</v>
      </c>
      <c r="J178" s="58" t="s">
        <v>3051</v>
      </c>
      <c r="K178" s="104"/>
      <c r="L178" s="58"/>
      <c r="M178" s="58"/>
      <c r="N178" s="58"/>
      <c r="O178" s="58"/>
      <c r="P178" s="58"/>
      <c r="Q178" s="58"/>
      <c r="R178" s="58"/>
      <c r="S178" s="58"/>
      <c r="T178" s="58"/>
      <c r="U178" s="58"/>
      <c r="V178" s="58"/>
      <c r="W178" s="77" t="s">
        <v>3155</v>
      </c>
      <c r="X178" s="58" t="s">
        <v>2170</v>
      </c>
      <c r="Y178" s="52"/>
      <c r="Z178" s="52"/>
      <c r="AA178" s="52"/>
      <c r="AB178" s="52"/>
      <c r="AC178" s="52"/>
    </row>
  </sheetData>
  <mergeCells count="88">
    <mergeCell ref="K2:S2"/>
    <mergeCell ref="K4:K5"/>
    <mergeCell ref="L4:L5"/>
    <mergeCell ref="K6:K7"/>
    <mergeCell ref="L6:L7"/>
    <mergeCell ref="M10:Q10"/>
    <mergeCell ref="R10:V10"/>
    <mergeCell ref="B11:D11"/>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B13:B18"/>
    <mergeCell ref="B19:B101"/>
    <mergeCell ref="B102:B128"/>
    <mergeCell ref="B129:B164"/>
    <mergeCell ref="B165:B175"/>
    <mergeCell ref="B176:B178"/>
    <mergeCell ref="C13:C14"/>
    <mergeCell ref="C15:C18"/>
    <mergeCell ref="C20:C64"/>
    <mergeCell ref="C65:C77"/>
    <mergeCell ref="C78:C96"/>
    <mergeCell ref="C97:C101"/>
    <mergeCell ref="C102:C103"/>
    <mergeCell ref="C104:C106"/>
    <mergeCell ref="C107:C111"/>
    <mergeCell ref="C112:C113"/>
    <mergeCell ref="C114:C118"/>
    <mergeCell ref="C119:C128"/>
    <mergeCell ref="C129:C132"/>
    <mergeCell ref="C133:C134"/>
    <mergeCell ref="C135:C147"/>
    <mergeCell ref="C148:C164"/>
    <mergeCell ref="C165:C167"/>
    <mergeCell ref="C168:C169"/>
    <mergeCell ref="C170:C171"/>
    <mergeCell ref="C172:C175"/>
    <mergeCell ref="C176:C177"/>
    <mergeCell ref="D15:D16"/>
    <mergeCell ref="D17:D18"/>
    <mergeCell ref="D20:D21"/>
    <mergeCell ref="D22:D24"/>
    <mergeCell ref="D25:D27"/>
    <mergeCell ref="D28:D32"/>
    <mergeCell ref="D33:D56"/>
    <mergeCell ref="D57:D62"/>
    <mergeCell ref="D63:D64"/>
    <mergeCell ref="D66:D77"/>
    <mergeCell ref="D78:D87"/>
    <mergeCell ref="D88:D94"/>
    <mergeCell ref="D95:D96"/>
    <mergeCell ref="D97:D98"/>
    <mergeCell ref="D100:D101"/>
    <mergeCell ref="D104:D105"/>
    <mergeCell ref="D107:D108"/>
    <mergeCell ref="D110:D111"/>
    <mergeCell ref="D112:D113"/>
    <mergeCell ref="D115:D117"/>
    <mergeCell ref="D119:D120"/>
    <mergeCell ref="D121:D124"/>
    <mergeCell ref="D125:D128"/>
    <mergeCell ref="D131:D132"/>
    <mergeCell ref="D135:D139"/>
    <mergeCell ref="D140:D146"/>
    <mergeCell ref="D148:D150"/>
    <mergeCell ref="D151:D155"/>
    <mergeCell ref="D157:D159"/>
    <mergeCell ref="D160:D164"/>
    <mergeCell ref="D165:D166"/>
    <mergeCell ref="D168:D169"/>
    <mergeCell ref="D170:D171"/>
    <mergeCell ref="D172:D175"/>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C39F50DD-E388-4970-983F-27E3E99213EC}" type="list" allowBlank="1" errorStyle="stop" imeMode="noControl" operator="between" showDropDown="0" showErrorMessage="0" showInputMessage="0">
          <x14:formula1>
            <xm:f>"High,Medium,Low,Critical"</xm:f>
          </x14:formula1>
          <xm:sqref>F13:F178 F118:F148</xm:sqref>
        </x14:dataValidation>
        <x14:dataValidation xr:uid="{41C8AA59-832D-46DB-AE19-932D44346341}" type="list" allowBlank="1" errorStyle="stop" imeMode="noControl" operator="between" showDropDown="0" showErrorMessage="0" showInputMessage="0">
          <x14:formula1>
            <xm:f>"Passed,Failed,Pending,Blocked,NA,Not execute"</xm:f>
          </x14:formula1>
          <xm:sqref>M13:M178 R13:R178</xm:sqref>
        </x14:dataValidation>
        <x14:dataValidation xr:uid="{D2A8FB7F-42FA-4FAC-90B7-70C054515490}" type="list" allowBlank="1" errorStyle="stop" imeMode="noControl" operator="between" showDropDown="0" showErrorMessage="0" showInputMessage="0">
          <x14:formula1>
            <xm:f>"High,Medium,Low,Critical"</xm:f>
          </x14:formula1>
          <xm:sqref>F117</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tabSelected="1">
      <selection activeCell="A13" activeCellId="0" sqref="A13"/>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bestFit="1" customWidth="1" min="22" max="22" style="49" width="7.4257812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3328</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3329</v>
      </c>
      <c r="D4" s="59"/>
      <c r="E4" s="52"/>
      <c r="F4" s="52"/>
      <c r="G4" s="52"/>
      <c r="H4" s="52"/>
      <c r="I4" s="52"/>
      <c r="J4" s="52"/>
      <c r="K4" s="54" t="s">
        <v>176</v>
      </c>
      <c r="L4" s="60">
        <f>COUNTA($G$13:$G$47)</f>
      </c>
      <c r="M4" s="61">
        <f>COUNTIF($M$13:$M$47,M3)</f>
      </c>
      <c r="N4" s="61">
        <f>COUNTIF($M$13:$M$47,N3)</f>
      </c>
      <c r="O4" s="61">
        <f>COUNTIF($M$13:$M$47,O3)</f>
      </c>
      <c r="P4" s="62">
        <f>COUNTIF($M$13:$M$47,P3)</f>
      </c>
      <c r="Q4" s="61">
        <f>COUNTIF($M$13:$M$47,Q3)</f>
      </c>
      <c r="R4" s="61">
        <f>L4-SUM(M4:Q4)</f>
      </c>
      <c r="S4" s="63"/>
      <c r="T4" s="52"/>
      <c r="U4" s="52"/>
      <c r="V4" s="52"/>
      <c r="W4" s="52"/>
      <c r="X4" s="52"/>
      <c r="Y4" s="52"/>
      <c r="Z4" s="52"/>
      <c r="AA4" s="52"/>
      <c r="AB4" s="52"/>
      <c r="AC4" s="52"/>
    </row>
    <row r="5" ht="15.75" customHeight="1">
      <c r="A5" s="51"/>
      <c r="B5" s="54" t="s">
        <v>3</v>
      </c>
      <c r="C5" s="55" t="s">
        <v>177</v>
      </c>
      <c r="D5" s="59"/>
      <c r="E5" s="52"/>
      <c r="F5" s="52"/>
      <c r="G5" s="52"/>
      <c r="H5" s="52"/>
      <c r="I5" s="52"/>
      <c r="J5" s="52"/>
      <c r="K5" s="12"/>
      <c r="L5" s="12"/>
      <c r="M5" s="64">
        <f t="shared" ref="M5:R5" si="20">M4/$L$4</f>
      </c>
      <c r="N5" s="64">
        <f t="shared" si="20"/>
      </c>
      <c r="O5" s="64">
        <f t="shared" si="20"/>
      </c>
      <c r="P5" s="65">
        <f t="shared" si="20"/>
      </c>
      <c r="Q5" s="64">
        <f t="shared" si="20"/>
      </c>
      <c r="R5" s="64">
        <f t="shared" si="20"/>
      </c>
      <c r="S5" s="52"/>
      <c r="T5" s="52"/>
      <c r="U5" s="52"/>
      <c r="V5" s="52"/>
      <c r="W5" s="52"/>
      <c r="X5" s="52"/>
      <c r="Y5" s="52"/>
      <c r="Z5" s="52"/>
      <c r="AA5" s="52"/>
      <c r="AB5" s="52"/>
      <c r="AC5" s="52"/>
    </row>
    <row r="6" ht="15.75" customHeight="1">
      <c r="A6" s="51"/>
      <c r="B6" s="54" t="s">
        <v>178</v>
      </c>
      <c r="C6" s="55" t="s">
        <v>3330</v>
      </c>
      <c r="D6" s="59"/>
      <c r="E6" s="52"/>
      <c r="F6" s="52"/>
      <c r="G6" s="52"/>
      <c r="H6" s="52"/>
      <c r="I6" s="52"/>
      <c r="J6" s="52"/>
      <c r="K6" s="54" t="s">
        <v>179</v>
      </c>
      <c r="L6" s="60">
        <f>COUNTA($G$13:$G$47)</f>
      </c>
      <c r="M6" s="61">
        <f>COUNTIF($R$13:$R$47,M3)</f>
      </c>
      <c r="N6" s="61">
        <f>COUNTIF($R$13:$R$47,N3)</f>
      </c>
      <c r="O6" s="61">
        <f>COUNTIF($R$13:$R$47,O3)</f>
      </c>
      <c r="P6" s="62">
        <f>COUNTIF($R$13:$R$47,P3)</f>
      </c>
      <c r="Q6" s="61">
        <f>COUNTIF($R$13:$R$47,Q3)</f>
      </c>
      <c r="R6" s="61">
        <f>L6-SUM(M6:Q6)</f>
      </c>
      <c r="S6" s="63"/>
      <c r="T6" s="52"/>
      <c r="U6" s="52"/>
      <c r="V6" s="52"/>
      <c r="W6" s="52"/>
      <c r="X6" s="52"/>
      <c r="Y6" s="52"/>
      <c r="Z6" s="52"/>
      <c r="AA6" s="52"/>
      <c r="AB6" s="52"/>
      <c r="AC6" s="52"/>
    </row>
    <row r="7" ht="36" customHeight="1">
      <c r="A7" s="51"/>
      <c r="B7" s="54" t="s">
        <v>17</v>
      </c>
      <c r="C7" s="55" t="s">
        <v>3331</v>
      </c>
      <c r="D7" s="68"/>
      <c r="E7" s="52"/>
      <c r="F7" s="52"/>
      <c r="G7" s="52"/>
      <c r="H7" s="52"/>
      <c r="I7" s="52"/>
      <c r="J7" s="52"/>
      <c r="K7" s="12"/>
      <c r="L7" s="12"/>
      <c r="M7" s="64">
        <f t="shared" ref="M7:R7" si="21">M6/$L$6</f>
      </c>
      <c r="N7" s="64">
        <f t="shared" si="21"/>
      </c>
      <c r="O7" s="64">
        <f t="shared" si="21"/>
      </c>
      <c r="P7" s="65">
        <f t="shared" si="21"/>
      </c>
      <c r="Q7" s="64">
        <f t="shared" si="21"/>
      </c>
      <c r="R7" s="64">
        <f t="shared" si="21"/>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customHeight="1" ht="60.0">
      <c r="A13" s="73">
        <v>1</v>
      </c>
      <c r="B13" s="116" t="s">
        <v>80</v>
      </c>
      <c r="C13" s="116" t="s">
        <v>3164</v>
      </c>
      <c r="D13" s="117" t="s">
        <v>500</v>
      </c>
      <c r="E13" s="58" t="s">
        <v>3165</v>
      </c>
      <c r="F13" s="58" t="s">
        <v>203</v>
      </c>
      <c r="G13" s="58" t="s">
        <v>3166</v>
      </c>
      <c r="H13" s="58" t="s">
        <v>3167</v>
      </c>
      <c r="I13" s="58" t="s">
        <v>504</v>
      </c>
      <c r="J13" s="58" t="s">
        <v>3168</v>
      </c>
      <c r="K13" s="74" t="s">
        <v>3169</v>
      </c>
      <c r="L13" s="58"/>
      <c r="M13" s="58"/>
      <c r="N13" s="58"/>
      <c r="O13" s="58"/>
      <c r="P13" s="58"/>
      <c r="Q13" s="58"/>
      <c r="R13" s="58"/>
      <c r="S13" s="58"/>
      <c r="T13" s="58"/>
      <c r="U13" s="58"/>
      <c r="V13" s="58"/>
      <c r="W13" s="105"/>
      <c r="X13" s="58" t="s">
        <v>3170</v>
      </c>
      <c r="Y13" s="52"/>
      <c r="Z13" s="52"/>
      <c r="AA13" s="52"/>
      <c r="AB13" s="52"/>
      <c r="AC13" s="52"/>
    </row>
    <row r="14" customHeight="1" ht="60.0">
      <c r="A14" s="73">
        <v>2</v>
      </c>
      <c r="B14" s="116"/>
      <c r="C14" s="118"/>
      <c r="D14" s="117" t="s">
        <v>508</v>
      </c>
      <c r="E14" s="58" t="s">
        <v>209</v>
      </c>
      <c r="F14" s="58" t="s">
        <v>210</v>
      </c>
      <c r="G14" s="58" t="s">
        <v>3171</v>
      </c>
      <c r="H14" s="58" t="s">
        <v>3172</v>
      </c>
      <c r="I14" s="58" t="s">
        <v>504</v>
      </c>
      <c r="J14" s="58" t="s">
        <v>3173</v>
      </c>
      <c r="K14" s="74" t="s">
        <v>3174</v>
      </c>
      <c r="L14" s="58"/>
      <c r="M14" s="58"/>
      <c r="N14" s="58"/>
      <c r="O14" s="58"/>
      <c r="P14" s="58"/>
      <c r="Q14" s="58"/>
      <c r="R14" s="58"/>
      <c r="S14" s="58"/>
      <c r="T14" s="58"/>
      <c r="U14" s="58"/>
      <c r="V14" s="58"/>
      <c r="W14" s="105"/>
      <c r="X14" s="58" t="s">
        <v>3170</v>
      </c>
      <c r="Y14" s="52"/>
      <c r="Z14" s="52"/>
      <c r="AA14" s="52"/>
      <c r="AB14" s="52"/>
      <c r="AC14" s="52"/>
    </row>
    <row r="15" customHeight="1" ht="87.0">
      <c r="A15" s="73">
        <v>3</v>
      </c>
      <c r="B15" s="118"/>
      <c r="C15" s="117" t="s">
        <v>3175</v>
      </c>
      <c r="D15" s="117" t="s">
        <v>513</v>
      </c>
      <c r="E15" s="58" t="s">
        <v>3176</v>
      </c>
      <c r="F15" s="58" t="s">
        <v>203</v>
      </c>
      <c r="G15" s="58" t="s">
        <v>3177</v>
      </c>
      <c r="H15" s="58" t="s">
        <v>3178</v>
      </c>
      <c r="I15" s="58" t="s">
        <v>3179</v>
      </c>
      <c r="J15" s="58" t="s">
        <v>3180</v>
      </c>
      <c r="K15" s="74" t="s">
        <v>3181</v>
      </c>
      <c r="L15" s="58"/>
      <c r="M15" s="58"/>
      <c r="N15" s="58"/>
      <c r="O15" s="58"/>
      <c r="P15" s="58"/>
      <c r="Q15" s="58"/>
      <c r="R15" s="58"/>
      <c r="S15" s="58"/>
      <c r="T15" s="58"/>
      <c r="U15" s="58"/>
      <c r="V15" s="58"/>
      <c r="W15" s="77" t="s">
        <v>3182</v>
      </c>
      <c r="X15" s="58" t="s">
        <v>3170</v>
      </c>
      <c r="Y15" s="52"/>
      <c r="Z15" s="52"/>
      <c r="AA15" s="52"/>
      <c r="AB15" s="52"/>
      <c r="AC15" s="52"/>
    </row>
    <row r="16" customHeight="1" ht="100.5">
      <c r="A16" s="73">
        <v>4</v>
      </c>
      <c r="B16" s="116" t="s">
        <v>3183</v>
      </c>
      <c r="C16" s="116" t="s">
        <v>121</v>
      </c>
      <c r="D16" s="116" t="s">
        <v>268</v>
      </c>
      <c r="E16" s="58" t="s">
        <v>531</v>
      </c>
      <c r="F16" s="58" t="s">
        <v>203</v>
      </c>
      <c r="G16" s="58" t="s">
        <v>3184</v>
      </c>
      <c r="H16" s="58" t="s">
        <v>3185</v>
      </c>
      <c r="I16" s="58" t="s">
        <v>504</v>
      </c>
      <c r="J16" s="58" t="s">
        <v>3186</v>
      </c>
      <c r="K16" s="74" t="s">
        <v>3187</v>
      </c>
      <c r="L16" s="58"/>
      <c r="M16" s="58"/>
      <c r="N16" s="58"/>
      <c r="O16" s="58"/>
      <c r="P16" s="58"/>
      <c r="Q16" s="58"/>
      <c r="R16" s="58"/>
      <c r="S16" s="58"/>
      <c r="T16" s="58"/>
      <c r="U16" s="58"/>
      <c r="V16" s="58"/>
      <c r="W16" s="105"/>
      <c r="X16" s="58" t="s">
        <v>3170</v>
      </c>
      <c r="Y16" s="52"/>
      <c r="Z16" s="52"/>
      <c r="AA16" s="52"/>
      <c r="AB16" s="52"/>
      <c r="AC16" s="52"/>
    </row>
    <row r="17" customHeight="1" ht="73.5">
      <c r="A17" s="73">
        <v>5</v>
      </c>
      <c r="B17" s="116"/>
      <c r="C17" s="118"/>
      <c r="D17" s="118"/>
      <c r="E17" s="58" t="s">
        <v>3188</v>
      </c>
      <c r="F17" s="58" t="s">
        <v>210</v>
      </c>
      <c r="G17" s="58" t="s">
        <v>3189</v>
      </c>
      <c r="H17" s="58" t="s">
        <v>3190</v>
      </c>
      <c r="I17" s="58" t="s">
        <v>504</v>
      </c>
      <c r="J17" s="58" t="s">
        <v>3191</v>
      </c>
      <c r="K17" s="74" t="s">
        <v>3192</v>
      </c>
      <c r="L17" s="58"/>
      <c r="M17" s="58"/>
      <c r="N17" s="58"/>
      <c r="O17" s="58"/>
      <c r="P17" s="58"/>
      <c r="Q17" s="58"/>
      <c r="R17" s="58"/>
      <c r="S17" s="58"/>
      <c r="T17" s="58"/>
      <c r="U17" s="58"/>
      <c r="V17" s="58"/>
      <c r="W17" s="77" t="s">
        <v>3193</v>
      </c>
      <c r="X17" s="58" t="s">
        <v>3170</v>
      </c>
      <c r="Y17" s="52"/>
      <c r="Z17" s="52"/>
      <c r="AA17" s="52"/>
      <c r="AB17" s="52"/>
      <c r="AC17" s="52"/>
    </row>
    <row r="18" customHeight="1" ht="60.0">
      <c r="A18" s="73">
        <v>6</v>
      </c>
      <c r="B18" s="116"/>
      <c r="C18" s="116" t="s">
        <v>96</v>
      </c>
      <c r="D18" s="117" t="s">
        <v>653</v>
      </c>
      <c r="E18" s="58" t="s">
        <v>3194</v>
      </c>
      <c r="F18" s="58" t="s">
        <v>210</v>
      </c>
      <c r="G18" s="58" t="s">
        <v>3195</v>
      </c>
      <c r="H18" s="58" t="s">
        <v>3196</v>
      </c>
      <c r="I18" s="58" t="s">
        <v>504</v>
      </c>
      <c r="J18" s="58" t="s">
        <v>3197</v>
      </c>
      <c r="K18" s="74" t="s">
        <v>3198</v>
      </c>
      <c r="L18" s="58"/>
      <c r="M18" s="58"/>
      <c r="N18" s="58"/>
      <c r="O18" s="58"/>
      <c r="P18" s="58"/>
      <c r="Q18" s="58"/>
      <c r="R18" s="58"/>
      <c r="S18" s="58"/>
      <c r="T18" s="58"/>
      <c r="U18" s="58"/>
      <c r="V18" s="58"/>
      <c r="W18" s="105"/>
      <c r="X18" s="58" t="s">
        <v>3170</v>
      </c>
      <c r="Y18" s="52"/>
      <c r="Z18" s="52"/>
      <c r="AA18" s="52"/>
      <c r="AB18" s="52"/>
      <c r="AC18" s="52"/>
    </row>
    <row r="19" customHeight="1" ht="60.0">
      <c r="A19" s="73">
        <v>7</v>
      </c>
      <c r="B19" s="116"/>
      <c r="C19" s="116"/>
      <c r="D19" s="116" t="s">
        <v>659</v>
      </c>
      <c r="E19" s="58" t="s">
        <v>660</v>
      </c>
      <c r="F19" s="58" t="s">
        <v>225</v>
      </c>
      <c r="G19" s="58" t="s">
        <v>3199</v>
      </c>
      <c r="H19" s="58" t="s">
        <v>662</v>
      </c>
      <c r="I19" s="58" t="s">
        <v>504</v>
      </c>
      <c r="J19" s="58" t="s">
        <v>3200</v>
      </c>
      <c r="K19" s="74" t="s">
        <v>3201</v>
      </c>
      <c r="L19" s="58"/>
      <c r="M19" s="58"/>
      <c r="N19" s="58"/>
      <c r="O19" s="58"/>
      <c r="P19" s="58"/>
      <c r="Q19" s="58"/>
      <c r="R19" s="58"/>
      <c r="S19" s="58"/>
      <c r="T19" s="58"/>
      <c r="U19" s="58"/>
      <c r="V19" s="58"/>
      <c r="W19" s="105"/>
      <c r="X19" s="58" t="s">
        <v>3170</v>
      </c>
      <c r="Y19" s="52"/>
      <c r="Z19" s="52"/>
      <c r="AA19" s="52"/>
      <c r="AB19" s="52"/>
      <c r="AC19" s="52"/>
    </row>
    <row r="20" customHeight="1" ht="60.0">
      <c r="A20" s="73">
        <v>8</v>
      </c>
      <c r="B20" s="116"/>
      <c r="C20" s="116"/>
      <c r="D20" s="116"/>
      <c r="E20" s="58" t="s">
        <v>3202</v>
      </c>
      <c r="F20" s="58" t="s">
        <v>203</v>
      </c>
      <c r="G20" s="58" t="s">
        <v>3203</v>
      </c>
      <c r="H20" s="58" t="s">
        <v>1318</v>
      </c>
      <c r="I20" s="58" t="s">
        <v>504</v>
      </c>
      <c r="J20" s="58" t="s">
        <v>3204</v>
      </c>
      <c r="K20" s="74" t="s">
        <v>3205</v>
      </c>
      <c r="L20" s="58"/>
      <c r="M20" s="58"/>
      <c r="N20" s="58"/>
      <c r="O20" s="58"/>
      <c r="P20" s="58"/>
      <c r="Q20" s="58"/>
      <c r="R20" s="58"/>
      <c r="S20" s="58"/>
      <c r="T20" s="58"/>
      <c r="U20" s="58"/>
      <c r="V20" s="58"/>
      <c r="W20" s="77" t="s">
        <v>3206</v>
      </c>
      <c r="X20" s="58" t="s">
        <v>3170</v>
      </c>
      <c r="Y20" s="52"/>
      <c r="Z20" s="52"/>
      <c r="AA20" s="52"/>
      <c r="AB20" s="52"/>
      <c r="AC20" s="52"/>
    </row>
    <row r="21" customHeight="1" ht="60.0">
      <c r="A21" s="73">
        <v>9</v>
      </c>
      <c r="B21" s="116"/>
      <c r="C21" s="116"/>
      <c r="D21" s="116"/>
      <c r="E21" s="58" t="s">
        <v>3207</v>
      </c>
      <c r="F21" s="58" t="s">
        <v>203</v>
      </c>
      <c r="G21" s="58" t="s">
        <v>3208</v>
      </c>
      <c r="H21" s="58" t="s">
        <v>3209</v>
      </c>
      <c r="I21" s="58" t="s">
        <v>504</v>
      </c>
      <c r="J21" s="58" t="s">
        <v>3210</v>
      </c>
      <c r="K21" s="74" t="s">
        <v>3211</v>
      </c>
      <c r="L21" s="58"/>
      <c r="M21" s="58"/>
      <c r="N21" s="58"/>
      <c r="O21" s="58"/>
      <c r="P21" s="58"/>
      <c r="Q21" s="58"/>
      <c r="R21" s="58"/>
      <c r="S21" s="58"/>
      <c r="T21" s="58"/>
      <c r="U21" s="58"/>
      <c r="V21" s="58"/>
      <c r="W21" s="105"/>
      <c r="X21" s="58" t="s">
        <v>3170</v>
      </c>
      <c r="Y21" s="52"/>
      <c r="Z21" s="52"/>
      <c r="AA21" s="52"/>
      <c r="AB21" s="52"/>
      <c r="AC21" s="52"/>
    </row>
    <row r="22" customHeight="1" ht="60.0">
      <c r="A22" s="73">
        <v>10</v>
      </c>
      <c r="B22" s="116"/>
      <c r="C22" s="116"/>
      <c r="D22" s="116"/>
      <c r="E22" s="58" t="s">
        <v>671</v>
      </c>
      <c r="F22" s="58" t="s">
        <v>210</v>
      </c>
      <c r="G22" s="58" t="s">
        <v>3212</v>
      </c>
      <c r="H22" s="58" t="s">
        <v>673</v>
      </c>
      <c r="I22" s="58" t="s">
        <v>504</v>
      </c>
      <c r="J22" s="58" t="s">
        <v>3213</v>
      </c>
      <c r="K22" s="74" t="s">
        <v>3214</v>
      </c>
      <c r="L22" s="58"/>
      <c r="M22" s="58"/>
      <c r="N22" s="58"/>
      <c r="O22" s="58"/>
      <c r="P22" s="58"/>
      <c r="Q22" s="58"/>
      <c r="R22" s="58"/>
      <c r="S22" s="58"/>
      <c r="T22" s="58"/>
      <c r="U22" s="58"/>
      <c r="V22" s="58"/>
      <c r="W22" s="77" t="s">
        <v>3215</v>
      </c>
      <c r="X22" s="58" t="s">
        <v>3170</v>
      </c>
      <c r="Y22" s="52"/>
      <c r="Z22" s="52"/>
      <c r="AA22" s="52"/>
      <c r="AB22" s="52"/>
      <c r="AC22" s="52"/>
    </row>
    <row r="23" customHeight="1" ht="87.0">
      <c r="A23" s="73">
        <v>11</v>
      </c>
      <c r="B23" s="116"/>
      <c r="C23" s="116"/>
      <c r="D23" s="116"/>
      <c r="E23" s="58" t="s">
        <v>3216</v>
      </c>
      <c r="F23" s="58" t="s">
        <v>210</v>
      </c>
      <c r="G23" s="58" t="s">
        <v>3217</v>
      </c>
      <c r="H23" s="58" t="s">
        <v>3218</v>
      </c>
      <c r="I23" s="58" t="s">
        <v>504</v>
      </c>
      <c r="J23" s="58" t="s">
        <v>3219</v>
      </c>
      <c r="K23" s="104"/>
      <c r="L23" s="58"/>
      <c r="M23" s="58"/>
      <c r="N23" s="58"/>
      <c r="O23" s="58"/>
      <c r="P23" s="58"/>
      <c r="Q23" s="58"/>
      <c r="R23" s="58"/>
      <c r="S23" s="58"/>
      <c r="T23" s="58"/>
      <c r="U23" s="58"/>
      <c r="V23" s="58"/>
      <c r="W23" s="77" t="s">
        <v>3220</v>
      </c>
      <c r="X23" s="58" t="s">
        <v>3170</v>
      </c>
      <c r="Y23" s="52"/>
      <c r="Z23" s="52"/>
      <c r="AA23" s="52"/>
      <c r="AB23" s="52"/>
      <c r="AC23" s="52"/>
    </row>
    <row r="24" customHeight="1" ht="60.0">
      <c r="A24" s="73">
        <v>12</v>
      </c>
      <c r="B24" s="116"/>
      <c r="C24" s="116"/>
      <c r="D24" s="116"/>
      <c r="E24" s="58" t="s">
        <v>677</v>
      </c>
      <c r="F24" s="58" t="s">
        <v>203</v>
      </c>
      <c r="G24" s="58" t="s">
        <v>3221</v>
      </c>
      <c r="H24" s="58" t="s">
        <v>679</v>
      </c>
      <c r="I24" s="58" t="s">
        <v>504</v>
      </c>
      <c r="J24" s="58" t="s">
        <v>3222</v>
      </c>
      <c r="K24" s="74" t="s">
        <v>681</v>
      </c>
      <c r="L24" s="58"/>
      <c r="M24" s="58"/>
      <c r="N24" s="58"/>
      <c r="O24" s="58"/>
      <c r="P24" s="58"/>
      <c r="Q24" s="58"/>
      <c r="R24" s="58"/>
      <c r="S24" s="58"/>
      <c r="T24" s="58"/>
      <c r="U24" s="58"/>
      <c r="V24" s="58"/>
      <c r="W24" s="77" t="s">
        <v>3223</v>
      </c>
      <c r="X24" s="58" t="s">
        <v>3170</v>
      </c>
      <c r="Y24" s="52"/>
      <c r="Z24" s="52"/>
      <c r="AA24" s="52"/>
      <c r="AB24" s="52"/>
      <c r="AC24" s="52"/>
    </row>
    <row r="25" customHeight="1" ht="60.0">
      <c r="A25" s="73">
        <v>13</v>
      </c>
      <c r="B25" s="116"/>
      <c r="C25" s="116"/>
      <c r="D25" s="116"/>
      <c r="E25" s="58" t="s">
        <v>683</v>
      </c>
      <c r="F25" s="58" t="s">
        <v>210</v>
      </c>
      <c r="G25" s="58" t="s">
        <v>3224</v>
      </c>
      <c r="H25" s="58" t="s">
        <v>685</v>
      </c>
      <c r="I25" s="58" t="s">
        <v>504</v>
      </c>
      <c r="J25" s="58" t="s">
        <v>3225</v>
      </c>
      <c r="K25" s="74" t="s">
        <v>687</v>
      </c>
      <c r="L25" s="58"/>
      <c r="M25" s="58"/>
      <c r="N25" s="58"/>
      <c r="O25" s="58"/>
      <c r="P25" s="58"/>
      <c r="Q25" s="58"/>
      <c r="R25" s="58"/>
      <c r="S25" s="58"/>
      <c r="T25" s="58"/>
      <c r="U25" s="58"/>
      <c r="V25" s="58"/>
      <c r="W25" s="105"/>
      <c r="X25" s="58" t="s">
        <v>3170</v>
      </c>
      <c r="Y25" s="52"/>
      <c r="Z25" s="52"/>
      <c r="AA25" s="52"/>
      <c r="AB25" s="52"/>
      <c r="AC25" s="52"/>
    </row>
    <row r="26" customHeight="1" ht="60.0">
      <c r="A26" s="73">
        <v>14</v>
      </c>
      <c r="B26" s="116"/>
      <c r="C26" s="118"/>
      <c r="D26" s="118"/>
      <c r="E26" s="58" t="s">
        <v>688</v>
      </c>
      <c r="F26" s="58" t="s">
        <v>210</v>
      </c>
      <c r="G26" s="58" t="s">
        <v>3226</v>
      </c>
      <c r="H26" s="58" t="s">
        <v>690</v>
      </c>
      <c r="I26" s="58" t="s">
        <v>504</v>
      </c>
      <c r="J26" s="58" t="s">
        <v>3227</v>
      </c>
      <c r="K26" s="74" t="s">
        <v>3228</v>
      </c>
      <c r="L26" s="58"/>
      <c r="M26" s="58"/>
      <c r="N26" s="58"/>
      <c r="O26" s="58"/>
      <c r="P26" s="58"/>
      <c r="Q26" s="58"/>
      <c r="R26" s="58"/>
      <c r="S26" s="58"/>
      <c r="T26" s="58"/>
      <c r="U26" s="58"/>
      <c r="V26" s="58"/>
      <c r="W26" s="105"/>
      <c r="X26" s="58" t="s">
        <v>3170</v>
      </c>
      <c r="Y26" s="52"/>
      <c r="Z26" s="52"/>
      <c r="AA26" s="52"/>
      <c r="AB26" s="52"/>
      <c r="AC26" s="52"/>
    </row>
    <row r="27" customHeight="1" ht="60.0">
      <c r="A27" s="73">
        <v>15</v>
      </c>
      <c r="B27" s="116"/>
      <c r="C27" s="116" t="s">
        <v>3229</v>
      </c>
      <c r="D27" s="116" t="s">
        <v>268</v>
      </c>
      <c r="E27" s="58" t="s">
        <v>3230</v>
      </c>
      <c r="F27" s="58" t="s">
        <v>210</v>
      </c>
      <c r="G27" s="58" t="s">
        <v>3231</v>
      </c>
      <c r="H27" s="58" t="s">
        <v>3232</v>
      </c>
      <c r="I27" s="58" t="s">
        <v>504</v>
      </c>
      <c r="J27" s="58" t="s">
        <v>3233</v>
      </c>
      <c r="K27" s="74" t="s">
        <v>3234</v>
      </c>
      <c r="L27" s="58"/>
      <c r="M27" s="58"/>
      <c r="N27" s="58"/>
      <c r="O27" s="58"/>
      <c r="P27" s="58"/>
      <c r="Q27" s="58"/>
      <c r="R27" s="58"/>
      <c r="S27" s="58"/>
      <c r="T27" s="58"/>
      <c r="U27" s="58"/>
      <c r="V27" s="58"/>
      <c r="W27" s="105"/>
      <c r="X27" s="58" t="s">
        <v>3170</v>
      </c>
      <c r="Y27" s="52"/>
      <c r="Z27" s="52"/>
      <c r="AA27" s="52"/>
      <c r="AB27" s="52"/>
      <c r="AC27" s="52"/>
    </row>
    <row r="28" customHeight="1" ht="127.5">
      <c r="A28" s="73">
        <v>16</v>
      </c>
      <c r="B28" s="116"/>
      <c r="C28" s="116"/>
      <c r="D28" s="116"/>
      <c r="E28" s="58" t="s">
        <v>3235</v>
      </c>
      <c r="F28" s="58" t="s">
        <v>203</v>
      </c>
      <c r="G28" s="58" t="s">
        <v>3236</v>
      </c>
      <c r="H28" s="58" t="s">
        <v>3237</v>
      </c>
      <c r="I28" s="58" t="s">
        <v>3238</v>
      </c>
      <c r="J28" s="58" t="s">
        <v>3239</v>
      </c>
      <c r="K28" s="74" t="s">
        <v>3240</v>
      </c>
      <c r="L28" s="58"/>
      <c r="M28" s="58"/>
      <c r="N28" s="58"/>
      <c r="O28" s="58"/>
      <c r="P28" s="58"/>
      <c r="Q28" s="58"/>
      <c r="R28" s="58"/>
      <c r="S28" s="58"/>
      <c r="T28" s="58"/>
      <c r="U28" s="58"/>
      <c r="V28" s="58"/>
      <c r="W28" s="77" t="s">
        <v>3241</v>
      </c>
      <c r="X28" s="58" t="s">
        <v>3170</v>
      </c>
      <c r="Y28" s="52"/>
      <c r="Z28" s="52"/>
      <c r="AA28" s="52"/>
      <c r="AB28" s="52"/>
      <c r="AC28" s="52"/>
    </row>
    <row r="29" customHeight="1" ht="87.0">
      <c r="A29" s="73">
        <v>17</v>
      </c>
      <c r="B29" s="116"/>
      <c r="C29" s="116"/>
      <c r="D29" s="116"/>
      <c r="E29" s="58" t="s">
        <v>3242</v>
      </c>
      <c r="F29" s="58" t="s">
        <v>210</v>
      </c>
      <c r="G29" s="58" t="s">
        <v>3243</v>
      </c>
      <c r="H29" s="58" t="s">
        <v>973</v>
      </c>
      <c r="I29" s="58" t="s">
        <v>3244</v>
      </c>
      <c r="J29" s="58" t="s">
        <v>3245</v>
      </c>
      <c r="K29" s="74" t="s">
        <v>3246</v>
      </c>
      <c r="L29" s="58"/>
      <c r="M29" s="58"/>
      <c r="N29" s="58"/>
      <c r="O29" s="58"/>
      <c r="P29" s="58"/>
      <c r="Q29" s="58"/>
      <c r="R29" s="58"/>
      <c r="S29" s="58"/>
      <c r="T29" s="58"/>
      <c r="U29" s="58"/>
      <c r="V29" s="58"/>
      <c r="W29" s="77" t="s">
        <v>3247</v>
      </c>
      <c r="X29" s="58" t="s">
        <v>3170</v>
      </c>
      <c r="Y29" s="52"/>
      <c r="Z29" s="52"/>
      <c r="AA29" s="52"/>
      <c r="AB29" s="52"/>
      <c r="AC29" s="52"/>
    </row>
    <row r="30" customHeight="1" ht="60.0">
      <c r="A30" s="73">
        <v>18</v>
      </c>
      <c r="B30" s="116"/>
      <c r="C30" s="116"/>
      <c r="D30" s="116"/>
      <c r="E30" s="58" t="s">
        <v>3248</v>
      </c>
      <c r="F30" s="58" t="s">
        <v>210</v>
      </c>
      <c r="G30" s="58" t="s">
        <v>3249</v>
      </c>
      <c r="H30" s="58" t="s">
        <v>3250</v>
      </c>
      <c r="I30" s="58" t="s">
        <v>3251</v>
      </c>
      <c r="J30" s="58" t="s">
        <v>3245</v>
      </c>
      <c r="K30" s="74" t="s">
        <v>3252</v>
      </c>
      <c r="L30" s="58"/>
      <c r="M30" s="58"/>
      <c r="N30" s="58"/>
      <c r="O30" s="58"/>
      <c r="P30" s="58"/>
      <c r="Q30" s="58"/>
      <c r="R30" s="58"/>
      <c r="S30" s="58"/>
      <c r="T30" s="58"/>
      <c r="U30" s="58"/>
      <c r="V30" s="58"/>
      <c r="W30" s="105"/>
      <c r="X30" s="58" t="s">
        <v>3170</v>
      </c>
      <c r="Y30" s="52"/>
      <c r="Z30" s="52"/>
      <c r="AA30" s="52"/>
      <c r="AB30" s="52"/>
      <c r="AC30" s="52"/>
    </row>
    <row r="31" customHeight="1" ht="100.5">
      <c r="A31" s="73">
        <v>19</v>
      </c>
      <c r="B31" s="116"/>
      <c r="C31" s="116"/>
      <c r="D31" s="118"/>
      <c r="E31" s="58" t="s">
        <v>999</v>
      </c>
      <c r="F31" s="58" t="s">
        <v>210</v>
      </c>
      <c r="G31" s="58" t="s">
        <v>3253</v>
      </c>
      <c r="H31" s="58" t="s">
        <v>1001</v>
      </c>
      <c r="I31" s="58" t="s">
        <v>3254</v>
      </c>
      <c r="J31" s="58" t="s">
        <v>3255</v>
      </c>
      <c r="K31" s="74" t="s">
        <v>3256</v>
      </c>
      <c r="L31" s="58"/>
      <c r="M31" s="58"/>
      <c r="N31" s="58"/>
      <c r="O31" s="58"/>
      <c r="P31" s="58"/>
      <c r="Q31" s="58"/>
      <c r="R31" s="58"/>
      <c r="S31" s="58"/>
      <c r="T31" s="58"/>
      <c r="U31" s="58"/>
      <c r="V31" s="58"/>
      <c r="W31" s="77" t="s">
        <v>3257</v>
      </c>
      <c r="X31" s="58" t="s">
        <v>3170</v>
      </c>
      <c r="Y31" s="52"/>
      <c r="Z31" s="52"/>
      <c r="AA31" s="52"/>
      <c r="AB31" s="52"/>
      <c r="AC31" s="52"/>
    </row>
    <row r="32" customHeight="1" ht="114.0">
      <c r="A32" s="73">
        <v>20</v>
      </c>
      <c r="B32" s="116"/>
      <c r="C32" s="116"/>
      <c r="D32" s="116" t="s">
        <v>737</v>
      </c>
      <c r="E32" s="58" t="s">
        <v>268</v>
      </c>
      <c r="F32" s="58" t="s">
        <v>203</v>
      </c>
      <c r="G32" s="58" t="s">
        <v>3258</v>
      </c>
      <c r="H32" s="58" t="s">
        <v>3259</v>
      </c>
      <c r="I32" s="58" t="s">
        <v>3179</v>
      </c>
      <c r="J32" s="58" t="s">
        <v>3260</v>
      </c>
      <c r="K32" s="74" t="s">
        <v>3261</v>
      </c>
      <c r="L32" s="58"/>
      <c r="M32" s="58"/>
      <c r="N32" s="58"/>
      <c r="O32" s="58"/>
      <c r="P32" s="58"/>
      <c r="Q32" s="58"/>
      <c r="R32" s="58"/>
      <c r="S32" s="58"/>
      <c r="T32" s="58"/>
      <c r="U32" s="58"/>
      <c r="V32" s="58"/>
      <c r="W32" s="77" t="s">
        <v>3262</v>
      </c>
      <c r="X32" s="58" t="s">
        <v>3170</v>
      </c>
      <c r="Y32" s="52"/>
      <c r="Z32" s="52"/>
      <c r="AA32" s="52"/>
      <c r="AB32" s="52"/>
      <c r="AC32" s="52"/>
    </row>
    <row r="33" customHeight="1" ht="73.5">
      <c r="A33" s="73">
        <v>21</v>
      </c>
      <c r="B33" s="116"/>
      <c r="C33" s="116"/>
      <c r="D33" s="116"/>
      <c r="E33" s="58" t="s">
        <v>3263</v>
      </c>
      <c r="F33" s="58" t="s">
        <v>203</v>
      </c>
      <c r="G33" s="58" t="s">
        <v>3264</v>
      </c>
      <c r="H33" s="58" t="s">
        <v>3265</v>
      </c>
      <c r="I33" s="58" t="s">
        <v>3266</v>
      </c>
      <c r="J33" s="58" t="s">
        <v>3260</v>
      </c>
      <c r="K33" s="74" t="s">
        <v>3267</v>
      </c>
      <c r="L33" s="58"/>
      <c r="M33" s="58"/>
      <c r="N33" s="58"/>
      <c r="O33" s="58"/>
      <c r="P33" s="58"/>
      <c r="Q33" s="58"/>
      <c r="R33" s="58"/>
      <c r="S33" s="58"/>
      <c r="T33" s="58"/>
      <c r="U33" s="58"/>
      <c r="V33" s="58"/>
      <c r="W33" s="105"/>
      <c r="X33" s="58" t="s">
        <v>3170</v>
      </c>
      <c r="Y33" s="52"/>
      <c r="Z33" s="52"/>
      <c r="AA33" s="52"/>
      <c r="AB33" s="52"/>
      <c r="AC33" s="52"/>
    </row>
    <row r="34" customHeight="1" ht="73.5">
      <c r="A34" s="73">
        <v>22</v>
      </c>
      <c r="B34" s="116"/>
      <c r="C34" s="116"/>
      <c r="D34" s="116"/>
      <c r="E34" s="58" t="s">
        <v>3268</v>
      </c>
      <c r="F34" s="58" t="s">
        <v>210</v>
      </c>
      <c r="G34" s="58" t="s">
        <v>3269</v>
      </c>
      <c r="H34" s="58" t="s">
        <v>3270</v>
      </c>
      <c r="I34" s="58" t="s">
        <v>3271</v>
      </c>
      <c r="J34" s="58" t="s">
        <v>3260</v>
      </c>
      <c r="K34" s="74" t="s">
        <v>3272</v>
      </c>
      <c r="L34" s="58"/>
      <c r="M34" s="58"/>
      <c r="N34" s="58"/>
      <c r="O34" s="58"/>
      <c r="P34" s="58"/>
      <c r="Q34" s="58"/>
      <c r="R34" s="58"/>
      <c r="S34" s="58"/>
      <c r="T34" s="58"/>
      <c r="U34" s="58"/>
      <c r="V34" s="58"/>
      <c r="W34" s="105"/>
      <c r="X34" s="58" t="s">
        <v>3170</v>
      </c>
      <c r="Y34" s="52"/>
      <c r="Z34" s="52"/>
      <c r="AA34" s="52"/>
      <c r="AB34" s="52"/>
      <c r="AC34" s="52"/>
    </row>
    <row r="35" customHeight="1" ht="73.5">
      <c r="A35" s="73">
        <v>23</v>
      </c>
      <c r="B35" s="116"/>
      <c r="C35" s="116"/>
      <c r="D35" s="116"/>
      <c r="E35" s="58" t="s">
        <v>3273</v>
      </c>
      <c r="F35" s="58" t="s">
        <v>210</v>
      </c>
      <c r="G35" s="58" t="s">
        <v>3274</v>
      </c>
      <c r="H35" s="58" t="s">
        <v>3275</v>
      </c>
      <c r="I35" s="58" t="s">
        <v>3276</v>
      </c>
      <c r="J35" s="58" t="s">
        <v>3260</v>
      </c>
      <c r="K35" s="74" t="s">
        <v>3277</v>
      </c>
      <c r="L35" s="58"/>
      <c r="M35" s="58"/>
      <c r="N35" s="58"/>
      <c r="O35" s="58"/>
      <c r="P35" s="58"/>
      <c r="Q35" s="58"/>
      <c r="R35" s="58"/>
      <c r="S35" s="58"/>
      <c r="T35" s="58"/>
      <c r="U35" s="58"/>
      <c r="V35" s="58"/>
      <c r="W35" s="105"/>
      <c r="X35" s="58" t="s">
        <v>3170</v>
      </c>
      <c r="Y35" s="52"/>
      <c r="Z35" s="52"/>
      <c r="AA35" s="52"/>
      <c r="AB35" s="52"/>
      <c r="AC35" s="52"/>
    </row>
    <row r="36" customHeight="1" ht="73.5">
      <c r="A36" s="73">
        <v>24</v>
      </c>
      <c r="B36" s="116"/>
      <c r="C36" s="116"/>
      <c r="D36" s="116"/>
      <c r="E36" s="58" t="s">
        <v>3278</v>
      </c>
      <c r="F36" s="58" t="s">
        <v>210</v>
      </c>
      <c r="G36" s="58" t="s">
        <v>3279</v>
      </c>
      <c r="H36" s="58" t="s">
        <v>3280</v>
      </c>
      <c r="I36" s="58" t="s">
        <v>3281</v>
      </c>
      <c r="J36" s="58" t="s">
        <v>3260</v>
      </c>
      <c r="K36" s="74" t="s">
        <v>3282</v>
      </c>
      <c r="L36" s="58"/>
      <c r="M36" s="58"/>
      <c r="N36" s="58"/>
      <c r="O36" s="58"/>
      <c r="P36" s="58"/>
      <c r="Q36" s="58"/>
      <c r="R36" s="58"/>
      <c r="S36" s="58"/>
      <c r="T36" s="58"/>
      <c r="U36" s="58"/>
      <c r="V36" s="58"/>
      <c r="W36" s="105"/>
      <c r="X36" s="58" t="s">
        <v>3170</v>
      </c>
      <c r="Y36" s="52"/>
      <c r="Z36" s="52"/>
      <c r="AA36" s="52"/>
      <c r="AB36" s="52"/>
      <c r="AC36" s="52"/>
    </row>
    <row r="37" customHeight="1" ht="73.5">
      <c r="A37" s="73">
        <v>25</v>
      </c>
      <c r="B37" s="116"/>
      <c r="C37" s="116"/>
      <c r="D37" s="116"/>
      <c r="E37" s="58" t="s">
        <v>3283</v>
      </c>
      <c r="F37" s="58" t="s">
        <v>210</v>
      </c>
      <c r="G37" s="58" t="s">
        <v>3284</v>
      </c>
      <c r="H37" s="58" t="s">
        <v>770</v>
      </c>
      <c r="I37" s="58" t="s">
        <v>3285</v>
      </c>
      <c r="J37" s="58" t="s">
        <v>3260</v>
      </c>
      <c r="K37" s="104"/>
      <c r="L37" s="58"/>
      <c r="M37" s="58"/>
      <c r="N37" s="58"/>
      <c r="O37" s="58"/>
      <c r="P37" s="58"/>
      <c r="Q37" s="58"/>
      <c r="R37" s="58"/>
      <c r="S37" s="58"/>
      <c r="T37" s="58"/>
      <c r="U37" s="58"/>
      <c r="V37" s="58"/>
      <c r="W37" s="77" t="s">
        <v>3286</v>
      </c>
      <c r="X37" s="58" t="s">
        <v>3170</v>
      </c>
      <c r="Y37" s="52"/>
      <c r="Z37" s="52"/>
      <c r="AA37" s="52"/>
      <c r="AB37" s="52"/>
      <c r="AC37" s="52"/>
    </row>
    <row r="38" customHeight="1" ht="73.5">
      <c r="A38" s="73">
        <v>26</v>
      </c>
      <c r="B38" s="116"/>
      <c r="C38" s="116"/>
      <c r="D38" s="116"/>
      <c r="E38" s="58" t="s">
        <v>3287</v>
      </c>
      <c r="F38" s="58" t="s">
        <v>210</v>
      </c>
      <c r="G38" s="58" t="s">
        <v>3288</v>
      </c>
      <c r="H38" s="58" t="s">
        <v>775</v>
      </c>
      <c r="I38" s="58" t="s">
        <v>3289</v>
      </c>
      <c r="J38" s="58" t="s">
        <v>3260</v>
      </c>
      <c r="K38" s="104"/>
      <c r="L38" s="58"/>
      <c r="M38" s="58"/>
      <c r="N38" s="58"/>
      <c r="O38" s="58"/>
      <c r="P38" s="58"/>
      <c r="Q38" s="58"/>
      <c r="R38" s="58"/>
      <c r="S38" s="58"/>
      <c r="T38" s="58"/>
      <c r="U38" s="58"/>
      <c r="V38" s="58"/>
      <c r="W38" s="77" t="s">
        <v>3290</v>
      </c>
      <c r="X38" s="58" t="s">
        <v>3170</v>
      </c>
      <c r="Y38" s="52"/>
      <c r="Z38" s="52"/>
      <c r="AA38" s="52"/>
      <c r="AB38" s="52"/>
      <c r="AC38" s="52"/>
    </row>
    <row r="39" customHeight="1" ht="73.5">
      <c r="A39" s="73">
        <v>27</v>
      </c>
      <c r="B39" s="116"/>
      <c r="C39" s="118"/>
      <c r="D39" s="118"/>
      <c r="E39" s="58" t="s">
        <v>3291</v>
      </c>
      <c r="F39" s="58" t="s">
        <v>210</v>
      </c>
      <c r="G39" s="58" t="s">
        <v>3292</v>
      </c>
      <c r="H39" s="58" t="s">
        <v>780</v>
      </c>
      <c r="I39" s="58" t="s">
        <v>3293</v>
      </c>
      <c r="J39" s="58" t="s">
        <v>3260</v>
      </c>
      <c r="K39" s="104"/>
      <c r="L39" s="58"/>
      <c r="M39" s="58"/>
      <c r="N39" s="58"/>
      <c r="O39" s="58"/>
      <c r="P39" s="58"/>
      <c r="Q39" s="58"/>
      <c r="R39" s="58"/>
      <c r="S39" s="58"/>
      <c r="T39" s="58"/>
      <c r="U39" s="58"/>
      <c r="V39" s="58"/>
      <c r="W39" s="77" t="s">
        <v>3294</v>
      </c>
      <c r="X39" s="58" t="s">
        <v>3170</v>
      </c>
      <c r="Y39" s="52"/>
      <c r="Z39" s="52"/>
      <c r="AA39" s="52"/>
      <c r="AB39" s="52"/>
      <c r="AC39" s="52"/>
    </row>
    <row r="40" customHeight="1" ht="60.0">
      <c r="A40" s="73">
        <v>28</v>
      </c>
      <c r="B40" s="116"/>
      <c r="C40" s="116" t="s">
        <v>98</v>
      </c>
      <c r="D40" s="116" t="s">
        <v>268</v>
      </c>
      <c r="E40" s="58" t="s">
        <v>269</v>
      </c>
      <c r="F40" s="58" t="s">
        <v>210</v>
      </c>
      <c r="G40" s="58" t="s">
        <v>3295</v>
      </c>
      <c r="H40" s="58" t="s">
        <v>803</v>
      </c>
      <c r="I40" s="58" t="s">
        <v>3296</v>
      </c>
      <c r="J40" s="58" t="s">
        <v>3297</v>
      </c>
      <c r="K40" s="74" t="s">
        <v>3298</v>
      </c>
      <c r="L40" s="58"/>
      <c r="M40" s="58"/>
      <c r="N40" s="58"/>
      <c r="O40" s="58"/>
      <c r="P40" s="58"/>
      <c r="Q40" s="58"/>
      <c r="R40" s="58"/>
      <c r="S40" s="58"/>
      <c r="T40" s="58"/>
      <c r="U40" s="58"/>
      <c r="V40" s="58"/>
      <c r="W40" s="105"/>
      <c r="X40" s="58" t="s">
        <v>3170</v>
      </c>
      <c r="Y40" s="52"/>
      <c r="Z40" s="52"/>
      <c r="AA40" s="52"/>
      <c r="AB40" s="52"/>
      <c r="AC40" s="52"/>
    </row>
    <row r="41" customHeight="1" ht="73.5">
      <c r="A41" s="73">
        <v>29</v>
      </c>
      <c r="B41" s="116"/>
      <c r="C41" s="116"/>
      <c r="D41" s="118"/>
      <c r="E41" s="58" t="s">
        <v>2675</v>
      </c>
      <c r="F41" s="58" t="s">
        <v>210</v>
      </c>
      <c r="G41" s="58" t="s">
        <v>3299</v>
      </c>
      <c r="H41" s="58" t="s">
        <v>809</v>
      </c>
      <c r="I41" s="58" t="s">
        <v>504</v>
      </c>
      <c r="J41" s="58" t="s">
        <v>3300</v>
      </c>
      <c r="K41" s="74" t="s">
        <v>2677</v>
      </c>
      <c r="L41" s="58"/>
      <c r="M41" s="58"/>
      <c r="N41" s="58"/>
      <c r="O41" s="58"/>
      <c r="P41" s="58"/>
      <c r="Q41" s="58"/>
      <c r="R41" s="58"/>
      <c r="S41" s="58"/>
      <c r="T41" s="58"/>
      <c r="U41" s="58"/>
      <c r="V41" s="58"/>
      <c r="W41" s="105"/>
      <c r="X41" s="58" t="s">
        <v>3170</v>
      </c>
      <c r="Y41" s="52"/>
      <c r="Z41" s="52"/>
      <c r="AA41" s="52"/>
      <c r="AB41" s="52"/>
      <c r="AC41" s="52"/>
    </row>
    <row r="42" customHeight="1" ht="60.0">
      <c r="A42" s="73">
        <v>30</v>
      </c>
      <c r="B42" s="116"/>
      <c r="C42" s="116"/>
      <c r="D42" s="117" t="s">
        <v>812</v>
      </c>
      <c r="E42" s="58" t="s">
        <v>2679</v>
      </c>
      <c r="F42" s="58" t="s">
        <v>210</v>
      </c>
      <c r="G42" s="58" t="s">
        <v>3301</v>
      </c>
      <c r="H42" s="58" t="s">
        <v>815</v>
      </c>
      <c r="I42" s="58" t="s">
        <v>3296</v>
      </c>
      <c r="J42" s="58" t="s">
        <v>3302</v>
      </c>
      <c r="K42" s="74" t="s">
        <v>3303</v>
      </c>
      <c r="L42" s="58"/>
      <c r="M42" s="58"/>
      <c r="N42" s="58"/>
      <c r="O42" s="58"/>
      <c r="P42" s="58"/>
      <c r="Q42" s="58"/>
      <c r="R42" s="58"/>
      <c r="S42" s="58"/>
      <c r="T42" s="58"/>
      <c r="U42" s="58"/>
      <c r="V42" s="58"/>
      <c r="W42" s="105"/>
      <c r="X42" s="58" t="s">
        <v>3170</v>
      </c>
      <c r="Y42" s="52"/>
      <c r="Z42" s="52"/>
      <c r="AA42" s="52"/>
      <c r="AB42" s="52"/>
      <c r="AC42" s="52"/>
    </row>
    <row r="43" customHeight="1" ht="60.0">
      <c r="A43" s="73">
        <v>31</v>
      </c>
      <c r="B43" s="118"/>
      <c r="C43" s="118"/>
      <c r="D43" s="117" t="s">
        <v>820</v>
      </c>
      <c r="E43" s="58" t="s">
        <v>826</v>
      </c>
      <c r="F43" s="58" t="s">
        <v>210</v>
      </c>
      <c r="G43" s="58" t="s">
        <v>3304</v>
      </c>
      <c r="H43" s="58" t="s">
        <v>828</v>
      </c>
      <c r="I43" s="58" t="s">
        <v>3296</v>
      </c>
      <c r="J43" s="58" t="s">
        <v>3305</v>
      </c>
      <c r="K43" s="74" t="s">
        <v>3306</v>
      </c>
      <c r="L43" s="58"/>
      <c r="M43" s="58"/>
      <c r="N43" s="58"/>
      <c r="O43" s="58"/>
      <c r="P43" s="58"/>
      <c r="Q43" s="58"/>
      <c r="R43" s="58"/>
      <c r="S43" s="58"/>
      <c r="T43" s="58"/>
      <c r="U43" s="58"/>
      <c r="V43" s="58"/>
      <c r="W43" s="105"/>
      <c r="X43" s="58" t="s">
        <v>3170</v>
      </c>
      <c r="Y43" s="52"/>
      <c r="Z43" s="52"/>
      <c r="AA43" s="52"/>
      <c r="AB43" s="52"/>
      <c r="AC43" s="52"/>
    </row>
    <row r="44" customHeight="1" ht="73.5">
      <c r="A44" s="73">
        <v>32</v>
      </c>
      <c r="B44" s="116" t="s">
        <v>110</v>
      </c>
      <c r="C44" s="117" t="s">
        <v>538</v>
      </c>
      <c r="D44" s="117" t="s">
        <v>1183</v>
      </c>
      <c r="E44" s="58" t="s">
        <v>3307</v>
      </c>
      <c r="F44" s="58" t="s">
        <v>203</v>
      </c>
      <c r="G44" s="58" t="s">
        <v>3308</v>
      </c>
      <c r="H44" s="58" t="s">
        <v>3309</v>
      </c>
      <c r="I44" s="58" t="s">
        <v>3310</v>
      </c>
      <c r="J44" s="58" t="s">
        <v>3311</v>
      </c>
      <c r="K44" s="74" t="s">
        <v>3312</v>
      </c>
      <c r="L44" s="58"/>
      <c r="M44" s="58"/>
      <c r="N44" s="58"/>
      <c r="O44" s="58"/>
      <c r="P44" s="58"/>
      <c r="Q44" s="58"/>
      <c r="R44" s="58"/>
      <c r="S44" s="58"/>
      <c r="T44" s="58"/>
      <c r="U44" s="58"/>
      <c r="V44" s="58"/>
      <c r="W44" s="77" t="s">
        <v>3313</v>
      </c>
      <c r="X44" s="58" t="s">
        <v>3170</v>
      </c>
      <c r="Y44" s="52"/>
      <c r="Z44" s="52"/>
      <c r="AA44" s="52"/>
      <c r="AB44" s="52"/>
      <c r="AC44" s="52"/>
    </row>
    <row r="45" customHeight="1" ht="87.0">
      <c r="A45" s="73">
        <v>33</v>
      </c>
      <c r="B45" s="118"/>
      <c r="C45" s="117" t="s">
        <v>111</v>
      </c>
      <c r="D45" s="117" t="s">
        <v>1183</v>
      </c>
      <c r="E45" s="58" t="s">
        <v>3314</v>
      </c>
      <c r="F45" s="58" t="s">
        <v>203</v>
      </c>
      <c r="G45" s="58" t="s">
        <v>3315</v>
      </c>
      <c r="H45" s="58" t="s">
        <v>3316</v>
      </c>
      <c r="I45" s="58" t="s">
        <v>3317</v>
      </c>
      <c r="J45" s="58" t="s">
        <v>3311</v>
      </c>
      <c r="K45" s="104"/>
      <c r="L45" s="58"/>
      <c r="M45" s="58"/>
      <c r="N45" s="58"/>
      <c r="O45" s="58"/>
      <c r="P45" s="58"/>
      <c r="Q45" s="58"/>
      <c r="R45" s="58"/>
      <c r="S45" s="58"/>
      <c r="T45" s="58"/>
      <c r="U45" s="58"/>
      <c r="V45" s="58"/>
      <c r="W45" s="77" t="s">
        <v>3318</v>
      </c>
      <c r="X45" s="58" t="s">
        <v>3170</v>
      </c>
      <c r="Y45" s="52"/>
      <c r="Z45" s="52"/>
      <c r="AA45" s="52"/>
      <c r="AB45" s="52"/>
      <c r="AC45" s="52"/>
    </row>
    <row r="46" customHeight="1" ht="60.0">
      <c r="A46" s="73">
        <v>34</v>
      </c>
      <c r="B46" s="116" t="s">
        <v>89</v>
      </c>
      <c r="C46" s="116" t="s">
        <v>114</v>
      </c>
      <c r="D46" s="117" t="s">
        <v>1183</v>
      </c>
      <c r="E46" s="58" t="s">
        <v>3319</v>
      </c>
      <c r="F46" s="58" t="s">
        <v>203</v>
      </c>
      <c r="G46" s="58" t="s">
        <v>3320</v>
      </c>
      <c r="H46" s="58" t="s">
        <v>3321</v>
      </c>
      <c r="I46" s="58" t="s">
        <v>3322</v>
      </c>
      <c r="J46" s="58" t="s">
        <v>3311</v>
      </c>
      <c r="K46" s="74" t="s">
        <v>3323</v>
      </c>
      <c r="L46" s="58"/>
      <c r="M46" s="58"/>
      <c r="N46" s="58"/>
      <c r="O46" s="58"/>
      <c r="P46" s="58"/>
      <c r="Q46" s="58"/>
      <c r="R46" s="58"/>
      <c r="S46" s="58"/>
      <c r="T46" s="58"/>
      <c r="U46" s="58"/>
      <c r="V46" s="58"/>
      <c r="W46" s="105"/>
      <c r="X46" s="58" t="s">
        <v>222</v>
      </c>
      <c r="Y46" s="52"/>
      <c r="Z46" s="52"/>
      <c r="AA46" s="52"/>
      <c r="AB46" s="52"/>
      <c r="AC46" s="52"/>
    </row>
    <row r="47" customHeight="1" ht="60.0">
      <c r="A47" s="73">
        <v>35</v>
      </c>
      <c r="B47" s="118"/>
      <c r="C47" s="118"/>
      <c r="D47" s="117" t="s">
        <v>1235</v>
      </c>
      <c r="E47" s="58" t="s">
        <v>3324</v>
      </c>
      <c r="F47" s="58" t="s">
        <v>203</v>
      </c>
      <c r="G47" s="58" t="s">
        <v>3325</v>
      </c>
      <c r="H47" s="58" t="s">
        <v>3326</v>
      </c>
      <c r="I47" s="58" t="s">
        <v>3322</v>
      </c>
      <c r="J47" s="58" t="s">
        <v>3327</v>
      </c>
      <c r="K47" s="74" t="s">
        <v>1240</v>
      </c>
      <c r="L47" s="58"/>
      <c r="M47" s="58"/>
      <c r="N47" s="58"/>
      <c r="O47" s="58"/>
      <c r="P47" s="58"/>
      <c r="Q47" s="58"/>
      <c r="R47" s="58"/>
      <c r="S47" s="58"/>
      <c r="T47" s="58"/>
      <c r="U47" s="58"/>
      <c r="V47" s="58"/>
      <c r="W47" s="105"/>
      <c r="X47" s="58" t="s">
        <v>222</v>
      </c>
      <c r="Y47" s="52"/>
      <c r="Z47" s="52"/>
      <c r="AA47" s="52"/>
      <c r="AB47" s="52"/>
      <c r="AC47" s="52"/>
    </row>
  </sheetData>
  <mergeCells count="42">
    <mergeCell ref="K2:S2"/>
    <mergeCell ref="K4:K5"/>
    <mergeCell ref="L4:L5"/>
    <mergeCell ref="K6:K7"/>
    <mergeCell ref="L6:L7"/>
    <mergeCell ref="M10:Q10"/>
    <mergeCell ref="R10:V10"/>
    <mergeCell ref="B11:D11"/>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B13:B15"/>
    <mergeCell ref="B16:B43"/>
    <mergeCell ref="B44:B45"/>
    <mergeCell ref="B46:B47"/>
    <mergeCell ref="C13:C14"/>
    <mergeCell ref="C16:C17"/>
    <mergeCell ref="C18:C26"/>
    <mergeCell ref="C27:C39"/>
    <mergeCell ref="C40:C43"/>
    <mergeCell ref="C46:C47"/>
    <mergeCell ref="D16:D17"/>
    <mergeCell ref="D19:D26"/>
    <mergeCell ref="D27:D31"/>
    <mergeCell ref="D32:D39"/>
    <mergeCell ref="D40:D41"/>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89DCA6B8-BEA5-4F1C-B91C-18A1E71CB2C5}" type="list" allowBlank="1" errorStyle="stop" imeMode="noControl" operator="between" showDropDown="0" showErrorMessage="0" showInputMessage="0">
          <x14:formula1>
            <xm:f>"High,Medium,Low,Critical"</xm:f>
          </x14:formula1>
          <xm:sqref>F13:F178 F118:F148</xm:sqref>
        </x14:dataValidation>
        <x14:dataValidation xr:uid="{322DD644-6726-4790-B51D-783A331F30B7}" type="list" allowBlank="1" errorStyle="stop" imeMode="noControl" operator="between" showDropDown="0" showErrorMessage="0" showInputMessage="0">
          <x14:formula1>
            <xm:f>"Passed,Failed,Pending,Blocked,NA,Not execute"</xm:f>
          </x14:formula1>
          <xm:sqref>M13:M178 R13:R178</xm:sqref>
        </x14:dataValidation>
        <x14:dataValidation xr:uid="{4D8FEEE1-9A7B-4388-AF58-B69B294910EA}" type="list" allowBlank="1" errorStyle="stop" imeMode="noControl" operator="between" showDropDown="0" showErrorMessage="0" showInputMessage="0">
          <x14:formula1>
            <xm:f>"High,Medium,Low,Critical"</xm:f>
          </x14:formula1>
          <xm:sqref>F117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13</cp:revision>
  <dcterms:created xsi:type="dcterms:W3CDTF">2026-10-01T04:51:11Z</dcterms:created>
  <dcterms:modified xsi:type="dcterms:W3CDTF">2026-10-08T08:15:18Z</dcterms:modified>
</cp:coreProperties>
</file>