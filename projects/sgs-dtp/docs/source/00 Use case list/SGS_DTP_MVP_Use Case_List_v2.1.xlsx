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/>
  <mc:AlternateContent xmlns:mc="http://schemas.openxmlformats.org/markup-compatibility/2006">
    <mc:Choice Requires="x15">
      <x15ac:absPath xmlns:x15ac="http://schemas.microsoft.com/office/spreadsheetml/2010/11/ac" url="D:\Work\LTS\Project\SGS\"/>
    </mc:Choice>
  </mc:AlternateContent>
  <xr:revisionPtr revIDLastSave="459" documentId="11_5A590B4D32CBAE7CA79F4C18F12E37779A4C5031" xr6:coauthVersionLast="47" xr6:coauthVersionMax="47" xr10:uidLastSave="{706E9C86-B18B-40A0-BB6C-7528E9F84408}"/>
  <bookViews>
    <workbookView xWindow="0" yWindow="0" windowWidth="28800" windowHeight="12330" tabRatio="500" firstSheet="1" activeTab="1" xr2:uid="{00000000-000D-0000-FFFF-FFFF00000000}"/>
  </bookViews>
  <sheets>
    <sheet name="Scope Summary" sheetId="1" r:id="rId1"/>
    <sheet name="UC List" sheetId="2" r:id="rId2"/>
    <sheet name="Future Release" sheetId="3" r:id="rId3"/>
    <sheet name="OOS - Not MVP" sheetId="4" r:id="rId4"/>
    <sheet name="Pending Clarification" sheetId="5" r:id="rId5"/>
  </sheets>
  <definedNames>
    <definedName name="_xlnm._FilterDatabase" localSheetId="1" hidden="1">'UC List'!$A$1:$I$1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5" i="2" l="1"/>
  <c r="J69" i="2"/>
  <c r="J55" i="2"/>
  <c r="J3" i="2"/>
  <c r="J178" i="2"/>
  <c r="J175" i="2"/>
  <c r="J171" i="2"/>
  <c r="J164" i="2"/>
  <c r="J156" i="2"/>
  <c r="J152" i="2"/>
  <c r="J137" i="2"/>
  <c r="J126" i="2"/>
  <c r="J118" i="2"/>
  <c r="J112" i="2"/>
  <c r="J108" i="2"/>
  <c r="J90" i="2"/>
  <c r="J85" i="2"/>
  <c r="J81" i="2"/>
  <c r="J72" i="2"/>
  <c r="J58" i="2"/>
  <c r="J46" i="2"/>
  <c r="J34" i="2"/>
  <c r="J30" i="2"/>
  <c r="J26" i="2"/>
  <c r="J20" i="2"/>
  <c r="J9" i="2"/>
  <c r="J2" i="2" s="1"/>
</calcChain>
</file>

<file path=xl/sharedStrings.xml><?xml version="1.0" encoding="utf-8"?>
<sst xmlns="http://schemas.openxmlformats.org/spreadsheetml/2006/main" count="1646" uniqueCount="951">
  <si>
    <t>Category</t>
  </si>
  <si>
    <t>Count</t>
  </si>
  <si>
    <t>Meaning</t>
  </si>
  <si>
    <t>MVP Treatment</t>
  </si>
  <si>
    <t>Primary Basis</t>
  </si>
  <si>
    <t>Client Action</t>
  </si>
  <si>
    <t>MVP UC List</t>
  </si>
  <si>
    <t>Use cases proposed for the Taiwan MVP confirmation.</t>
  </si>
  <si>
    <t>Included in Sheet UC List</t>
  </si>
  <si>
    <t>Requirement-derived Use Case List + latest customer clarifications, including Review Workflow confirmation and Consultant role scope</t>
  </si>
  <si>
    <t>Confirm scope/use cases</t>
  </si>
  <si>
    <t>Future Release</t>
  </si>
  <si>
    <t>Use cases explicitly Phase 2 / low priority, or deferred from the first pilot by customer clarification.</t>
  </si>
  <si>
    <t>Not in MVP</t>
  </si>
  <si>
    <t>WBS Phase 2 and/or Q&amp;A deferral; Q&amp;A #21 clarifies Evidence Package concept but does not change its Phase 2 timing</t>
  </si>
  <si>
    <t>Acknowledge for later planning</t>
  </si>
  <si>
    <t>OOS / Not MVP</t>
  </si>
  <si>
    <t>Use cases explicitly removed from the MVP by customer confirmation.</t>
  </si>
  <si>
    <t>Excluded from MVP</t>
  </si>
  <si>
    <t>Q&amp;A #18 and Q&amp;A #56</t>
  </si>
  <si>
    <t>Confirm exclusion</t>
  </si>
  <si>
    <t>Pending Clarification</t>
  </si>
  <si>
    <t>No standalone use case is currently held pending after Q&amp;A #26 was resolved.</t>
  </si>
  <si>
    <t>None</t>
  </si>
  <si>
    <t>Q&amp;A #26 resolved; other open source-Q&amp;A topics remain in the Q&amp;A tracker until confirmed</t>
  </si>
  <si>
    <t>Continue resolving open Q&amp;A items</t>
  </si>
  <si>
    <t>UC ID</t>
  </si>
  <si>
    <t>Use Case Name</t>
  </si>
  <si>
    <t>Actor</t>
  </si>
  <si>
    <t>Module/Feature</t>
  </si>
  <si>
    <t>Portal</t>
  </si>
  <si>
    <t>Description</t>
  </si>
  <si>
    <t>WBS Reference</t>
  </si>
  <si>
    <t>LTS suggestion</t>
  </si>
  <si>
    <t>SGS Comments</t>
  </si>
  <si>
    <t>ESt (Hour)</t>
  </si>
  <si>
    <t>1. Authentication</t>
  </si>
  <si>
    <t>UC-AUTH-001</t>
  </si>
  <si>
    <t>Log In to Platform</t>
  </si>
  <si>
    <t>All authenticated roles</t>
  </si>
  <si>
    <t>Authentication</t>
  </si>
  <si>
    <t>Customer Portal &amp; SGS Portal</t>
  </si>
  <si>
    <t>Authenticate with credentials and enter DTP with the role, tenant and affiliate context resolved for the session.</t>
  </si>
  <si>
    <t>CP-01 User login &amp; logout (P1)</t>
  </si>
  <si>
    <t>UC-AUTH-002</t>
  </si>
  <si>
    <t>Log Out of Platform</t>
  </si>
  <si>
    <t>Terminate the active session and invalidate the session token.</t>
  </si>
  <si>
    <t>UC-AUTH-003</t>
  </si>
  <si>
    <t>Request Password Reset</t>
  </si>
  <si>
    <t>Request a password reset link when the password cannot be recalled, and set a new password from that link.</t>
  </si>
  <si>
    <t>Implicit — CP-01 (P1) — self-service password reset not named; only auth API, password policy, session timeout</t>
  </si>
  <si>
    <t>Phase 2</t>
  </si>
  <si>
    <t>Ok. In case reset is needed, team can support the client</t>
  </si>
  <si>
    <t>UC-AUTH-004</t>
  </si>
  <si>
    <t>Change Own Password</t>
  </si>
  <si>
    <t>Change the current password while authenticated, subject to the SGS password policy.</t>
  </si>
  <si>
    <t>Implicit — CP-01 (P1) — change-password not named</t>
  </si>
  <si>
    <t>UC-AUTH-005</t>
  </si>
  <si>
    <t>Activate Account from Invitation</t>
  </si>
  <si>
    <t>Customer Admin, Customer User, SGS User, SGS Consultant</t>
  </si>
  <si>
    <t>Accept a user invitation, set the initial password and complete first-time account activation.</t>
  </si>
  <si>
    <t>CP-05 Create and manage customer users (P1); OPS-04 SGS customer onboarding (P1); Q&amp;A #7; Q&amp;A #59a</t>
  </si>
  <si>
    <t>2. User &amp; Profile Management</t>
  </si>
  <si>
    <t>UC-USR-001</t>
  </si>
  <si>
    <t>View User List</t>
  </si>
  <si>
    <t>Customer Admin, SGS Admin</t>
  </si>
  <si>
    <t>User Management</t>
  </si>
  <si>
    <t>View the users within the permitted boundary (own tenant for Customer Admin; affiliate customers and SGS users for SGS Admin) with status and role.</t>
  </si>
  <si>
    <t>CP-05 Create and manage customer users (P1); OPS-05 Customer and user administration (P1)</t>
  </si>
  <si>
    <t>UC-USR-002</t>
  </si>
  <si>
    <t>View User Details</t>
  </si>
  <si>
    <t>View a user's profile, account status, assigned role and assigned scopes.</t>
  </si>
  <si>
    <t>UC-USR-003</t>
  </si>
  <si>
    <t>Create User and Send Invitation</t>
  </si>
  <si>
    <t>Create a user account, assign the initial role and issue an invitation. Includes resending or revoking a pending invitation.</t>
  </si>
  <si>
    <t>UC-USR-004</t>
  </si>
  <si>
    <t>Edit User Account</t>
  </si>
  <si>
    <t>Update another user's account attributes maintained by an administrator.</t>
  </si>
  <si>
    <t>UC-USR-005</t>
  </si>
  <si>
    <t>Assign Role to User</t>
  </si>
  <si>
    <t>Assign or change the predefined platform role held by a user. Customer Admin manages customer-side roles; SGS Admin manages SGS-side roles, including the SGS Consultant role.</t>
  </si>
  <si>
    <t>CP-05 Create and manage customer users (P1); OPS-05 Customer and user administration (P1); Q&amp;A #59a</t>
  </si>
  <si>
    <t>UC-USR-006</t>
  </si>
  <si>
    <t>Assign Scope Access to Customer User</t>
  </si>
  <si>
    <t>Customer Admin</t>
  </si>
  <si>
    <t>Customer Portal</t>
  </si>
  <si>
    <t>Grant a Customer User access to specific product, system or organizational scopes.</t>
  </si>
  <si>
    <t>CP-05 Create and manage customer users (P1)</t>
  </si>
  <si>
    <t>UC-USR-007</t>
  </si>
  <si>
    <t>Activate User Account</t>
  </si>
  <si>
    <t>Re-enable a previously deactivated user account.</t>
  </si>
  <si>
    <t>Implicit — OPS-05 'Reset/disable access' (P1) — re-activation not named</t>
  </si>
  <si>
    <t>UC-USR-008</t>
  </si>
  <si>
    <t>Deactivate User Account</t>
  </si>
  <si>
    <t>Disable a user's access while retaining the user record and its history.</t>
  </si>
  <si>
    <t>OPS-05 Customer and user administration (P1)</t>
  </si>
  <si>
    <t>UC-USR-009</t>
  </si>
  <si>
    <t>Delete User Account</t>
  </si>
  <si>
    <t xml:space="preserve"> </t>
  </si>
  <si>
    <t>UC-USR-010</t>
  </si>
  <si>
    <t>Reset User Password</t>
  </si>
  <si>
    <t>Trigger the administrator password-reset flow for another user without exposing the new password to the administrator; a temporary password is issued to the account owner, who must change it on first login.</t>
  </si>
  <si>
    <t>OPS-05 Customer and user administration (P1); Q&amp;A #45</t>
  </si>
  <si>
    <t>3. Role &amp; Permission Administration</t>
  </si>
  <si>
    <t>UC-ROL-001</t>
  </si>
  <si>
    <t>Enforce Role, Tenant and Affiliate Permissions</t>
  </si>
  <si>
    <t>System</t>
  </si>
  <si>
    <t>Role &amp; Permission</t>
  </si>
  <si>
    <t>System / Backend (No Portal)</t>
  </si>
  <si>
    <t>Enforce the predefined role and permission matrix on APIs and UI so customer users can access only their organization/scope data and SGS users, including SGS Consultants, can access only customers and functions permitted by their role and assignment boundary.</t>
  </si>
  <si>
    <t>CP-03 User roles &amp; permissions management (P1); Q&amp;A #59a</t>
  </si>
  <si>
    <t>UC-ROL-002</t>
  </si>
  <si>
    <t>View Role Permission Matrix</t>
  </si>
  <si>
    <t>View the read/write/approve/share/admin permissions attached to a role, so administrators can choose the correct role when assigning users.</t>
  </si>
  <si>
    <t>PRESALE WBS GAP — CP-03 (P1) 'Define permission matrix per PRD' is a design artefact, not a viewable matrix</t>
  </si>
  <si>
    <t>UC-ROL-003</t>
  </si>
  <si>
    <t>Create Role</t>
  </si>
  <si>
    <t>SGS Admin</t>
  </si>
  <si>
    <t>SGS Portal</t>
  </si>
  <si>
    <t>Define a new role and select its permission set.</t>
  </si>
  <si>
    <t>PRESALE WBS GAP — No role authoring in the estimation; FRD assumption 4.3 fixes a 7-role RBAC model</t>
  </si>
  <si>
    <t>UC-ROL-004</t>
  </si>
  <si>
    <t>Edit Role Permissions</t>
  </si>
  <si>
    <t>Modify the permission set of a custom role.</t>
  </si>
  <si>
    <t>PRESALE WBS GAP — No permission authoring in the estimation; FRD assumption 4.3 fixes a 7-role RBAC model</t>
  </si>
  <si>
    <t>UC-ROL-005</t>
  </si>
  <si>
    <t>Delete Role</t>
  </si>
  <si>
    <t>Remove a custom role that is no longer assigned to any user.</t>
  </si>
  <si>
    <t>5. Notification</t>
  </si>
  <si>
    <t>UC-NTF-001</t>
  </si>
  <si>
    <t>Generate In-App Notification</t>
  </si>
  <si>
    <t>Notification</t>
  </si>
  <si>
    <t>Generate role-, tenant- and scope-aware in-app notifications for relevant MVP events such as review feedback, service-request status changes and certification milestones.</t>
  </si>
  <si>
    <t>CP-44 In-app notifications (P1); CP-28 Review notifications (P1); CP-35 Service request status flow &amp; notification (P1); CP-42 Cert renewal/surveillance notifications (P1). Email notifications remain P2 under CP-45.</t>
  </si>
  <si>
    <t>UC-NTF-002</t>
  </si>
  <si>
    <t>View Notification Inbox and History</t>
  </si>
  <si>
    <t>View current and historical notifications addressed to the user.</t>
  </si>
  <si>
    <t>CP-44</t>
  </si>
  <si>
    <t>UC-NTF-003</t>
  </si>
  <si>
    <t>Manage Notification Templates and Events</t>
  </si>
  <si>
    <t>Maintain notification templates and the mapping of platform events to templates and recipient rules.</t>
  </si>
  <si>
    <t>OPS-23 Platform notifications admin (P1)</t>
  </si>
  <si>
    <t>6. Audit Trail</t>
  </si>
  <si>
    <t>UC-AUD-001</t>
  </si>
  <si>
    <t>Record Audit Trail Entry</t>
  </si>
  <si>
    <t>Audit Trail</t>
  </si>
  <si>
    <t>Record append-only audit events for sensitive platform, review and service-request actions with actor, timestamp, action and affected object/context.</t>
  </si>
  <si>
    <t>CP-47 Audit log (platform) (P1); OPS-17 Review audit log (P1); OPS-19 Service request audit log (P1)</t>
  </si>
  <si>
    <t>UC-AUD-002</t>
  </si>
  <si>
    <t>Search and View Audit Trail</t>
  </si>
  <si>
    <t>Search platform audit events by actor, object, action, date range and tenant for support, compliance and investigation.</t>
  </si>
  <si>
    <t>CP-47 Audit log (platform) (P1)</t>
  </si>
  <si>
    <t>Phase 2?</t>
  </si>
  <si>
    <t>UC-AUD-004</t>
  </si>
  <si>
    <t>View Own Organization Activity Log</t>
  </si>
  <si>
    <t>Review activity performed on the organization's own evidence, certifications and users.</t>
  </si>
  <si>
    <t>PRESALE WBS GAP — CP-47 (P1) is scoped to SGS Admin; no customer-facing activity log priced</t>
  </si>
  <si>
    <t>7. Framework Content Management</t>
  </si>
  <si>
    <t>UC-FWK-001</t>
  </si>
  <si>
    <t>View Framework List</t>
  </si>
  <si>
    <t>Framework Content</t>
  </si>
  <si>
    <t>View the frameworks maintained on the platform and open their current framework content.</t>
  </si>
  <si>
    <t>A5 Framework dynamic management (P1); OPS-07 Framework and cert configuration (P1)</t>
  </si>
  <si>
    <t>UC-FWK-002</t>
  </si>
  <si>
    <t>View Framework Details</t>
  </si>
  <si>
    <t>View a framework's metadata, requirement/control structure and expected evidence types. Frameworks are managed independently in MVP; no ISO 27001/42001 cross-framework requirement/control equivalence mapping is included.</t>
  </si>
  <si>
    <t>A5 Framework dynamic management (P1); OPS-07 Framework and cert configuration (P1); Q&amp;A #18 cross-framework mapping OOS for MVP</t>
  </si>
  <si>
    <t>UC-FWK-003</t>
  </si>
  <si>
    <t>Create Framework</t>
  </si>
  <si>
    <t>Register a new framework with its metadata and structural definition.</t>
  </si>
  <si>
    <t>move back to P1</t>
  </si>
  <si>
    <t>ISO27001, ISO42001 and 
CMS should be initially supported</t>
  </si>
  <si>
    <t>UC-FWK-004</t>
  </si>
  <si>
    <t>Edit Framework Metadata</t>
  </si>
  <si>
    <t>Modify framework-level metadata and structure supported by the framework data model.</t>
  </si>
  <si>
    <t>UC-FWK-005</t>
  </si>
  <si>
    <t>Create Requirement or Control</t>
  </si>
  <si>
    <t>Add a requirement or control to a framework, positioned within its clause hierarchy.</t>
  </si>
  <si>
    <t>UC-FWK-006</t>
  </si>
  <si>
    <t>Edit Requirement or Control</t>
  </si>
  <si>
    <t>Modify the text, hierarchy position, applicability level or attributes of a requirement or control.</t>
  </si>
  <si>
    <t>UC-FWK-007</t>
  </si>
  <si>
    <t>Retire Requirement or Control</t>
  </si>
  <si>
    <t>Withdraw a requirement or control from future use while preserving existing customer evidence mappings.</t>
  </si>
  <si>
    <t>PRESALE WBS GAP — Retirement preserving existing evidence mappings not priced; nearest A5 CRUD (P1), A8 migration (P2)</t>
  </si>
  <si>
    <t>UC-FWK-008</t>
  </si>
  <si>
    <t>Define Expected Evidence Types for a Control</t>
  </si>
  <si>
    <t>Define the evidence types expected for a control and flag each as mandatory or optional.</t>
  </si>
  <si>
    <t>A5 Framework dynamic management (P1)</t>
  </si>
  <si>
    <t>What are the types of evidences? Files? 
This could be shifted to P2</t>
  </si>
  <si>
    <t>UC-FWK-009</t>
  </si>
  <si>
    <t>Import Framework Content</t>
  </si>
  <si>
    <t>Import or update SGS-supplied framework content from XLSX, including ISO 27001/42001 requirements/controls and expected evidence types, with each framework maintained independently.</t>
  </si>
  <si>
    <t>OPS-07 Framework and cert configuration (P1); Q&amp;A #16/#18 — XLSX input; ISO 27001/42001 cross-framework requirement/control mapping is OUT OF MVP</t>
  </si>
  <si>
    <t>UC-FWK-013</t>
  </si>
  <si>
    <t>Activate Framework</t>
  </si>
  <si>
    <t>Make a framework version available for discovery, journeys and evidence workspaces.</t>
  </si>
  <si>
    <t>PRESALE WBS GAP — Framework availability activation not priced; CP-12 (P1) is customer-side activation on a scope</t>
  </si>
  <si>
    <t>The framework needs to be available in P1,
 otherwise evidence management is useless! Or did I understand it wrong?</t>
  </si>
  <si>
    <t>UC-FWK-014</t>
  </si>
  <si>
    <t>Deactivate Framework</t>
  </si>
  <si>
    <t>Withdraw a framework from new use while preserving all historical usage and records.</t>
  </si>
  <si>
    <t>PRESALE WBS GAP — Framework deactivation not priced; nearest OPS-07 admin config (P2)</t>
  </si>
  <si>
    <t>8. Certification Configuration</t>
  </si>
  <si>
    <t>UC-SCH-001</t>
  </si>
  <si>
    <t>View Certification Scheme List</t>
  </si>
  <si>
    <t>Certification Scheme</t>
  </si>
  <si>
    <t>View the certification schemes configured on the platform.</t>
  </si>
  <si>
    <t>Implicit — OPS-07 cert configuration (P2) — no certification scheme entity is named</t>
  </si>
  <si>
    <t>UC-SCH-002</t>
  </si>
  <si>
    <t>View Certification Scheme Details</t>
  </si>
  <si>
    <t>View a scheme's record structure, permitted statuses, sharing rules and maintenance cycle configuration.</t>
  </si>
  <si>
    <t>Implicit — OPS-07 (P2) — no certification scheme entity is named</t>
  </si>
  <si>
    <t>UC-SCH-003</t>
  </si>
  <si>
    <t>Create Certification Scheme</t>
  </si>
  <si>
    <t>Define a new certification scheme linked to a framework, so certification records can be raised against it.</t>
  </si>
  <si>
    <t>PRESALE WBS GAP — No certification scheme object in the estimation; OPS-07 (P2) configures fields on records only</t>
  </si>
  <si>
    <t>UC-SCH-004</t>
  </si>
  <si>
    <t>Configure Certification Record Fields and Statuses</t>
  </si>
  <si>
    <t>Configure the fields captured on certification records and the permitted certification status values.</t>
  </si>
  <si>
    <t>OPS-07 Framework and cert configuration (P1); CP-39 Certification lifecycle statuses (P1)</t>
  </si>
  <si>
    <t>UC-SCH-005</t>
  </si>
  <si>
    <t>Configure Certification Sharing Rules</t>
  </si>
  <si>
    <t>Configure the certification sharing rules supported by the platform.</t>
  </si>
  <si>
    <t>OPS-07 Framework and cert configuration (P1)</t>
  </si>
  <si>
    <t>UC-SCH-006</t>
  </si>
  <si>
    <t>Configure Surveillance and Renewal Cycle Rules</t>
  </si>
  <si>
    <t>Define the surveillance interval, renewal lead time and milestone notification offsets for a scheme.</t>
  </si>
  <si>
    <t>PRESALE WBS GAP — Surveillance interval / renewal lead-time configuration not priced; CP-42 (P1) prices the alerts but not the rules</t>
  </si>
  <si>
    <t>UC-SCH-007</t>
  </si>
  <si>
    <t>Activate Certification Scheme</t>
  </si>
  <si>
    <t>Make a scheme available for new certification records.</t>
  </si>
  <si>
    <t>PRESALE WBS GAP — No scheme lifecycle in the estimation</t>
  </si>
  <si>
    <t>UC-SCH-008</t>
  </si>
  <si>
    <t>Deactivate Certification Scheme</t>
  </si>
  <si>
    <t>Withdraw a scheme from new use while preserving issued certification records.</t>
  </si>
  <si>
    <t>10. Platform &amp; Tenant Configuration</t>
  </si>
  <si>
    <t>UC-CFG-001</t>
  </si>
  <si>
    <t>Configure Platform Settings</t>
  </si>
  <si>
    <t>Platform Configuration</t>
  </si>
  <si>
    <t>Configure platform-level settings and per-tenant feature toggles so SGS can enable or disable supported modules without a release.</t>
  </si>
  <si>
    <t>B3 Platform configuration + feature toggles (P1)</t>
  </si>
  <si>
    <t>UC-CFG-002</t>
  </si>
  <si>
    <t>Configure Default Evidence Freshness Rules</t>
  </si>
  <si>
    <t>Define default freshness periods by framework or evidence type, applied where evidence carries no expiry or review date.</t>
  </si>
  <si>
    <t>PRESALE WBS GAP — Default freshness rules by framework/evidence type (PRD RL-07) not priced; CP-16 (P1) uses evidence dates only</t>
  </si>
  <si>
    <t>11. Customer Account Administration</t>
  </si>
  <si>
    <t>UC-ACC-001</t>
  </si>
  <si>
    <t>View Customer Account List</t>
  </si>
  <si>
    <t>SGS Admin, SGS User, SGS Consultant</t>
  </si>
  <si>
    <t>Customer Account</t>
  </si>
  <si>
    <t>View customer accounts within the user's permitted SGS affiliate/assignment boundary. SGS Consultants see only customers assigned to them.</t>
  </si>
  <si>
    <t>OPS-05 Customer and user administration (P1); Q&amp;A #59f</t>
  </si>
  <si>
    <t>UC-ACC-002</t>
  </si>
  <si>
    <t>View Customer Account Details</t>
  </si>
  <si>
    <t>View a customer account's core profile, affiliate linkage, users and scopes within the permitted boundary. SGS Consultants are limited to their assigned customer.</t>
  </si>
  <si>
    <t>UC-ACC-003</t>
  </si>
  <si>
    <t>Create Customer Account and Tenant</t>
  </si>
  <si>
    <t>Create a customer account and its tenant as part of SGS customer onboarding.</t>
  </si>
  <si>
    <t>OPS-04 SGS customer onboarding (P1)</t>
  </si>
  <si>
    <t>UC-ACC-004</t>
  </si>
  <si>
    <t>Edit Customer Account</t>
  </si>
  <si>
    <t>Update SGS-maintained account attributes.</t>
  </si>
  <si>
    <t>UC-ACC-005</t>
  </si>
  <si>
    <t>Link Customer Account to SGS Affiliate</t>
  </si>
  <si>
    <t>Assign the customer account to the owning SGS affiliate legal entity, which bounds all SGS-side visibility of that customer.</t>
  </si>
  <si>
    <t>CP-03 User roles &amp; permissions management (P1); OPS-05 Customer and user administration (P1)</t>
  </si>
  <si>
    <t>UC-ACC-006</t>
  </si>
  <si>
    <t>Assign SGS Personnel to Customer Account</t>
  </si>
  <si>
    <t>Assign SGS personnel/owners to a customer account within the permitted affiliate boundary. For the SGS Consultant role, allow at most one active Consultant to be assigned to a customer. Automated conflict-of-interest checking is not part of MVP.</t>
  </si>
  <si>
    <t>OPS-04 SGS customer onboarding (P1); Q&amp;A #56 — automated COI controls removed from MVP; Q&amp;A #59f — one Consultant per customer, assigned by SGS</t>
  </si>
  <si>
    <t>UC-ACC-007</t>
  </si>
  <si>
    <t>Invite Initial Customer Admin</t>
  </si>
  <si>
    <t>Create and invite the first Customer Admin for a newly onboarded tenant.</t>
  </si>
  <si>
    <t>OPS-04 SGS customer onboarding (P1); Q&amp;A #7</t>
  </si>
  <si>
    <t>UC-ACC-008</t>
  </si>
  <si>
    <t>Activate Customer Account</t>
  </si>
  <si>
    <t>Activate an account so its users may access the platform.</t>
  </si>
  <si>
    <t>UC-ACC-009</t>
  </si>
  <si>
    <t>Suspend Customer Account</t>
  </si>
  <si>
    <t>Suspend platform access for an account while retaining all data.</t>
  </si>
  <si>
    <t>Implicit — OPS-04 tenant activation status (P1); OPS-05 'disable access' (P1)</t>
  </si>
  <si>
    <t>UC-ACC-010</t>
  </si>
  <si>
    <t>Offboard Customer Account</t>
  </si>
  <si>
    <t>Close an account and apply the agreed retention, deletion or anonymisation treatment to its data.</t>
  </si>
  <si>
    <t>PRESALE WBS GAP — Offboarding with retention / deletion / anonymisation (PRD NFR-PRV-03/04) not priced</t>
  </si>
  <si>
    <t>12. Organization Profile Management</t>
  </si>
  <si>
    <t>UC-ORG-001</t>
  </si>
  <si>
    <t>View Organization Profile</t>
  </si>
  <si>
    <t>Customer Admin, Customer User</t>
  </si>
  <si>
    <t>Organization Profile</t>
  </si>
  <si>
    <t>View the organization's own profile as held on the platform.</t>
  </si>
  <si>
    <t>CP-04 Organization profile management (P1)</t>
  </si>
  <si>
    <t>UC-ORG-002</t>
  </si>
  <si>
    <t>Edit Organization Profile</t>
  </si>
  <si>
    <t>Maintain the organization's profile information supported by the platform.</t>
  </si>
  <si>
    <t>13. Scope Management</t>
  </si>
  <si>
    <t>UC-SCP-001</t>
  </si>
  <si>
    <t>View Scope List</t>
  </si>
  <si>
    <t>Customer Admin, Customer User (+ SGS User, SGS Trainer/Assessor, SGS Auditor/Certification, SGS Consultant — assigned, read-only)</t>
  </si>
  <si>
    <t>Scope Management</t>
  </si>
  <si>
    <t>View the product, system and organizational scopes registered by the organization within the permitted customer/assignment boundary.</t>
  </si>
  <si>
    <t>CP-06 Manage product/system/org scopes (P1);</t>
  </si>
  <si>
    <t>UC-SCP-002</t>
  </si>
  <si>
    <t>View Scope Details</t>
  </si>
  <si>
    <t>Customer Admin, Customer User (+ assigned SGS roles including SGS Consultant, read-only)</t>
  </si>
  <si>
    <t>View a scope's definition, obligation level, linked frameworks, workspaces, certifications and related context within the permitted assignment boundary.</t>
  </si>
  <si>
    <t xml:space="preserve">CP-06 Manage product/system/org scopes (P1); </t>
  </si>
  <si>
    <t>UC-SCP-003</t>
  </si>
  <si>
    <t>Create Scope</t>
  </si>
  <si>
    <t>Create an organization, product, or system scope. Organization and product are independent peer scopes; a system may belong to both an organization and a product.</t>
  </si>
  <si>
    <t>CP-06 Manage product/system/org scopes (P1); Q&amp;A #8</t>
  </si>
  <si>
    <t>UC-SCP-004</t>
  </si>
  <si>
    <t>Edit Scope</t>
  </si>
  <si>
    <t>Update an existing organization, product or system scope.</t>
  </si>
  <si>
    <t>UC-SCP-005</t>
  </si>
  <si>
    <t>Archive Scope</t>
  </si>
  <si>
    <t>Retire a scope from active use while retaining its historical records.</t>
  </si>
  <si>
    <t>PRESALE WBS GAP — Archive/retire preserving history not priced; CP-06 CRUD (P1) implies hard delete only</t>
  </si>
  <si>
    <t>UC-SCP-006</t>
  </si>
  <si>
    <t>Link Framework to Scope</t>
  </si>
  <si>
    <t>Attach one or more frameworks to a scope, establishing the obligations to be prepared for and triggering workspace creation.</t>
  </si>
  <si>
    <t>CP-06 Manage product/system/org scopes (P1)</t>
  </si>
  <si>
    <t>UC-SCP-007</t>
  </si>
  <si>
    <t>Unlink Framework from Scope</t>
  </si>
  <si>
    <t>Withdraw a framework from a scope's active journey while retaining its evidence and review history.</t>
  </si>
  <si>
    <t>PRESALE WBS GAP — Unlinking a framework from a scope is not priced</t>
  </si>
  <si>
    <t>UC-SCP-008</t>
  </si>
  <si>
    <t>Define Obligation Coverage Between Scopes</t>
  </si>
  <si>
    <t>Record that an organization-level scope, control or certification supports one or more product- or system-level obligations.</t>
  </si>
  <si>
    <t>A1 Organization-level to product/system-level obligation linkage (P1)</t>
  </si>
  <si>
    <t>14. Customer Cockpit</t>
  </si>
  <si>
    <t>UC-CKP-001</t>
  </si>
  <si>
    <t>View Customer Cockpit</t>
  </si>
  <si>
    <t>Customer Admin, Customer User, Customer Viewer</t>
  </si>
  <si>
    <t>Customer Cockpit</t>
  </si>
  <si>
    <t>View the customer landing dashboard with Digital Trust status, pending actions and a recommended next step across the journey (discovery → training → advisory/readiness assessment → certification).</t>
  </si>
  <si>
    <t>CP-07 Customer landing dashboard (P1); Q&amp;A #10</t>
  </si>
  <si>
    <t>Suggest to be included in P1</t>
  </si>
  <si>
    <t>UC-CKP-002</t>
  </si>
  <si>
    <t>View Portfolio Matrix</t>
  </si>
  <si>
    <t>View scopes against journey stages and frameworks in a matrix to compare progress across the portfolio.</t>
  </si>
  <si>
    <t>CP-08 Journey Matrix view (P1)</t>
  </si>
  <si>
    <t>UC-CKP-003</t>
  </si>
  <si>
    <t>View Assigned Customer Cockpit</t>
  </si>
  <si>
    <t>SGS User, SGS Trainer/Assessor, SGS Auditor/Certification, SGS Consultant</t>
  </si>
  <si>
    <t>SGS Cockpit</t>
  </si>
  <si>
    <t>View the trimmed cockpit for an assigned customer, showing only information permitted for the role's customer assignment and access permissions.</t>
  </si>
  <si>
    <t>PRESALE WBS GAP — Trimmed SGS Assessor/Auditor cockpit (PRD CC-16, NFR-UX-02); Q&amp;A #59a/#59f extends assigned-customer access to SGS Consultant</t>
  </si>
  <si>
    <t>15. Customer Journey</t>
  </si>
  <si>
    <t>UC-JRN-001</t>
  </si>
  <si>
    <t>View Journey for a Scope</t>
  </si>
  <si>
    <t>Customer Admin, Customer User, Customer Viewer (+ assigned SGS roles, read-only)</t>
  </si>
  <si>
    <t>Customer Journey</t>
  </si>
  <si>
    <t>View the Discovery → Training → Gap Analysis → Assessment → Audit → Certification journey for a scope, with per-stage status, pending items and entry points into the responsible module.</t>
  </si>
  <si>
    <t>CP-09 Journey view (linear stages) (P1)</t>
  </si>
  <si>
    <t>UC-JRN-002</t>
  </si>
  <si>
    <t>View Framework-Specific Journey Progress</t>
  </si>
  <si>
    <t>View journey progress separately per framework where a scope carries several frameworks.</t>
  </si>
  <si>
    <t>UC-JRN-003</t>
  </si>
  <si>
    <t>View Obligation Coverage Relationship</t>
  </si>
  <si>
    <t>See where an organization-level control, framework or certification satisfies a product- or system-level obligation.</t>
  </si>
  <si>
    <t>UC-JRN-004</t>
  </si>
  <si>
    <t>Derive Journey Stage Status</t>
  </si>
  <si>
    <t>Derive each stage's status from readiness, review, service request and certification state, and mark stages not started, in progress, completed, blocked or not applicable.</t>
  </si>
  <si>
    <t>Implicit — CP-09 'Stage status labels' (P1) — the derivation rules per stage are not itemised</t>
  </si>
  <si>
    <t>17. Evidence Management</t>
  </si>
  <si>
    <t>UC-EVD-001</t>
  </si>
  <si>
    <t>Create Evidence Workspace</t>
  </si>
  <si>
    <t>Evidence Management</t>
  </si>
  <si>
    <t>Manually create an Evidence Workspace for a selected scope and framework for the current certification cycle. Only one workspace may exist for the same scope+framework within a certification cycle.</t>
  </si>
  <si>
    <t>CP-13 Evidence workspace creation (P1); Q&amp;A #19</t>
  </si>
  <si>
    <t>UC-EVD-002</t>
  </si>
  <si>
    <t>Create Evidence Workspace on Framework Activation</t>
  </si>
  <si>
    <t>Automatically create the Evidence Workspace when a framework is activated on a scope, preventing duplicates for the same scope+framework in the current certification cycle. A new certification cycle creates a new workspace.</t>
  </si>
  <si>
    <t>UC-EVD-003</t>
  </si>
  <si>
    <t>View Evidence Workspace List</t>
  </si>
  <si>
    <t>View and open the organization's Evidence Workspaces with their scope, framework and certification-cycle context.</t>
  </si>
  <si>
    <t>UC-EVD-004</t>
  </si>
  <si>
    <t>Browse Controls Catalogue</t>
  </si>
  <si>
    <t>Browse the requirements and controls of the workspace's framework with their current evidence and declaration state.</t>
  </si>
  <si>
    <t>CP-14 Controls catalogue browser (P1)</t>
  </si>
  <si>
    <t>UC-EVD-005</t>
  </si>
  <si>
    <t>View Control Details</t>
  </si>
  <si>
    <t>View a control's text, expected evidence types, mapped evidence, maturity declaration and gap flags.</t>
  </si>
  <si>
    <t>UC-EVD-006</t>
  </si>
  <si>
    <t>View Evidence Library</t>
  </si>
  <si>
    <t>View all evidence held by the organization with metadata, mapping summary and status.</t>
  </si>
  <si>
    <t>CP-15 Evidence library (P1)</t>
  </si>
  <si>
    <t>UC-EVD-007</t>
  </si>
  <si>
    <t>View Evidence Details</t>
  </si>
  <si>
    <t>View an evidence item's stored file, metadata, mapped controls, freshness and current evidence/review status.</t>
  </si>
  <si>
    <t>UC-EVD-008</t>
  </si>
  <si>
    <t>Upload Evidence</t>
  </si>
  <si>
    <t>Upload an evidence file against one or more controls and capture supported metadata such as title, owner, description, version, dates, expiry/review date and comments.</t>
  </si>
  <si>
    <t>CP-16 Upload evidence to control (P1); CP-49 Secure evidence document storage (P1); Q&amp;A #54</t>
  </si>
  <si>
    <t>UC-EVD-010</t>
  </si>
  <si>
    <t>Edit Evidence Metadata</t>
  </si>
  <si>
    <t>Update an evidence item's metadata, including the dates that drive freshness.</t>
  </si>
  <si>
    <t>CP-16 Upload evidence to control (P1); CP-15 Evidence library (P1)</t>
  </si>
  <si>
    <t>UC-EVD-011</t>
  </si>
  <si>
    <t>Map Evidence to Requirements or Controls</t>
  </si>
  <si>
    <t>Manually map an existing evidence item to one or more requirements/controls selected by the user, including across frameworks where permitted. Updating shared evidence metadata/expiry applies to all linked controls; no automatic cross-framework control-equivalence mapping is included.</t>
  </si>
  <si>
    <t>CP-16 Upload evidence to control (P1); Q&amp;A #20; Q&amp;A #18 — automatic ISO 27001/42001 cross-framework mapping is OUT OF MVP</t>
  </si>
  <si>
    <t>UC-EVD-012</t>
  </si>
  <si>
    <t>Remove Evidence Mapping</t>
  </si>
  <si>
    <t>Remove a mapping between an evidence item and a control, with the completeness impact reflected.</t>
  </si>
  <si>
    <t>CP-15 Evidence library (P1); CP-16 Upload evidence to control (P1)</t>
  </si>
  <si>
    <t>UC-EVD-013</t>
  </si>
  <si>
    <t>Replace Evidence with New Version</t>
  </si>
  <si>
    <t>Supersede an evidence item with an updated version, retaining the prior version and its review history.</t>
  </si>
  <si>
    <t>PRESALE WBS GAP — Evidence version supersession is not priced; CP-16 (P1) has 'version' as a metadata field only, not a version chain</t>
  </si>
  <si>
    <t>UC-EVD-014</t>
  </si>
  <si>
    <t>Update Evidence Workflow Status</t>
  </si>
  <si>
    <t>Update evidence workflow status using the MVP status model defined in WBS (draft, submitted for review, reviewed, rejected, accepted or archived), subject to permitted transitions.</t>
  </si>
  <si>
    <t>CP-20 Evidence workflow statuses (P1)</t>
  </si>
  <si>
    <t>UC-EVD-015</t>
  </si>
  <si>
    <t>Delete Evidence</t>
  </si>
  <si>
    <t>Permanently delete an evidence record and its stored file where retention policy permits, with the deletion recorded in the audit trail.</t>
  </si>
  <si>
    <t>CP-15 Evidence library (P1); CP-47 Audit log (P1)</t>
  </si>
  <si>
    <t>UC-EVD-016</t>
  </si>
  <si>
    <t>Assign Requirement Owner</t>
  </si>
  <si>
    <t>Assign an internal owner to a requirement or control so preparation work and pending actions can be attributed.</t>
  </si>
  <si>
    <t>Implicit — CP-17 'owner/comments' on the maturity declaration (P1) — requirement-level owner assignment not named</t>
  </si>
  <si>
    <t>UC-EVD-019</t>
  </si>
  <si>
    <t>Archive Evidence Workspace</t>
  </si>
  <si>
    <t>Close a workspace that is no longer active while retaining its evidence, declarations and review history.</t>
  </si>
  <si>
    <t>PRESALE WBS GAP — Workspace closure not priced; CP-20 (P2) archives evidence and packages, not workspaces</t>
  </si>
  <si>
    <t>UC-EVD-020</t>
  </si>
  <si>
    <t>Access Assigned Customer Evidence</t>
  </si>
  <si>
    <t>SGS Trainer/Assessor, SGS Auditor/Certification, SGS Consultant</t>
  </si>
  <si>
    <t>Access the assigned customer's evidence and related requirement/control context within the permitted service/customer assignment. SGS Consultant access supports Implementation Support and Gap Analysis; customer evidence remains maintained through the existing Evidence Management workflow.</t>
  </si>
  <si>
    <t>OPS-09 SGS scoped evidence access (P1); Q&amp;A #56 — automated COI controls removed from MVP</t>
  </si>
  <si>
    <t>18. Self-Assessment &amp; Maturity Declaration</t>
  </si>
  <si>
    <t>UC-ASM-001</t>
  </si>
  <si>
    <t>Declare Control Maturity</t>
  </si>
  <si>
    <t>Self-Assessment</t>
  </si>
  <si>
    <t>Declare control maturity as implemented, partial, not implemented or N/A and capture the owner/comments supported by the WBS.</t>
  </si>
  <si>
    <t>CP-17 Maturity self-declaration (P1)</t>
  </si>
  <si>
    <t>UC-ASM-002</t>
  </si>
  <si>
    <t>Update Maturity Declaration</t>
  </si>
  <si>
    <t>Update the customer's maturity declaration for a control, including status, owner and comments.</t>
  </si>
  <si>
    <t>UC-ASM-003</t>
  </si>
  <si>
    <t>View Self-Assessment Summary</t>
  </si>
  <si>
    <t>Customer Admin, Customer User (+ assigned SGS roles, read-only)</t>
  </si>
  <si>
    <t>View the distribution of maturity declarations across a framework or scope and the requirements still undeclared.</t>
  </si>
  <si>
    <t>Implicit — CP-23 'Surface maturity self-declaration' (P1) — no dedicated self-assessment summary view</t>
  </si>
  <si>
    <t>19. Readiness Indicators</t>
  </si>
  <si>
    <t>UC-RDN-001</t>
  </si>
  <si>
    <t>Calculate Readiness Indicators</t>
  </si>
  <si>
    <t>Readiness Indicators</t>
  </si>
  <si>
    <t>Calculate evidence completeness and freshness and roll them up with maturity declarations, rule-based gaps and review states at the applicable scope/framework level.</t>
  </si>
  <si>
    <t>CP-23 View readiness indicators (P1)</t>
  </si>
  <si>
    <t>UC-RDN-002</t>
  </si>
  <si>
    <t>Evaluate Rule-Based Gap Indicators</t>
  </si>
  <si>
    <t>Apply deterministic MVP gap rules such as implemented without evidence, outdated evidence and missing maturity declaration, and explain each flag.</t>
  </si>
  <si>
    <t>CP-18 Rule-based gap indicators (P1)</t>
  </si>
  <si>
    <t>UC-RDN-003</t>
  </si>
  <si>
    <t>Detect Outdated Evidence</t>
  </si>
  <si>
    <t>Flag evidence as outdated when its expiry or review date drives a freshness issue and surface the result in readiness indicators.</t>
  </si>
  <si>
    <t>CP-16 Upload evidence to control (P1); CP-23 View readiness indicators (P1)</t>
  </si>
  <si>
    <t>UC-RDN-004</t>
  </si>
  <si>
    <t>View Readiness Indicators</t>
  </si>
  <si>
    <t>Customer Admin, Customer User, Customer Viewer (+ assigned SGS roles including SGS Consultant, read-only)</t>
  </si>
  <si>
    <t>View a centralized readiness overview within Evidence Management for the selected scope/framework, including completeness, freshness, declared maturity, gap and review indicators, with drill-down to contributing requirements and evidence.</t>
  </si>
  <si>
    <t>CP-23 View readiness indicators (P1); Q&amp;A #23 — client confirmed centralized readiness overview integrated in Evidence Management</t>
  </si>
  <si>
    <t>UC-RDN-005</t>
  </si>
  <si>
    <t>View Gap List</t>
  </si>
  <si>
    <t>Customer Admin, Customer User, SGS Consultant (assigned, read-only)</t>
  </si>
  <si>
    <t>View the open rule-based gaps for a scope or framework with the explanation of the triggering condition. Assigned SGS Consultants may use this view to support Gap Analysis without creating separate structured gap-status or action-item records.</t>
  </si>
  <si>
    <t>20. Training &amp; SGS Academy</t>
  </si>
  <si>
    <t>UC-TRN-001</t>
  </si>
  <si>
    <t>Browse SGS Academy Course Catalogue</t>
  </si>
  <si>
    <t>SGS Academy</t>
  </si>
  <si>
    <t>Browse the Academy catalogue retrieved from the Academy API, with a graceful message where the catalogue is unavailable.</t>
  </si>
  <si>
    <t>CP-29 Course catalogue integration (P1)</t>
  </si>
  <si>
    <t>UC-TRN-002</t>
  </si>
  <si>
    <t>View Course Details</t>
  </si>
  <si>
    <t>View the course information returned by SGS Academy for a selected catalogue item.</t>
  </si>
  <si>
    <t>UC-TRN-004</t>
  </si>
  <si>
    <t>Proceed to SGS Academy for Enrolment</t>
  </si>
  <si>
    <t>Hand off to SGS Academy for enrolment, cart and payment, which remain owned by Academy.</t>
  </si>
  <si>
    <t>CP-31 Redirect to Academy for enrolment (P1)</t>
  </si>
  <si>
    <t>UC-TRN-005</t>
  </si>
  <si>
    <t>Retrieve Training Badges from Academy</t>
  </si>
  <si>
    <t>Retrieve completed-course badge information from the Academy API and associate each badge with the corresponding user profile.</t>
  </si>
  <si>
    <t>CP-32 Training badges display (P1)</t>
  </si>
  <si>
    <t>UC-TRN-006</t>
  </si>
  <si>
    <t>View Training Badges</t>
  </si>
  <si>
    <t>rket</t>
  </si>
  <si>
    <t>View completed-course training badges on the dedicated badges/profile view, clearly distinguished from certifications.</t>
  </si>
  <si>
    <t>UC-TRN-008</t>
  </si>
  <si>
    <t>Link Badge to User Profile</t>
  </si>
  <si>
    <t>Allow badges to be linked to the user profile and, where appropriate, to the customer organization training/capability view.</t>
  </si>
  <si>
    <t>Explicit — CP-32 'Profile badges page' (P1) — organization capability view not named</t>
  </si>
  <si>
    <t xml:space="preserve">UC-TRN-009 </t>
  </si>
  <si>
    <t>Browse On-site Training Catalogue</t>
  </si>
  <si>
    <t>Training &amp; SGS Academy</t>
  </si>
  <si>
    <t>View the catalogue of available on-site training services in DTP. DTP only displays/tracks on-site training for MVP and does not manage the actual training delivery.</t>
  </si>
  <si>
    <t>21. Service Request</t>
  </si>
  <si>
    <t>UC-SRQ-001</t>
  </si>
  <si>
    <t>Submit Service Request</t>
  </si>
  <si>
    <t>Service Request</t>
  </si>
  <si>
    <t>Submit a service request for an existing WBS-supported category, linked to the relevant scope/framework/certification. When launched from Evidence Management, pre-fill the scope, framework and evidence context. A Service Request may also be initiated from a Marketplace Consultant profile, in which case the customer-selected Consultant is carried into the Service Request.</t>
  </si>
  <si>
    <t>CP-34 Submit service request (P1); A4 Service request trigger from Evidence Management (P1); Q&amp;A #33 category detail still to confirm</t>
  </si>
  <si>
    <t>UC-SRQ-002</t>
  </si>
  <si>
    <t>View Service Request List</t>
  </si>
  <si>
    <t>Customer Admin, Customer User, SGS User, SGS Trainer/Assessor, SGS Auditor/Certification, SGS Consultant</t>
  </si>
  <si>
    <t>View service requests within the permitted boundary: own organization for customers, assigned customers for SGS users, assigned activities for auditors, and consulting-related requests for the SGS Consultant's assigned customer.</t>
  </si>
  <si>
    <t>CP-36 Service request listing (P1); OPS-18 Service request operations (P1)</t>
  </si>
  <si>
    <t>UC-SRQ-003</t>
  </si>
  <si>
    <t>View Service Request Details</t>
  </si>
  <si>
    <t>View a request's full content, linked scope and evidence, status history and customer-visible correspondence within the permitted boundary. SGS Consultants are limited to consulting-related requests for their assigned customer.</t>
  </si>
  <si>
    <t>CP-35 Service request status flow &amp; notification (P1); Q&amp;A #59f/#59g</t>
  </si>
  <si>
    <t>UC-SRQ-004</t>
  </si>
  <si>
    <t>Cancel Service Request</t>
  </si>
  <si>
    <t>Withdraw a submitted request that is no longer required, before SGS delivery begins.</t>
  </si>
  <si>
    <t>PRESALE WBS GAP — Customer cancellation/withdrawal is not priced and is absent from the CP-35 status set (P1)</t>
  </si>
  <si>
    <t>UC-SRQ-005</t>
  </si>
  <si>
    <t>Triage Service Request</t>
  </si>
  <si>
    <t>SGS User</t>
  </si>
  <si>
    <t>Assess a submitted request and accept or reject it with a reason.</t>
  </si>
  <si>
    <t>OPS-18 Service request operations (P1); CP-35 Service request status flow &amp; notification (P1)</t>
  </si>
  <si>
    <t>UC-SRQ-006</t>
  </si>
  <si>
    <t>Assign Service Request</t>
  </si>
  <si>
    <t>SGS Admin, SGS User</t>
  </si>
  <si>
    <t>Assign or confirm the responsible SGS personnel for a Service Request based on the service type. For consulting requests, SGS may assign/confirm a Consultant, taking into account a customer-selected Consultant where applicable. For audit-related requests, SGS may assign the appropriate Auditor/Certification personnel.</t>
  </si>
  <si>
    <t>OPS-18 Service request operations (P1); Q&amp;A #34 manual assignment; Q&amp;A #56 automated COI enforcement removed from MVP; Q&amp;A #59f Consultant assignment by SGS</t>
  </si>
  <si>
    <t>UC-SRQ-007</t>
  </si>
  <si>
    <t>Update Service Request Status</t>
  </si>
  <si>
    <t>SGS User, SGS Trainer/Assessor, SGS Auditor/Certification</t>
  </si>
  <si>
    <t>Advance a request through its lifecycle to in progress or closed, triggering customer notification.</t>
  </si>
  <si>
    <t>UC-SRQ-008</t>
  </si>
  <si>
    <t>Add Internal Comment to Service Request</t>
  </si>
  <si>
    <t>Record internal SGS notes that are not visible to the customer.</t>
  </si>
  <si>
    <t>OPS-18 Service request operations (P1)</t>
  </si>
  <si>
    <t>UC-SRQ-009</t>
  </si>
  <si>
    <t>Request Information from Customer</t>
  </si>
  <si>
    <t>SGS User, SGS Trainer/Assessor</t>
  </si>
  <si>
    <t>Ask the customer for further information on a request and set it to information requested.</t>
  </si>
  <si>
    <t>CP-35 Service request status flow &amp; notification (P1); OPS-18 Service request operations (P1)</t>
  </si>
  <si>
    <t>UC-SRQ-010</t>
  </si>
  <si>
    <t>Respond to Information Request</t>
  </si>
  <si>
    <t>Provide the requested information so the request can proceed.</t>
  </si>
  <si>
    <t>PRESALE WBS GAP — No customer reply channel on a service request is priced; CP-25 (P1) is the review response, a different object</t>
  </si>
  <si>
    <t>22. Review Workflow</t>
  </si>
  <si>
    <t>UC-REV-001</t>
  </si>
  <si>
    <t>Create Review</t>
  </si>
  <si>
    <t>Review Workflow</t>
  </si>
  <si>
    <t>Create a review for the relevant customer, scope, framework, service request and evidence context. MVP supports exactly two review types — Readiness Assessment Review and Audit Review — and both are initiated by SGS; customers do not initiate reviews.</t>
  </si>
  <si>
    <t>OPS-12 Create review (P1); A2 review-context separation (P1); Q&amp;A #24/#25</t>
  </si>
  <si>
    <t>UC-REV-002</t>
  </si>
  <si>
    <t>Assign Reviewer to Review</t>
  </si>
  <si>
    <t>Assign the SGS person who will conduct the review.</t>
  </si>
  <si>
    <t>PRESALE WBS GAP — Reviewer assignment is not priced; OPS-12 (P1) has no assignment bullet, CP-27 (P2) only displays assignment</t>
  </si>
  <si>
    <t>UC-REV-003</t>
  </si>
  <si>
    <t>View Review Queue</t>
  </si>
  <si>
    <t>View assigned reviews with open items, items pending customer action and closed items.</t>
  </si>
  <si>
    <t>CP-27 Review list &amp; queues (P1)</t>
  </si>
  <si>
    <t>UC-REV-004</t>
  </si>
  <si>
    <t>View Review Details</t>
  </si>
  <si>
    <t>SGS User, SGS Trainer/Assessor, SGS Auditor/Certification, Customer Admin, Customer User</t>
  </si>
  <si>
    <t>View review context, scope/framework, relevant evidence, comments, requests, requirement/control-level review statuses and the derived overall Review status, filtered to what each role is permitted to see.</t>
  </si>
  <si>
    <t>OPS-13 SGS review evidence and controls (P1); CP-25 Customer review response (P1); Q&amp;A #26 meeting confirmation</t>
  </si>
  <si>
    <t>UC-REV-005</t>
  </si>
  <si>
    <t>Update Requirement / Control Review Status</t>
  </si>
  <si>
    <t>SGS Trainer/Assessor, SGS Auditor/Certification</t>
  </si>
  <si>
    <t>Manually update the review status of each applicable Requirement/Criteria or Control within a Review. Different review items within the same Review may have different statuses at the same time.</t>
  </si>
  <si>
    <t>CP-26 Review status per control (P1); Q&amp;A #26 — client confirmed item-level status is manually updated by SGS</t>
  </si>
  <si>
    <t>UC-REV-006</t>
  </si>
  <si>
    <t>Add Review Comment</t>
  </si>
  <si>
    <t>Comment at evidence level or requirement level within the review thread.</t>
  </si>
  <si>
    <t>OPS-13 SGS review evidence and controls (P1)</t>
  </si>
  <si>
    <t>UC-REV-007</t>
  </si>
  <si>
    <t>Request Clarification or Additional Evidence</t>
  </si>
  <si>
    <t>Raise a request to the customer for clarification or further evidence and set the item to await a response.</t>
  </si>
  <si>
    <t>OPS-13 SGS review evidence and controls (P1); CP-26 Review status per control (P1)</t>
  </si>
  <si>
    <t>UC-REV-008</t>
  </si>
  <si>
    <t>Raise Finding</t>
  </si>
  <si>
    <t>Record a finding against a requirement, with its classification and the response required.</t>
  </si>
  <si>
    <t>PRESALE WBS GAP — No finding object is priced; CP-25 (P1) prices the customer's response to findings that nothing creates</t>
  </si>
  <si>
    <t>UC-REV-011</t>
  </si>
  <si>
    <t>View Review Feedback</t>
  </si>
  <si>
    <t>View SGS comments, clarification requests and findings for the user's assigned scope, labelled with the review context.</t>
  </si>
  <si>
    <t>CP-25 Customer review response (P1)</t>
  </si>
  <si>
    <t>UC-REV-012</t>
  </si>
  <si>
    <t>Respond to Review Request</t>
  </si>
  <si>
    <t>Respond to a comment or clarification request and attach or revise evidence.</t>
  </si>
  <si>
    <t>UC-REV-013</t>
  </si>
  <si>
    <t>Submit Corrective Action</t>
  </si>
  <si>
    <t>Submit a corrective action against a finding, with the action taken and its evidence.</t>
  </si>
  <si>
    <t>UC-REV-014</t>
  </si>
  <si>
    <t>Evaluate Customer Response</t>
  </si>
  <si>
    <t>Evaluate a customer's clarification, revised evidence or corrective-action response and update the review item/status accordingly.</t>
  </si>
  <si>
    <t>UC-REV-015</t>
  </si>
  <si>
    <t>Close Review</t>
  </si>
  <si>
    <t>Formally close a Review after all applicable Requirements/Criteria and Controls have been completed. Final closure is performed manually by an authorized SGS reviewer after the system-derived overall status indicates the review is ready for closure.</t>
  </si>
  <si>
    <t>CP-26 Review status per control (P1); Q&amp;A #26 — client confirmed manual item-level status, automatic overall roll-up and manual final Review closure by SGS</t>
  </si>
  <si>
    <t>UC-REV-016</t>
  </si>
  <si>
    <t>Derive Overall Review Status</t>
  </si>
  <si>
    <t>Automatically derive and update the overall Review status from the statuses of the applicable Requirements/Criteria and Controls within the Review. The derived status supports progress visibility and determines when the Review is eligible for final manual closure.</t>
  </si>
  <si>
    <t>CP-26 Review status per control (P1); Q&amp;A #26 — client confirmed automatic overall Review status roll-up</t>
  </si>
  <si>
    <t>23. Certification Record Management</t>
  </si>
  <si>
    <t>UC-CRT-001</t>
  </si>
  <si>
    <t>Create Certification Record</t>
  </si>
  <si>
    <t>Certification Record</t>
  </si>
  <si>
    <t>Manually create a certification record for an assigned customer and scope/framework using the configured certification fields.</t>
  </si>
  <si>
    <t>OPS-21 SGS cert record administration (P1); Q&amp;A #36 manual SGS creation for MVP</t>
  </si>
  <si>
    <t>UC-CRT-002</t>
  </si>
  <si>
    <t>Edit Certification Record</t>
  </si>
  <si>
    <t>Update permitted certification record fields, with every change captured in the audit trail.</t>
  </si>
  <si>
    <t>OPS-21 SGS cert record administration (P1)</t>
  </si>
  <si>
    <t>UC-CRT-003</t>
  </si>
  <si>
    <t>View Certification Record List</t>
  </si>
  <si>
    <t>Customer Admin, Customer User, Customer Viewer, SGS User, SGS Admin</t>
  </si>
  <si>
    <t>View certification records within the permitted boundary, with framework, scope, status and expiry.</t>
  </si>
  <si>
    <t>CP-37 Certification listing (P1)</t>
  </si>
  <si>
    <t>25. Certification Maintenance</t>
  </si>
  <si>
    <t>UC-CMT-001</t>
  </si>
  <si>
    <t>Update Certification Lifecycle Status</t>
  </si>
  <si>
    <t>Certification Maintenance</t>
  </si>
  <si>
    <t>Update the certification lifecycle status using the MVP statuses defined in WBS, including active, surveillance, pending renewal, suspended, withdrawn and expired, with SGS-controlled transitions.</t>
  </si>
  <si>
    <t>CP-39 Certification lifecycle statuses (P1); Q&amp;A #38 confirms recurrence differs by standard (no additional recurrence feature added beyond current WBS)</t>
  </si>
  <si>
    <t>UC-CMT-002</t>
  </si>
  <si>
    <t>Generate Certification Milestone Notification</t>
  </si>
  <si>
    <t>Generate alerts for upcoming certification renewal or surveillance milestones and surface them through the MVP notification mechanism.</t>
  </si>
  <si>
    <t>CP-42 Cert renewal/surveillance notifications (P1)</t>
  </si>
  <si>
    <t>UC-CMT-003</t>
  </si>
  <si>
    <t>Suspend Certification</t>
  </si>
  <si>
    <t>SGS Auditor/Certification</t>
  </si>
  <si>
    <t>Suspend a certification, with reason and effective date, and reflect the suspension in internal and shared views.</t>
  </si>
  <si>
    <t>Explicit — CP-39 'suspended' + 'Transitions by SGS' (P1)</t>
  </si>
  <si>
    <t>UC-CMT-004</t>
  </si>
  <si>
    <t>Withdraw Certification</t>
  </si>
  <si>
    <t>Withdraw a certification permanently, with reason and effective date, and revoke any external sharing of it.</t>
  </si>
  <si>
    <t>Explicit — CP-39 'withdrawn' + 'Transitions by SGS' (P1)</t>
  </si>
  <si>
    <t>UC-CMT-005</t>
  </si>
  <si>
    <t>Expire Certification</t>
  </si>
  <si>
    <t>Set a certification to expired when its validity period ends without renewal.</t>
  </si>
  <si>
    <t>Explicit — CP-39 'expired' (P1) — automatic expiry job not named</t>
  </si>
  <si>
    <t>UC-CMT-006</t>
  </si>
  <si>
    <t>Reinstate Certification</t>
  </si>
  <si>
    <t>Return a suspended or expired certification to active status with the basis recorded.</t>
  </si>
  <si>
    <t>Implicit — CP-39 'Transitions by SGS' (P1) — reinstatement is not among the named transitions</t>
  </si>
  <si>
    <t>UC-CMT-007</t>
  </si>
  <si>
    <t>Notify the customer and the assigned SGS user of approaching expiry, renewal and surveillance milestones, per the scheme's configured offsets.</t>
  </si>
  <si>
    <t>Explicit — CP-42 Cert renewal/surveillance notifications — 'Scheduled jobs' (P1)</t>
  </si>
  <si>
    <t>26. Digital Trust Passport &amp; External Sharing</t>
  </si>
  <si>
    <t>UC-PSP-001</t>
  </si>
  <si>
    <t>View Digital Trust Passport</t>
  </si>
  <si>
    <t>Digital Trust Passport</t>
  </si>
  <si>
    <t>View the customer's Digital Trust Passport / trust view showing certification information and other approved current trust information supported by the Phase 1 WBS.</t>
  </si>
  <si>
    <t>UC-PSP-002</t>
  </si>
  <si>
    <t>Configure Certification Visibility</t>
  </si>
  <si>
    <t>Decide which certifications are visible internally and which may be shared externally.</t>
  </si>
  <si>
    <t>CP-40 Internal/external visibility controls (P1); Q&amp;A #39 detail still to confirm</t>
  </si>
  <si>
    <t>UC-PSP-003</t>
  </si>
  <si>
    <t>Select Trust Information for Sharing</t>
  </si>
  <si>
    <t>Select which supported trust information is visible internally or externally, according to the configured visibility controls.</t>
  </si>
  <si>
    <t>CP-40 Internal/external visibility controls (P1)</t>
  </si>
  <si>
    <t>UC-PSP-004</t>
  </si>
  <si>
    <t>Generate Shareable Trust Profile Link</t>
  </si>
  <si>
    <t>Generate a tokenized, read-only trust-profile link for external stakeholders, with expiry/revocation supported by the WBS. DTP login is not required for the recipient.</t>
  </si>
  <si>
    <t>CP-41 Shareable trust profile link (P1); Q&amp;A #40/#41</t>
  </si>
  <si>
    <t>UC-PSP-005</t>
  </si>
  <si>
    <t>View Shared Trust Profile</t>
  </si>
  <si>
    <t>External Stakeholder</t>
  </si>
  <si>
    <t>External Shared View (No Portal)</t>
  </si>
  <si>
    <t>View approved certification and trust information through a valid external share link without a DTP login, subject to link validity and the configured sharing controls.</t>
  </si>
  <si>
    <t>CP-41 Shareable trust profile link (P1); Q&amp;A #40</t>
  </si>
  <si>
    <t>UC-PSP-007</t>
  </si>
  <si>
    <t>View Trust Profile Access Log</t>
  </si>
  <si>
    <t>View when and by whom a shared trust profile was accessed.</t>
  </si>
  <si>
    <t>PRESALE WBS GAP — No customer-facing share access log is priced; CP-47 (P1) logs sharing actions for SGS Admin only</t>
  </si>
  <si>
    <t>27. Operations Monitoring &amp; Reporting</t>
  </si>
  <si>
    <t>UC-OPS-001</t>
  </si>
  <si>
    <t>View SGS Operations Dashboard</t>
  </si>
  <si>
    <t>Operations Monitoring</t>
  </si>
  <si>
    <t>View operational metrics within the affiliate and assignment boundary: active customers, open service requests, pending reviews, upcoming certification milestones, with drill-down to the underlying queues.</t>
  </si>
  <si>
    <t>OPS-06 Admin overview dashboard (P1)</t>
  </si>
  <si>
    <t>UC-OPS-002</t>
  </si>
  <si>
    <t>Monitor Assigned Customer Journeys</t>
  </si>
  <si>
    <t>Monitor journey stage and readiness progress across assigned customers to identify where SGS engagement is needed.</t>
  </si>
  <si>
    <t>CP-09 Journey view (P1); OPS-06 Admin overview dashboard (P1)</t>
  </si>
  <si>
    <t>UC-OPS-003</t>
  </si>
  <si>
    <t>Monitor Integration Health</t>
  </si>
  <si>
    <t>Review integration failures and degraded-mode events exposed by the platform so operational intervention can be taken where required.</t>
  </si>
  <si>
    <t>CP-50 Integration error handling (P1)</t>
  </si>
  <si>
    <t>28. Consulting Services</t>
  </si>
  <si>
    <t>UC-CNS-001</t>
  </si>
  <si>
    <t>Add Consulting Comment</t>
  </si>
  <si>
    <t>SGS Consultant</t>
  </si>
  <si>
    <t>Consulting Services</t>
  </si>
  <si>
    <t>Add customer-visible consulting comments within the assigned customer's requirement/control/evidence or gap context to support Implementation Support and Gap Analysis. MVP does not include structured recommendation/action-item tracking, consulting progress statuses or a system-generated final deliverable.</t>
  </si>
  <si>
    <t>PRESALE WBS GAP — New customer-confirmed Consultant capability</t>
  </si>
  <si>
    <t>UC-CNS-002</t>
  </si>
  <si>
    <t>View Consulting Comments</t>
  </si>
  <si>
    <t>Customer Admin, Customer User, SGS Consultant</t>
  </si>
  <si>
    <t>View consulting comments associated with the customer's compliance/evidence context. Customers may provide additional evidence through the existing Evidence Management flow, but MVP does not include chat or reply interaction on Consultant comments.</t>
  </si>
  <si>
    <t>PRESALE WBS GAP — New customer-confirmed Consultant collaboration behavior</t>
  </si>
  <si>
    <t>29. DT Marketplace</t>
  </si>
  <si>
    <t>UC-MKT-001</t>
  </si>
  <si>
    <t>View DT Marketplace</t>
  </si>
  <si>
    <t>DT Marketplace</t>
  </si>
  <si>
    <t>View the DT Marketplace landing page and access the available Marketplace categories for MVP: Pentesting Services and Consultants.</t>
  </si>
  <si>
    <t>NEW – Customer-confirmed Marketplace scope; Xavier confirmation 10-Sep-2026. Not included in presale WBS; add to task list for estimation.</t>
  </si>
  <si>
    <t>UC-MKT-002</t>
  </si>
  <si>
    <t>View Pentesting Service List</t>
  </si>
  <si>
    <t>View the list of available Pentesting Services provided in the Marketplace. MVP does not include search, filtering, booking or payment.</t>
  </si>
  <si>
    <t>NEW – Customer-confirmed Marketplace scope; Pentesting list to be provided by SGS Taiwan team. Not included in presale WBS.</t>
  </si>
  <si>
    <t>UC-MKT-003</t>
  </si>
  <si>
    <t>View Pentesting Service Details</t>
  </si>
  <si>
    <t>View details of a selected Pentesting Service. For third-party Pentesting Services, DTP only displays the supplied service/provider information such as website, email and phone; no in-platform booking or payment is required.</t>
  </si>
  <si>
    <t>NEW – Customer-confirmed Marketplace scope; Xavier clarification on third-party Pentesting Services. Not included in presale WBS.</t>
  </si>
  <si>
    <t>UC-MKT-004</t>
  </si>
  <si>
    <t>View Consultant Details</t>
  </si>
  <si>
    <t>View the list of Consultants available through the Marketplace. Each Consultant is represented as an individual profile rather than only as a generic consulting service. MVP does not include search or filtering.</t>
  </si>
  <si>
    <t>NEW – Customer-confirmed Marketplace scope; Consultant list to be provided by SGS Taiwan team. Not included in presale WBS.</t>
  </si>
  <si>
    <t>UC-MKT-005</t>
  </si>
  <si>
    <t>View the profile and details of a selected Consultant. From the Consultant detail view, the customer can proceed to the existing Submit Service Request flow with that Consultant selected.</t>
  </si>
  <si>
    <t>NEW – Customer-confirmed Marketplace scope; Xavier confirmed individual Consultant profiles and customer selection of a specific Consultant. Not included in presale WBS.</t>
  </si>
  <si>
    <t>UC-MKT-006</t>
  </si>
  <si>
    <t>Manage Marketplace Content</t>
  </si>
  <si>
    <t>Create, update, activate/deactivate and remove Marketplace content for Pentesting Services and Consultant profiles. Marketplace content is maintained by SGS Admin.</t>
  </si>
  <si>
    <t>NEW – Customer-confirmed Marketplace administration; Xavier confirmed content is maintained by SGS Admin. Not included in presale WBS; requires estimation.</t>
  </si>
  <si>
    <t>30. Statement of Applicability</t>
  </si>
  <si>
    <t>UC-SOA-001</t>
  </si>
  <si>
    <t>Manage Statement of Applicability</t>
  </si>
  <si>
    <t>Statement of Applicability</t>
  </si>
  <si>
    <t>Define and maintain whether each requirement/control is applicable or not applicable for a selected Scope and Framework, including the justification for exclusions.</t>
  </si>
  <si>
    <t>UC-SOA-002</t>
  </si>
  <si>
    <t>View Statement of Applicability</t>
  </si>
  <si>
    <t>Customer Admin, Customer User, SGS Admin, SGS Auditor, SGS Consultant (View Only)</t>
  </si>
  <si>
    <t>View the Statement of Applicability for a selected Scope and Framework, including each requirement/control's applicability status and the justification for controls marked as not applicable.</t>
  </si>
  <si>
    <t>Reason for Future Release</t>
  </si>
  <si>
    <t>UC-AUTH-006</t>
  </si>
  <si>
    <t>Authenticate via Enterprise SSO</t>
  </si>
  <si>
    <t>Authenticate through a customer or SGS enterprise identity provider, with roles derived from IdP claims.</t>
  </si>
  <si>
    <t>Explicit — CP-02 Enterprise SSO readiness (P2 — adapter stub only)</t>
  </si>
  <si>
    <t>Enterprise SSO is explicitly Phase 2 / readiness only, not part of the MVP user flow.</t>
  </si>
  <si>
    <t>UC-FWK-010</t>
  </si>
  <si>
    <t>Publish Framework Version</t>
  </si>
  <si>
    <t>Publish a new version of a framework, making it available to new journeys while leaving in-flight journeys on their existing version.</t>
  </si>
  <si>
    <t>Explicit — A8 'Version history retained' (P2)</t>
  </si>
  <si>
    <t>Framework version publishing is Phase 2 (A8).</t>
  </si>
  <si>
    <t>UC-FWK-011</t>
  </si>
  <si>
    <t>Migrate Evidence Mappings to New Framework Version</t>
  </si>
  <si>
    <t>SGS Admin, System</t>
  </si>
  <si>
    <t>Re-map existing customer evidence and maturity declarations onto a new framework version, reporting items that require manual re-mapping.</t>
  </si>
  <si>
    <t>Explicit — A8 'Version migration and re-mapping of existing evidence' (P2)</t>
  </si>
  <si>
    <t>Framework version migration and evidence re-mapping are Phase 2 (A8).</t>
  </si>
  <si>
    <t>9. Regulatory Discovery Configuration</t>
  </si>
  <si>
    <t>UC-DCF-001</t>
  </si>
  <si>
    <t>View Question List</t>
  </si>
  <si>
    <t>Discovery Configuration</t>
  </si>
  <si>
    <t>View the discovery question bank with type, status and usage.</t>
  </si>
  <si>
    <t>Implicit — OPS-07 'Configure Regulatory Discovery questions/logic (RD-14)' (P2) — one bullet covers the whole question bank</t>
  </si>
  <si>
    <t>Regulatory Discovery configuration is deferred from the first pilot; Q&amp;A #12–14 mark the approach as low priority / to be decided.</t>
  </si>
  <si>
    <t>UC-DCF-002</t>
  </si>
  <si>
    <t>View Question Details</t>
  </si>
  <si>
    <t>View a question's full configuration, including answer options and the rules that consume it.</t>
  </si>
  <si>
    <t>Implicit — OPS-07 RD questions/logic bullet (P2)</t>
  </si>
  <si>
    <t>Regulatory Discovery configuration is deferred from the first pilot; Q&amp;A #12–14.</t>
  </si>
  <si>
    <t>UC-DCF-003</t>
  </si>
  <si>
    <t>Create Question and Answer Options</t>
  </si>
  <si>
    <t>Create a discovery question with its answer options and input constraints.</t>
  </si>
  <si>
    <t>UC-DCF-004</t>
  </si>
  <si>
    <t>Edit Question</t>
  </si>
  <si>
    <t>Modify a question's wording, options or constraints.</t>
  </si>
  <si>
    <t>UC-DCF-005</t>
  </si>
  <si>
    <t>Archive Question</t>
  </si>
  <si>
    <t>Withdraw an obsolete question from future questionnaires while retaining historical responses.</t>
  </si>
  <si>
    <t>UC-DCF-006</t>
  </si>
  <si>
    <t>View Questionnaire List</t>
  </si>
  <si>
    <t>View the configured discovery questionnaires with version and status.</t>
  </si>
  <si>
    <t>Implicit — OPS-07 RD questions/logic bullet (P2) — questionnaire as an object is not named</t>
  </si>
  <si>
    <t>UC-DCF-007</t>
  </si>
  <si>
    <t>View Questionnaire Details</t>
  </si>
  <si>
    <t>View a questionnaire's question composition, ordering and branching.</t>
  </si>
  <si>
    <t>UC-DCF-008</t>
  </si>
  <si>
    <t>Create Discovery Questionnaire</t>
  </si>
  <si>
    <t>Assemble questions into an ordered questionnaire for a defined discovery purpose.</t>
  </si>
  <si>
    <t>UC-DCF-009</t>
  </si>
  <si>
    <t>Edit Discovery Questionnaire</t>
  </si>
  <si>
    <t>Modify a questionnaire's composition, ordering or branching logic.</t>
  </si>
  <si>
    <t>UC-DCF-010</t>
  </si>
  <si>
    <t>Archive Discovery Questionnaire</t>
  </si>
  <si>
    <t>Withdraw an obsolete questionnaire while retaining completed discovery records.</t>
  </si>
  <si>
    <t>UC-DCF-011</t>
  </si>
  <si>
    <t>Import Applicability Rule Set</t>
  </si>
  <si>
    <t>Import an SGS-supplied applicability rule file, with validation and an import result report.</t>
  </si>
  <si>
    <t>Explicit — CP-11 'Import SGS rules content' (P1)</t>
  </si>
  <si>
    <t>Applicability rule-set administration belongs to Regulatory Discovery, which Q&amp;A #12–14 defer from the first pilot.</t>
  </si>
  <si>
    <t>UC-DCF-012</t>
  </si>
  <si>
    <t>View Applicability Rule List</t>
  </si>
  <si>
    <t>View the rules that map answer combinations to recommended frameworks and obligation levels.</t>
  </si>
  <si>
    <t>Implicit — OPS-07 RD questions/logic bullet (P2) — rule set is not inspectable in any priced UI</t>
  </si>
  <si>
    <t>Regulatory Discovery rule administration is deferred from the first pilot; Q&amp;A #12–14.</t>
  </si>
  <si>
    <t>UC-DCF-013</t>
  </si>
  <si>
    <t>Create or Edit Applicability Rule</t>
  </si>
  <si>
    <t>Maintain an individual rule linking answer conditions to recommended frameworks, obligation level and next actions.</t>
  </si>
  <si>
    <t>UC-DCF-014</t>
  </si>
  <si>
    <t>Maintain Recommendation Explanation Text</t>
  </si>
  <si>
    <t>Maintain the explanation shown to the customer for why a framework may apply, plus the mandatory indicative-only disclaimer.</t>
  </si>
  <si>
    <t>Implicit — CP-11 'Explain each recommendation' (P1) renders it; authoring falls under OPS-07 (P2)</t>
  </si>
  <si>
    <t>Recommendation content authoring belongs to deferred Regulatory Discovery configuration; Q&amp;A #12–14.</t>
  </si>
  <si>
    <t>UC-DCF-015</t>
  </si>
  <si>
    <t>Configure Recommended Next Actions</t>
  </si>
  <si>
    <t>Configure which next actions a discovery outcome offers, such as start a readiness workspace, view training or submit a service request.</t>
  </si>
  <si>
    <t>Implicit — CP-12 (P1) implements the runtime next steps; configuring them falls under OPS-07 (P2)</t>
  </si>
  <si>
    <t>Discovery next-action configuration belongs to the deferred Regulatory Discovery approach; Q&amp;A #12–14.</t>
  </si>
  <si>
    <t>16. Regulatory Discovery</t>
  </si>
  <si>
    <t>UC-RGF-001</t>
  </si>
  <si>
    <t>View and Manage Regulatory Feed</t>
  </si>
  <si>
    <t>Regulatory Discovery</t>
  </si>
  <si>
    <t>View applicable regulatory-feed items, filter them by sector, geography and date, and mark items as read.</t>
  </si>
  <si>
    <t>Regulatory feed function in WBS (originally P2); Q&amp;A #58 confirms inclusion in Phase 1</t>
  </si>
  <si>
    <t>UC-DSC-001</t>
  </si>
  <si>
    <t>Complete and Submit Discovery Questionnaire</t>
  </si>
  <si>
    <t>Start a discovery for an organization, product or system, answer the guided intake covering organization type, sector, geography, market and scope type, and submit it for evaluation. Saving and resuming a partial questionnaire is an alternate flow.</t>
  </si>
  <si>
    <t>Explicit — CP-10 Guided intake questionnaire (P1), incl. 'Save draft'</t>
  </si>
  <si>
    <t>Customer Regulatory Discovery intake is not part of the first pilot per Q&amp;A #12–14; keep for a later release after the approach is agreed.</t>
  </si>
  <si>
    <t>UC-DSC-002</t>
  </si>
  <si>
    <t>Generate Applicability Result</t>
  </si>
  <si>
    <t>Evaluate submitted answers against the published rule set and produce recommended frameworks classified by obligation level, each with its explanation.</t>
  </si>
  <si>
    <t>Explicit — CP-11 'Rules engine execution' (P1)</t>
  </si>
  <si>
    <t>Applicability evaluation is deferred with Regulatory Discovery per Q&amp;A #12–14.</t>
  </si>
  <si>
    <t>UC-DSC-003</t>
  </si>
  <si>
    <t>View Discovery Result</t>
  </si>
  <si>
    <t>Review the recommended frameworks, the rationale for each, the obligation level and the indicative-only disclaimer.</t>
  </si>
  <si>
    <t>Explicit — CP-11 'display results to UI' + 'Explain each recommendation' (P1)</t>
  </si>
  <si>
    <t>Discovery result presentation is deferred with Regulatory Discovery per Q&amp;A #12–14.</t>
  </si>
  <si>
    <t>UC-DSC-004</t>
  </si>
  <si>
    <t>Create or Update Scope from Discovery Result</t>
  </si>
  <si>
    <t>Create a new scope or update an existing one from the discovery outcome.</t>
  </si>
  <si>
    <t>Explicit — CP-12 'create product/system/org scope' (P1)</t>
  </si>
  <si>
    <t>Creating/updating scope from discovery is deferred with Regulatory Discovery per Q&amp;A #12–14.</t>
  </si>
  <si>
    <t>UC-DSC-005</t>
  </si>
  <si>
    <t>Activate Recommended Frameworks</t>
  </si>
  <si>
    <t>Select which recommended frameworks to activate on a scope.</t>
  </si>
  <si>
    <t>Explicit — CP-12 Activate frameworks on journey (P1)</t>
  </si>
  <si>
    <t>Activating recommended frameworks from discovery is deferred with Regulatory Discovery per Q&amp;A #12–14.</t>
  </si>
  <si>
    <t>UC-EVD-009</t>
  </si>
  <si>
    <t>Bulk Upload Evidence</t>
  </si>
  <si>
    <t>Upload multiple evidence files and apply or edit metadata in bulk as an asynchronous job.</t>
  </si>
  <si>
    <t>Explicit — CP-21 Bulk upload and bulk metadata edit (P2, Low priority)</t>
  </si>
  <si>
    <t>Bulk evidence upload/edit is Phase 2 and low priority (CP-21).</t>
  </si>
  <si>
    <t>UC-EVD-017</t>
  </si>
  <si>
    <t>Create Evidence Package</t>
  </si>
  <si>
    <t>Create and maintain a separate Evidence Package containing the evidence/documents to be submitted for a Readiness Assessment or Audit Review.</t>
  </si>
  <si>
    <t>Explicit — CP-19 'Package builder UI' (P2)</t>
  </si>
  <si>
    <t>Q&amp;A #21 now confirms Evidence Package is a separate system object (Option A). Implementation remains Future Release because CP-19 places the package builder in Phase 2.</t>
  </si>
  <si>
    <t>UC-EVD-018</t>
  </si>
  <si>
    <t>Submit Evidence Package for Review</t>
  </si>
  <si>
    <t>Submit the separate Evidence Package to SGS for review, moving it into the submitted state and linking it to the applicable Review.</t>
  </si>
  <si>
    <t>Explicit — CP-19 'Submit package status' + 'Link to Review Workflow' (P2); A4 evidence-to-service-request handoff (P1)</t>
  </si>
  <si>
    <t>Q&amp;A #21 confirms the separate Evidence Package concept; package submission remains Future Release because CP-19 is Phase 2.</t>
  </si>
  <si>
    <t>UC-RDN-006</t>
  </si>
  <si>
    <t>Create Readiness Snapshot</t>
  </si>
  <si>
    <t>Persist a periodic readiness snapshot per scope and framework so that trends can be reported.</t>
  </si>
  <si>
    <t>Explicit — A3 'Periodic readiness snapshots' (P2)</t>
  </si>
  <si>
    <t>Periodic readiness snapshots are Phase 2 (A3).</t>
  </si>
  <si>
    <t>UC-RDN-007</t>
  </si>
  <si>
    <t>View Readiness Trend</t>
  </si>
  <si>
    <t>View improvement or deterioration in completeness and freshness over time for a scope and framework.</t>
  </si>
  <si>
    <t>Explicit — A3 'Trend chart per scope and framework' + 'Surface on the Passport view' (P2)</t>
  </si>
  <si>
    <t>Readiness trend visualization is Phase 2 (A3).</t>
  </si>
  <si>
    <t>UC-RDN-008</t>
  </si>
  <si>
    <t>Export Readiness Report</t>
  </si>
  <si>
    <t>Customer Admin, Customer User, SGS User</t>
  </si>
  <si>
    <t>Export readiness and evidence status, with the preparation-metric disclaimer applied and subject to role and tenant permissions.</t>
  </si>
  <si>
    <t>Explicit — CP-22 Export evidence/readiness report (P2); CP-24 Readiness reports (P2)</t>
  </si>
  <si>
    <t>Readiness/evidence report export is Phase 2 (CP-22/CP-24).</t>
  </si>
  <si>
    <t>UC-TRN-003</t>
  </si>
  <si>
    <t>View Recommended Training</t>
  </si>
  <si>
    <t>View courses recommended for the scope's active frameworks and identified readiness gaps.</t>
  </si>
  <si>
    <t>Explicit — CP-30 Framework-linked course recommendations (P2)</t>
  </si>
  <si>
    <t>Framework-linked training recommendations are Phase 2 (CP-30).</t>
  </si>
  <si>
    <t>UC-TRN-007</t>
  </si>
  <si>
    <t>Approve Training Badge for Trust Profile</t>
  </si>
  <si>
    <t>Approve which badges may appear on the Digital Trust Passport and shared trust profile.</t>
  </si>
  <si>
    <t>Explicit — CP-33 Optional badges on Passport (P2)</t>
  </si>
  <si>
    <t>Selecting training badges for Passport display is Phase 2 (CP-33).</t>
  </si>
  <si>
    <t>UC-REV-009</t>
  </si>
  <si>
    <t>Accept Evidence Package</t>
  </si>
  <si>
    <t>Accept a submitted evidence package as meeting the applicable review criteria.</t>
  </si>
  <si>
    <t>Implicit — CP-20 'accepted' state (P2); CP-19 package submission (P2) — no explicit reviewer accept action</t>
  </si>
  <si>
    <t>Evidence Package acceptance depends on the Phase 2 package workflow (CP-19/CP-20). Q&amp;A #21 has clarified the package concept; timing remains Future Release.</t>
  </si>
  <si>
    <t>UC-REV-010</t>
  </si>
  <si>
    <t>Reject Evidence Package</t>
  </si>
  <si>
    <t>Reject a submitted package with reasons and the actions required from the customer.</t>
  </si>
  <si>
    <t>Implicit — CP-20 'rejected' state (P2) — no explicit reviewer reject action</t>
  </si>
  <si>
    <t>Evidence Package rejection depends on the Phase 2 package workflow (CP-20). Q&amp;A #21 has clarified the package concept; timing remains Future Release.</t>
  </si>
  <si>
    <t>UC-CRT-004</t>
  </si>
  <si>
    <t>View Certification Record Details</t>
  </si>
  <si>
    <t>View a record's full detail, attached certificate documents, surveillance and renewal milestones, and its history of previous certificates, renewals and status changes.</t>
  </si>
  <si>
    <t>Explicit — CP-38 Certification details and history (P2)</t>
  </si>
  <si>
    <t>Certification details/history is Phase 2 (CP-38).</t>
  </si>
  <si>
    <t>UC-CRT-005</t>
  </si>
  <si>
    <t>Upload Certificate Document</t>
  </si>
  <si>
    <t>Attach the issued certificate document to a record in secure storage, marked as SGS-verified.</t>
  </si>
  <si>
    <t>Explicit — A9 Upload certificate (P2); CP-49 secure document storage (P1)</t>
  </si>
  <si>
    <t>Certificate document upload is Phase 2 capability (A9); secure storage alone being P1 does not make the business UC MVP.</t>
  </si>
  <si>
    <t>UC-CRT-006</t>
  </si>
  <si>
    <t>Register Customer-Provided Certification</t>
  </si>
  <si>
    <t>Record a certification the organization holds from SGS or a third party outside DTP, stored as customer-provided information and visually distinguished from SGS-verified records.</t>
  </si>
  <si>
    <t>Explicit — A9 Upload certificate — 'customer-uploaded cert documents' (P2)</t>
  </si>
  <si>
    <t>Customer-provided certification registration is Phase 2 (A9).</t>
  </si>
  <si>
    <t>UC-CRT-007</t>
  </si>
  <si>
    <t>Set Trust Information Provenance</t>
  </si>
  <si>
    <t>System, SGS User</t>
  </si>
  <si>
    <t>Assign and carry the provenance of every trust record — SGS-verified, SGS assessment, customer-provided, third-party or automated signal — through display, sharing and export.</t>
  </si>
  <si>
    <t>Explicit — A9 'Provenance attribute on trust records' + 'Provenance badge' + 'carried through export' (P2)</t>
  </si>
  <si>
    <t>Trust-information provenance model/badging is Phase 2 (A9).</t>
  </si>
  <si>
    <t>UC-CRT-008</t>
  </si>
  <si>
    <t>View Certification Reporting</t>
  </si>
  <si>
    <t>Report on certification records by type, status, expiry, scope, geography and customer account.</t>
  </si>
  <si>
    <t>Explicit — OPS-22 Cert reporting (P2, Low priority)</t>
  </si>
  <si>
    <t>Certification reporting is Phase 2 / low priority (OPS-22).</t>
  </si>
  <si>
    <t>UC-PSP-006</t>
  </si>
  <si>
    <t>Verify Shared Trust Information</t>
  </si>
  <si>
    <t>Verify the authenticity of shared certification and trust information through the platform's verification mechanism.</t>
  </si>
  <si>
    <t>Explicit — CP-43 Share verification (advanced) (P2, Low priority)</t>
  </si>
  <si>
    <t>Advanced share verification is Phase 2 / low priority (CP-43).</t>
  </si>
  <si>
    <t>Reason for OOS / Not MVP</t>
  </si>
  <si>
    <t>4. Impartiality &amp; Conflict-of-Interest Control</t>
  </si>
  <si>
    <t>UC-COI-001</t>
  </si>
  <si>
    <t>Evaluate Conflict of Interest on Assignment</t>
  </si>
  <si>
    <t>Impartiality Control</t>
  </si>
  <si>
    <t>Cross-check a proposed assignment of an SGS person to a customer scope against service requests, prior readiness reviews, assessment activity, audit activity, certification activity and evidence review history, then block or flag it per the configured rules.</t>
  </si>
  <si>
    <t>Explicit — CP-48 'COI rule engine' (P1); OPS-09 'COI checks before grant' (P1); OPS-18 'enforce COI rules' (P1)</t>
  </si>
  <si>
    <t>Explicitly removed from the MVP by customer confirmation Q&amp;A #56 ('Let's remove from MVP scope, not critical at this stage'). Q&amp;A #47 also states COI is not really required for the MVP.</t>
  </si>
  <si>
    <t>UC-COI-002</t>
  </si>
  <si>
    <t>Override Conflict-of-Interest Warning</t>
  </si>
  <si>
    <t>Record a justified override of a flagged (non-blocking) conflict, capturing the reason and approver.</t>
  </si>
  <si>
    <t>Explicit — CP-48 'Log checks/overrides' (P1)</t>
  </si>
  <si>
    <t>Explicitly removed from the MVP together with COI controls by customer confirmation Q&amp;A #56.</t>
  </si>
  <si>
    <t>UC-COI-003</t>
  </si>
  <si>
    <t>Configure Conflict-of-Interest Rules</t>
  </si>
  <si>
    <t>Maintain the rule set that determines which role and service combinations are incompatible on the same customer scope.</t>
  </si>
  <si>
    <t>Implicit — CP-48 rule engine (P1) — no rule configuration UI priced; PRD NFR-MNT-03 says 'where feasible'</t>
  </si>
  <si>
    <t>UC-COI-004</t>
  </si>
  <si>
    <t>View Conflict-of-Interest Check History</t>
  </si>
  <si>
    <t>Review past conflict checks, warnings, overrides and assignment decisions for accreditation and internal audit purposes.</t>
  </si>
  <si>
    <t>Implicit — CP-48 'Log checks/overrides' (P1) + CP-47 Audit Log UI (P1) — no dedicated COI history view</t>
  </si>
  <si>
    <t>UC-FWK-012</t>
  </si>
  <si>
    <t>Map Controls Across Frameworks</t>
  </si>
  <si>
    <t>Maintain equivalence mappings between controls of different frameworks so that shared evidence and shared controls can be recognised.</t>
  </si>
  <si>
    <t>NOT DEFINED — Cross-framework control equivalence mapping is not priced anywhere</t>
  </si>
  <si>
    <t>Explicitly OUT OF MVP by customer confirmation Q&amp;A #18: ISO 27001 / ISO 42001 requirement cross-mapping is excluded from the MVP.</t>
  </si>
  <si>
    <t>No pending clarification use cases currently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</si>
</sst>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85961485641044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BF3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1DE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B2" sqref="B2"/>
    </sheetView>
  </sheetViews>
  <sheetFormatPr defaultColWidth="8.625" defaultRowHeight="15.75"/>
  <cols>
    <col min="1" max="1" width="24" customWidth="1"/>
    <col min="2" max="2" width="10" customWidth="1"/>
    <col min="3" max="3" width="48" customWidth="1"/>
    <col min="4" max="4" width="30" customWidth="1"/>
    <col min="5" max="5" width="34" customWidth="1"/>
    <col min="6" max="6" width="38" customWidth="1"/>
  </cols>
  <sheetData>
    <row r="1" spans="1:6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15" customHeight="1">
      <c r="A2" s="12" t="s">
        <v>6</v>
      </c>
      <c r="B2" s="12">
        <v>156</v>
      </c>
      <c r="C2" s="12" t="s">
        <v>7</v>
      </c>
      <c r="D2" s="12" t="s">
        <v>8</v>
      </c>
      <c r="E2" s="12" t="s">
        <v>9</v>
      </c>
      <c r="F2" s="12" t="s">
        <v>10</v>
      </c>
    </row>
    <row r="3" spans="1:6" ht="48.75" customHeight="1">
      <c r="A3" s="12" t="s">
        <v>11</v>
      </c>
      <c r="B3" s="12">
        <v>39</v>
      </c>
      <c r="C3" s="12" t="s">
        <v>12</v>
      </c>
      <c r="D3" s="12" t="s">
        <v>13</v>
      </c>
      <c r="E3" s="12" t="s">
        <v>14</v>
      </c>
      <c r="F3" s="12" t="s">
        <v>15</v>
      </c>
    </row>
    <row r="4" spans="1:6" ht="28.5" customHeight="1">
      <c r="A4" s="12" t="s">
        <v>16</v>
      </c>
      <c r="B4" s="12">
        <v>5</v>
      </c>
      <c r="C4" s="12" t="s">
        <v>17</v>
      </c>
      <c r="D4" s="12" t="s">
        <v>18</v>
      </c>
      <c r="E4" s="12" t="s">
        <v>19</v>
      </c>
      <c r="F4" s="12" t="s">
        <v>20</v>
      </c>
    </row>
    <row r="5" spans="1:6" ht="48.75" customHeight="1">
      <c r="A5" s="12" t="s">
        <v>21</v>
      </c>
      <c r="B5" s="12">
        <v>0</v>
      </c>
      <c r="C5" s="12" t="s">
        <v>22</v>
      </c>
      <c r="D5" s="12" t="s">
        <v>23</v>
      </c>
      <c r="E5" s="12" t="s">
        <v>24</v>
      </c>
      <c r="F5" s="12" t="s">
        <v>25</v>
      </c>
    </row>
    <row r="6" spans="1:6" ht="15.75" customHeight="1">
      <c r="A6" s="12"/>
      <c r="B6" s="12"/>
      <c r="C6" s="12"/>
      <c r="D6" s="12"/>
      <c r="E6" s="12"/>
      <c r="F6" s="12"/>
    </row>
    <row r="7" spans="1:6" ht="15.75" customHeight="1">
      <c r="A7" s="12"/>
      <c r="B7" s="12"/>
      <c r="C7" s="12"/>
      <c r="D7" s="12"/>
      <c r="E7" s="12"/>
      <c r="F7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tabSelected="1" zoomScale="70" zoomScaleNormal="70" workbookViewId="0">
      <pane ySplit="1" topLeftCell="A34" activePane="bottomLeft" state="frozen"/>
      <selection pane="bottomLeft" activeCell="H37" sqref="H37"/>
    </sheetView>
  </sheetViews>
  <sheetFormatPr defaultColWidth="18" defaultRowHeight="15.75"/>
  <cols>
    <col min="1" max="1" width="13.375" style="6" customWidth="1"/>
    <col min="2" max="2" width="28.75" style="6" customWidth="1"/>
    <col min="3" max="3" width="25.125" style="6" customWidth="1"/>
    <col min="4" max="5" width="18.375" style="6" customWidth="1"/>
    <col min="6" max="6" width="47.875" style="7" customWidth="1"/>
    <col min="7" max="7" width="40.125" style="7" customWidth="1"/>
    <col min="8" max="8" width="13" style="18" customWidth="1"/>
    <col min="9" max="9" width="47.25" style="18" customWidth="1"/>
    <col min="10" max="10" width="34.75" style="18" customWidth="1"/>
    <col min="11" max="16384" width="18" style="6"/>
  </cols>
  <sheetData>
    <row r="1" spans="1:10" s="4" customFormat="1" ht="32.2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9" t="s">
        <v>32</v>
      </c>
      <c r="H1" s="9" t="s">
        <v>33</v>
      </c>
      <c r="I1" s="22" t="s">
        <v>34</v>
      </c>
      <c r="J1" s="36" t="s">
        <v>35</v>
      </c>
    </row>
    <row r="2" spans="1:10" s="4" customFormat="1" ht="32.25" customHeight="1">
      <c r="A2" s="8"/>
      <c r="B2" s="8"/>
      <c r="C2" s="8"/>
      <c r="D2" s="8"/>
      <c r="E2" s="8"/>
      <c r="F2" s="9"/>
      <c r="G2" s="9"/>
      <c r="H2" s="9"/>
      <c r="I2" s="22"/>
      <c r="J2" s="35">
        <f>SUM($J3,$J9,$J20,$J26,$J30,$J34,$J46,$J55,$J58,$J69,$J72,$J81,$J85,$J90,$J108,$J112,$J118,$J126,$J137,$J152,$J156,$J164,$J171,$J175,$J178,)</f>
        <v>834</v>
      </c>
    </row>
    <row r="3" spans="1:10" s="30" customFormat="1">
      <c r="A3" s="26" t="s">
        <v>36</v>
      </c>
      <c r="B3" s="26"/>
      <c r="C3" s="26"/>
      <c r="D3" s="26"/>
      <c r="E3" s="27"/>
      <c r="F3" s="28"/>
      <c r="G3" s="28"/>
      <c r="H3" s="29"/>
      <c r="I3" s="29"/>
      <c r="J3" s="34">
        <f>SUM(J4:J8)</f>
        <v>30</v>
      </c>
    </row>
    <row r="4" spans="1:10" ht="32.25">
      <c r="A4" s="11" t="s">
        <v>37</v>
      </c>
      <c r="B4" s="11" t="s">
        <v>38</v>
      </c>
      <c r="C4" s="11" t="s">
        <v>39</v>
      </c>
      <c r="D4" s="11" t="s">
        <v>40</v>
      </c>
      <c r="E4" s="10" t="s">
        <v>41</v>
      </c>
      <c r="F4" s="10" t="s">
        <v>42</v>
      </c>
      <c r="G4" s="10" t="s">
        <v>43</v>
      </c>
      <c r="H4" s="16"/>
      <c r="I4" s="16"/>
      <c r="J4" s="18">
        <v>14</v>
      </c>
    </row>
    <row r="5" spans="1:10" ht="32.25">
      <c r="A5" s="11" t="s">
        <v>44</v>
      </c>
      <c r="B5" s="11" t="s">
        <v>45</v>
      </c>
      <c r="C5" s="11" t="s">
        <v>39</v>
      </c>
      <c r="D5" s="11" t="s">
        <v>40</v>
      </c>
      <c r="E5" s="10" t="s">
        <v>41</v>
      </c>
      <c r="F5" s="10" t="s">
        <v>46</v>
      </c>
      <c r="G5" s="10" t="s">
        <v>43</v>
      </c>
      <c r="H5" s="16"/>
      <c r="I5" s="16"/>
      <c r="J5" s="18">
        <v>4</v>
      </c>
    </row>
    <row r="6" spans="1:10" s="15" customFormat="1" ht="32.25">
      <c r="A6" s="19" t="s">
        <v>47</v>
      </c>
      <c r="B6" s="19" t="s">
        <v>48</v>
      </c>
      <c r="C6" s="19" t="s">
        <v>39</v>
      </c>
      <c r="D6" s="19" t="s">
        <v>40</v>
      </c>
      <c r="E6" s="20" t="s">
        <v>41</v>
      </c>
      <c r="F6" s="20" t="s">
        <v>49</v>
      </c>
      <c r="G6" s="20" t="s">
        <v>50</v>
      </c>
      <c r="H6" s="21" t="s">
        <v>51</v>
      </c>
      <c r="I6" s="23" t="s">
        <v>52</v>
      </c>
      <c r="J6" s="37"/>
    </row>
    <row r="7" spans="1:10" s="15" customFormat="1" ht="32.25">
      <c r="A7" s="19" t="s">
        <v>53</v>
      </c>
      <c r="B7" s="19" t="s">
        <v>54</v>
      </c>
      <c r="C7" s="19" t="s">
        <v>39</v>
      </c>
      <c r="D7" s="19" t="s">
        <v>40</v>
      </c>
      <c r="E7" s="20" t="s">
        <v>41</v>
      </c>
      <c r="F7" s="20" t="s">
        <v>55</v>
      </c>
      <c r="G7" s="20" t="s">
        <v>56</v>
      </c>
      <c r="H7" s="21" t="s">
        <v>51</v>
      </c>
      <c r="I7" s="23" t="s">
        <v>52</v>
      </c>
      <c r="J7" s="37"/>
    </row>
    <row r="8" spans="1:10" ht="32.25">
      <c r="A8" s="11" t="s">
        <v>57</v>
      </c>
      <c r="B8" s="11" t="s">
        <v>58</v>
      </c>
      <c r="C8" s="11" t="s">
        <v>59</v>
      </c>
      <c r="D8" s="11" t="s">
        <v>40</v>
      </c>
      <c r="E8" s="10" t="s">
        <v>41</v>
      </c>
      <c r="F8" s="10" t="s">
        <v>60</v>
      </c>
      <c r="G8" s="10" t="s">
        <v>61</v>
      </c>
      <c r="H8" s="16"/>
      <c r="I8" s="16"/>
      <c r="J8" s="18">
        <v>12</v>
      </c>
    </row>
    <row r="9" spans="1:10" s="30" customFormat="1">
      <c r="A9" s="26" t="s">
        <v>62</v>
      </c>
      <c r="B9" s="26"/>
      <c r="C9" s="26"/>
      <c r="D9" s="26"/>
      <c r="E9" s="27"/>
      <c r="F9" s="28"/>
      <c r="G9" s="28"/>
      <c r="H9" s="29"/>
      <c r="I9" s="29"/>
      <c r="J9" s="34">
        <f>SUM(J10:J19)</f>
        <v>40</v>
      </c>
    </row>
    <row r="10" spans="1:10" ht="32.25">
      <c r="A10" s="11" t="s">
        <v>63</v>
      </c>
      <c r="B10" s="11" t="s">
        <v>64</v>
      </c>
      <c r="C10" s="11" t="s">
        <v>65</v>
      </c>
      <c r="D10" s="11" t="s">
        <v>66</v>
      </c>
      <c r="E10" s="10" t="s">
        <v>41</v>
      </c>
      <c r="F10" s="10" t="s">
        <v>67</v>
      </c>
      <c r="G10" s="10" t="s">
        <v>68</v>
      </c>
      <c r="H10" s="16"/>
      <c r="I10" s="16"/>
      <c r="J10" s="18">
        <v>8</v>
      </c>
    </row>
    <row r="11" spans="1:10" ht="32.25">
      <c r="A11" s="11" t="s">
        <v>69</v>
      </c>
      <c r="B11" s="11" t="s">
        <v>70</v>
      </c>
      <c r="C11" s="11" t="s">
        <v>65</v>
      </c>
      <c r="D11" s="11" t="s">
        <v>66</v>
      </c>
      <c r="E11" s="10" t="s">
        <v>41</v>
      </c>
      <c r="F11" s="10" t="s">
        <v>71</v>
      </c>
      <c r="G11" s="10" t="s">
        <v>68</v>
      </c>
      <c r="H11" s="17"/>
      <c r="I11" s="16"/>
      <c r="J11" s="18">
        <v>8</v>
      </c>
    </row>
    <row r="12" spans="1:10" ht="32.25">
      <c r="A12" s="11" t="s">
        <v>72</v>
      </c>
      <c r="B12" s="11" t="s">
        <v>73</v>
      </c>
      <c r="C12" s="11" t="s">
        <v>65</v>
      </c>
      <c r="D12" s="11" t="s">
        <v>66</v>
      </c>
      <c r="E12" s="10" t="s">
        <v>41</v>
      </c>
      <c r="F12" s="10" t="s">
        <v>74</v>
      </c>
      <c r="G12" s="10" t="s">
        <v>68</v>
      </c>
      <c r="H12" s="16"/>
      <c r="I12" s="17"/>
      <c r="J12" s="38">
        <v>10</v>
      </c>
    </row>
    <row r="13" spans="1:10" s="15" customFormat="1" ht="32.25">
      <c r="A13" s="19" t="s">
        <v>75</v>
      </c>
      <c r="B13" s="19" t="s">
        <v>76</v>
      </c>
      <c r="C13" s="19" t="s">
        <v>65</v>
      </c>
      <c r="D13" s="19" t="s">
        <v>66</v>
      </c>
      <c r="E13" s="20" t="s">
        <v>41</v>
      </c>
      <c r="F13" s="20" t="s">
        <v>77</v>
      </c>
      <c r="G13" s="20" t="s">
        <v>68</v>
      </c>
      <c r="H13" s="21" t="s">
        <v>51</v>
      </c>
      <c r="I13" s="17"/>
      <c r="J13" s="38"/>
    </row>
    <row r="14" spans="1:10" ht="48.75">
      <c r="A14" s="11" t="s">
        <v>78</v>
      </c>
      <c r="B14" s="11" t="s">
        <v>79</v>
      </c>
      <c r="C14" s="11" t="s">
        <v>65</v>
      </c>
      <c r="D14" s="11" t="s">
        <v>66</v>
      </c>
      <c r="E14" s="10" t="s">
        <v>41</v>
      </c>
      <c r="F14" s="10" t="s">
        <v>80</v>
      </c>
      <c r="G14" s="10" t="s">
        <v>81</v>
      </c>
      <c r="H14" s="16"/>
      <c r="I14" s="16"/>
      <c r="J14" s="18">
        <v>8</v>
      </c>
    </row>
    <row r="15" spans="1:10" ht="16.5">
      <c r="A15" s="11" t="s">
        <v>82</v>
      </c>
      <c r="B15" s="11" t="s">
        <v>83</v>
      </c>
      <c r="C15" s="11" t="s">
        <v>84</v>
      </c>
      <c r="D15" s="11" t="s">
        <v>66</v>
      </c>
      <c r="E15" s="10" t="s">
        <v>85</v>
      </c>
      <c r="F15" s="10" t="s">
        <v>86</v>
      </c>
      <c r="G15" s="10" t="s">
        <v>87</v>
      </c>
      <c r="H15" s="16"/>
      <c r="I15" s="16"/>
      <c r="J15" s="18">
        <v>6</v>
      </c>
    </row>
    <row r="16" spans="1:10" s="15" customFormat="1" ht="32.25">
      <c r="A16" s="19" t="s">
        <v>88</v>
      </c>
      <c r="B16" s="19" t="s">
        <v>89</v>
      </c>
      <c r="C16" s="19" t="s">
        <v>65</v>
      </c>
      <c r="D16" s="19" t="s">
        <v>66</v>
      </c>
      <c r="E16" s="20" t="s">
        <v>41</v>
      </c>
      <c r="F16" s="20" t="s">
        <v>90</v>
      </c>
      <c r="G16" s="20" t="s">
        <v>91</v>
      </c>
      <c r="H16" s="21" t="s">
        <v>51</v>
      </c>
      <c r="I16" s="17"/>
      <c r="J16" s="38"/>
    </row>
    <row r="17" spans="1:10" s="15" customFormat="1" ht="32.25">
      <c r="A17" s="19" t="s">
        <v>92</v>
      </c>
      <c r="B17" s="19" t="s">
        <v>93</v>
      </c>
      <c r="C17" s="19" t="s">
        <v>65</v>
      </c>
      <c r="D17" s="19" t="s">
        <v>66</v>
      </c>
      <c r="E17" s="20" t="s">
        <v>41</v>
      </c>
      <c r="F17" s="20" t="s">
        <v>94</v>
      </c>
      <c r="G17" s="20" t="s">
        <v>95</v>
      </c>
      <c r="H17" s="21" t="s">
        <v>51</v>
      </c>
      <c r="I17" s="17"/>
      <c r="J17" s="38"/>
    </row>
    <row r="18" spans="1:10" s="15" customFormat="1" ht="32.25">
      <c r="A18" s="19" t="s">
        <v>96</v>
      </c>
      <c r="B18" s="19" t="s">
        <v>97</v>
      </c>
      <c r="C18" s="19" t="s">
        <v>65</v>
      </c>
      <c r="D18" s="19" t="s">
        <v>66</v>
      </c>
      <c r="E18" s="20" t="s">
        <v>41</v>
      </c>
      <c r="F18" s="20" t="s">
        <v>98</v>
      </c>
      <c r="G18" s="20" t="s">
        <v>68</v>
      </c>
      <c r="H18" s="21" t="s">
        <v>51</v>
      </c>
      <c r="I18" s="17"/>
      <c r="J18" s="38"/>
    </row>
    <row r="19" spans="1:10" s="15" customFormat="1" ht="48.75">
      <c r="A19" s="19" t="s">
        <v>99</v>
      </c>
      <c r="B19" s="19" t="s">
        <v>100</v>
      </c>
      <c r="C19" s="19" t="s">
        <v>65</v>
      </c>
      <c r="D19" s="19" t="s">
        <v>66</v>
      </c>
      <c r="E19" s="20" t="s">
        <v>41</v>
      </c>
      <c r="F19" s="20" t="s">
        <v>101</v>
      </c>
      <c r="G19" s="20" t="s">
        <v>102</v>
      </c>
      <c r="H19" s="21" t="s">
        <v>51</v>
      </c>
      <c r="I19" s="17"/>
      <c r="J19" s="38"/>
    </row>
    <row r="20" spans="1:10" s="30" customFormat="1">
      <c r="A20" s="26" t="s">
        <v>103</v>
      </c>
      <c r="B20" s="26"/>
      <c r="C20" s="26"/>
      <c r="D20" s="26"/>
      <c r="E20" s="27"/>
      <c r="F20" s="28"/>
      <c r="G20" s="28"/>
      <c r="H20" s="29"/>
      <c r="I20" s="29"/>
      <c r="J20" s="34">
        <f>SUM(J21:J25)</f>
        <v>43</v>
      </c>
    </row>
    <row r="21" spans="1:10" ht="64.5">
      <c r="A21" s="11" t="s">
        <v>104</v>
      </c>
      <c r="B21" s="11" t="s">
        <v>105</v>
      </c>
      <c r="C21" s="11" t="s">
        <v>106</v>
      </c>
      <c r="D21" s="11" t="s">
        <v>107</v>
      </c>
      <c r="E21" s="10" t="s">
        <v>108</v>
      </c>
      <c r="F21" s="10" t="s">
        <v>109</v>
      </c>
      <c r="G21" s="10" t="s">
        <v>110</v>
      </c>
      <c r="H21" s="16"/>
      <c r="I21" s="17"/>
      <c r="J21" s="38">
        <v>36</v>
      </c>
    </row>
    <row r="22" spans="1:10" ht="48.75">
      <c r="A22" s="11" t="s">
        <v>111</v>
      </c>
      <c r="B22" s="11" t="s">
        <v>112</v>
      </c>
      <c r="C22" s="11" t="s">
        <v>65</v>
      </c>
      <c r="D22" s="11" t="s">
        <v>107</v>
      </c>
      <c r="E22" s="10" t="s">
        <v>41</v>
      </c>
      <c r="F22" s="10" t="s">
        <v>113</v>
      </c>
      <c r="G22" s="10" t="s">
        <v>114</v>
      </c>
      <c r="H22" s="16"/>
      <c r="I22" s="16"/>
      <c r="J22" s="18">
        <v>7</v>
      </c>
    </row>
    <row r="23" spans="1:10" s="15" customFormat="1" ht="48.75">
      <c r="A23" s="19" t="s">
        <v>115</v>
      </c>
      <c r="B23" s="19" t="s">
        <v>116</v>
      </c>
      <c r="C23" s="19" t="s">
        <v>117</v>
      </c>
      <c r="D23" s="19" t="s">
        <v>107</v>
      </c>
      <c r="E23" s="20" t="s">
        <v>118</v>
      </c>
      <c r="F23" s="20" t="s">
        <v>119</v>
      </c>
      <c r="G23" s="20" t="s">
        <v>120</v>
      </c>
      <c r="H23" s="21" t="s">
        <v>51</v>
      </c>
      <c r="I23" s="17"/>
      <c r="J23" s="38"/>
    </row>
    <row r="24" spans="1:10" s="15" customFormat="1" ht="48.75">
      <c r="A24" s="19" t="s">
        <v>121</v>
      </c>
      <c r="B24" s="19" t="s">
        <v>122</v>
      </c>
      <c r="C24" s="19" t="s">
        <v>117</v>
      </c>
      <c r="D24" s="19" t="s">
        <v>107</v>
      </c>
      <c r="E24" s="20" t="s">
        <v>118</v>
      </c>
      <c r="F24" s="20" t="s">
        <v>123</v>
      </c>
      <c r="G24" s="20" t="s">
        <v>124</v>
      </c>
      <c r="H24" s="21" t="s">
        <v>51</v>
      </c>
      <c r="I24" s="17"/>
      <c r="J24" s="38"/>
    </row>
    <row r="25" spans="1:10" s="15" customFormat="1" ht="48.75">
      <c r="A25" s="19" t="s">
        <v>125</v>
      </c>
      <c r="B25" s="19" t="s">
        <v>126</v>
      </c>
      <c r="C25" s="19" t="s">
        <v>117</v>
      </c>
      <c r="D25" s="19" t="s">
        <v>107</v>
      </c>
      <c r="E25" s="20" t="s">
        <v>118</v>
      </c>
      <c r="F25" s="20" t="s">
        <v>127</v>
      </c>
      <c r="G25" s="20" t="s">
        <v>120</v>
      </c>
      <c r="H25" s="21" t="s">
        <v>51</v>
      </c>
      <c r="I25" s="17"/>
      <c r="J25" s="38"/>
    </row>
    <row r="26" spans="1:10" s="30" customFormat="1">
      <c r="A26" s="26" t="s">
        <v>128</v>
      </c>
      <c r="B26" s="26"/>
      <c r="C26" s="26"/>
      <c r="D26" s="26"/>
      <c r="E26" s="27"/>
      <c r="F26" s="28"/>
      <c r="G26" s="28"/>
      <c r="H26" s="29"/>
      <c r="I26" s="29"/>
      <c r="J26" s="34">
        <f>SUM(J27:J29)</f>
        <v>14</v>
      </c>
    </row>
    <row r="27" spans="1:10" ht="81">
      <c r="A27" s="11" t="s">
        <v>129</v>
      </c>
      <c r="B27" s="11" t="s">
        <v>130</v>
      </c>
      <c r="C27" s="11" t="s">
        <v>106</v>
      </c>
      <c r="D27" s="11" t="s">
        <v>131</v>
      </c>
      <c r="E27" s="10" t="s">
        <v>108</v>
      </c>
      <c r="F27" s="10" t="s">
        <v>132</v>
      </c>
      <c r="G27" s="10" t="s">
        <v>133</v>
      </c>
      <c r="H27" s="16"/>
      <c r="I27" s="16"/>
      <c r="J27" s="18">
        <v>8</v>
      </c>
    </row>
    <row r="28" spans="1:10" ht="32.25">
      <c r="A28" s="11" t="s">
        <v>134</v>
      </c>
      <c r="B28" s="11" t="s">
        <v>135</v>
      </c>
      <c r="C28" s="11" t="s">
        <v>39</v>
      </c>
      <c r="D28" s="11" t="s">
        <v>131</v>
      </c>
      <c r="E28" s="10" t="s">
        <v>41</v>
      </c>
      <c r="F28" s="10" t="s">
        <v>136</v>
      </c>
      <c r="G28" s="10" t="s">
        <v>137</v>
      </c>
      <c r="H28" s="16"/>
      <c r="I28" s="16"/>
      <c r="J28" s="18">
        <v>6</v>
      </c>
    </row>
    <row r="29" spans="1:10" s="15" customFormat="1" ht="32.25">
      <c r="A29" s="19" t="s">
        <v>138</v>
      </c>
      <c r="B29" s="19" t="s">
        <v>139</v>
      </c>
      <c r="C29" s="19" t="s">
        <v>117</v>
      </c>
      <c r="D29" s="19" t="s">
        <v>131</v>
      </c>
      <c r="E29" s="20" t="s">
        <v>118</v>
      </c>
      <c r="F29" s="20" t="s">
        <v>140</v>
      </c>
      <c r="G29" s="20" t="s">
        <v>141</v>
      </c>
      <c r="H29" s="21" t="s">
        <v>51</v>
      </c>
      <c r="I29" s="17"/>
      <c r="J29" s="38"/>
    </row>
    <row r="30" spans="1:10" s="30" customFormat="1">
      <c r="A30" s="26" t="s">
        <v>142</v>
      </c>
      <c r="B30" s="26"/>
      <c r="C30" s="26"/>
      <c r="D30" s="26"/>
      <c r="E30" s="27"/>
      <c r="F30" s="28"/>
      <c r="G30" s="28"/>
      <c r="H30" s="29"/>
      <c r="I30" s="29"/>
      <c r="J30" s="34">
        <f>SUM(J31:J33)</f>
        <v>32</v>
      </c>
    </row>
    <row r="31" spans="1:10" ht="32.25">
      <c r="A31" s="11" t="s">
        <v>143</v>
      </c>
      <c r="B31" s="11" t="s">
        <v>144</v>
      </c>
      <c r="C31" s="11" t="s">
        <v>106</v>
      </c>
      <c r="D31" s="11" t="s">
        <v>145</v>
      </c>
      <c r="E31" s="10" t="s">
        <v>108</v>
      </c>
      <c r="F31" s="10" t="s">
        <v>146</v>
      </c>
      <c r="G31" s="10" t="s">
        <v>147</v>
      </c>
      <c r="H31" s="16"/>
      <c r="I31" s="16"/>
      <c r="J31" s="18">
        <v>20</v>
      </c>
    </row>
    <row r="32" spans="1:10" ht="32.25">
      <c r="A32" s="11" t="s">
        <v>148</v>
      </c>
      <c r="B32" s="11" t="s">
        <v>149</v>
      </c>
      <c r="C32" s="11" t="s">
        <v>117</v>
      </c>
      <c r="D32" s="11" t="s">
        <v>145</v>
      </c>
      <c r="E32" s="10" t="s">
        <v>118</v>
      </c>
      <c r="F32" s="10" t="s">
        <v>150</v>
      </c>
      <c r="G32" s="10" t="s">
        <v>151</v>
      </c>
      <c r="H32" s="16"/>
      <c r="I32" s="24" t="s">
        <v>152</v>
      </c>
      <c r="J32" s="39"/>
    </row>
    <row r="33" spans="1:10" ht="32.25">
      <c r="A33" s="11" t="s">
        <v>153</v>
      </c>
      <c r="B33" s="11" t="s">
        <v>154</v>
      </c>
      <c r="C33" s="11" t="s">
        <v>84</v>
      </c>
      <c r="D33" s="11" t="s">
        <v>145</v>
      </c>
      <c r="E33" s="10" t="s">
        <v>85</v>
      </c>
      <c r="F33" s="10" t="s">
        <v>155</v>
      </c>
      <c r="G33" s="10" t="s">
        <v>156</v>
      </c>
      <c r="H33" s="16"/>
      <c r="I33" s="16"/>
      <c r="J33" s="18">
        <v>12</v>
      </c>
    </row>
    <row r="34" spans="1:10" s="30" customFormat="1">
      <c r="A34" s="26" t="s">
        <v>157</v>
      </c>
      <c r="B34" s="26"/>
      <c r="C34" s="26"/>
      <c r="D34" s="26"/>
      <c r="E34" s="27"/>
      <c r="F34" s="28"/>
      <c r="G34" s="28"/>
      <c r="H34" s="29"/>
      <c r="I34" s="29"/>
      <c r="J34" s="34">
        <f>SUM(J35:J45)</f>
        <v>68</v>
      </c>
    </row>
    <row r="35" spans="1:10" ht="32.25">
      <c r="A35" s="11" t="s">
        <v>158</v>
      </c>
      <c r="B35" s="11" t="s">
        <v>159</v>
      </c>
      <c r="C35" s="11" t="s">
        <v>117</v>
      </c>
      <c r="D35" s="11" t="s">
        <v>160</v>
      </c>
      <c r="E35" s="10" t="s">
        <v>118</v>
      </c>
      <c r="F35" s="10" t="s">
        <v>161</v>
      </c>
      <c r="G35" s="10" t="s">
        <v>162</v>
      </c>
      <c r="H35" s="16"/>
      <c r="I35" s="16"/>
      <c r="J35" s="18">
        <v>6</v>
      </c>
    </row>
    <row r="36" spans="1:10" ht="64.5">
      <c r="A36" s="11" t="s">
        <v>163</v>
      </c>
      <c r="B36" s="11" t="s">
        <v>164</v>
      </c>
      <c r="C36" s="11" t="s">
        <v>117</v>
      </c>
      <c r="D36" s="11" t="s">
        <v>160</v>
      </c>
      <c r="E36" s="10" t="s">
        <v>118</v>
      </c>
      <c r="F36" s="10" t="s">
        <v>165</v>
      </c>
      <c r="G36" s="10" t="s">
        <v>166</v>
      </c>
      <c r="H36" s="16"/>
      <c r="I36" s="16"/>
      <c r="J36" s="18">
        <v>8</v>
      </c>
    </row>
    <row r="37" spans="1:10" s="15" customFormat="1" ht="32.25">
      <c r="A37" s="13" t="s">
        <v>167</v>
      </c>
      <c r="B37" s="13" t="s">
        <v>168</v>
      </c>
      <c r="C37" s="13" t="s">
        <v>117</v>
      </c>
      <c r="D37" s="13" t="s">
        <v>160</v>
      </c>
      <c r="E37" s="14" t="s">
        <v>118</v>
      </c>
      <c r="F37" s="14" t="s">
        <v>169</v>
      </c>
      <c r="G37" s="14" t="s">
        <v>162</v>
      </c>
      <c r="H37" s="40" t="s">
        <v>170</v>
      </c>
      <c r="I37" s="25" t="s">
        <v>171</v>
      </c>
      <c r="J37" s="37"/>
    </row>
    <row r="38" spans="1:10" ht="32.25">
      <c r="A38" s="11" t="s">
        <v>172</v>
      </c>
      <c r="B38" s="11" t="s">
        <v>173</v>
      </c>
      <c r="C38" s="11" t="s">
        <v>117</v>
      </c>
      <c r="D38" s="11" t="s">
        <v>160</v>
      </c>
      <c r="E38" s="10" t="s">
        <v>118</v>
      </c>
      <c r="F38" s="10" t="s">
        <v>174</v>
      </c>
      <c r="G38" s="10" t="s">
        <v>162</v>
      </c>
      <c r="H38" s="16"/>
      <c r="I38" s="16"/>
      <c r="J38" s="18">
        <v>8</v>
      </c>
    </row>
    <row r="39" spans="1:10" ht="32.25">
      <c r="A39" s="11" t="s">
        <v>175</v>
      </c>
      <c r="B39" s="11" t="s">
        <v>176</v>
      </c>
      <c r="C39" s="11" t="s">
        <v>117</v>
      </c>
      <c r="D39" s="11" t="s">
        <v>160</v>
      </c>
      <c r="E39" s="10" t="s">
        <v>118</v>
      </c>
      <c r="F39" s="10" t="s">
        <v>177</v>
      </c>
      <c r="G39" s="10" t="s">
        <v>162</v>
      </c>
      <c r="H39" s="16"/>
      <c r="I39" s="17"/>
      <c r="J39" s="38">
        <v>12</v>
      </c>
    </row>
    <row r="40" spans="1:10" s="15" customFormat="1" ht="32.25">
      <c r="A40" s="19" t="s">
        <v>178</v>
      </c>
      <c r="B40" s="19" t="s">
        <v>179</v>
      </c>
      <c r="C40" s="19" t="s">
        <v>117</v>
      </c>
      <c r="D40" s="19" t="s">
        <v>160</v>
      </c>
      <c r="E40" s="20" t="s">
        <v>118</v>
      </c>
      <c r="F40" s="20" t="s">
        <v>180</v>
      </c>
      <c r="G40" s="20" t="s">
        <v>162</v>
      </c>
      <c r="H40" s="21" t="s">
        <v>51</v>
      </c>
      <c r="I40" s="17"/>
      <c r="J40" s="38"/>
    </row>
    <row r="41" spans="1:10" ht="48.75">
      <c r="A41" s="11" t="s">
        <v>181</v>
      </c>
      <c r="B41" s="11" t="s">
        <v>182</v>
      </c>
      <c r="C41" s="11" t="s">
        <v>117</v>
      </c>
      <c r="D41" s="11" t="s">
        <v>160</v>
      </c>
      <c r="E41" s="10" t="s">
        <v>118</v>
      </c>
      <c r="F41" s="10" t="s">
        <v>183</v>
      </c>
      <c r="G41" s="10" t="s">
        <v>184</v>
      </c>
      <c r="H41" s="16"/>
      <c r="I41" s="16"/>
      <c r="J41" s="18">
        <v>8</v>
      </c>
    </row>
    <row r="42" spans="1:10" ht="32.25">
      <c r="A42" s="11" t="s">
        <v>185</v>
      </c>
      <c r="B42" s="11" t="s">
        <v>186</v>
      </c>
      <c r="C42" s="11" t="s">
        <v>117</v>
      </c>
      <c r="D42" s="11" t="s">
        <v>160</v>
      </c>
      <c r="E42" s="10" t="s">
        <v>118</v>
      </c>
      <c r="F42" s="10" t="s">
        <v>187</v>
      </c>
      <c r="G42" s="10" t="s">
        <v>188</v>
      </c>
      <c r="H42" s="16"/>
      <c r="I42" s="33" t="s">
        <v>189</v>
      </c>
      <c r="J42" s="39">
        <v>8</v>
      </c>
    </row>
    <row r="43" spans="1:10" ht="64.5">
      <c r="A43" s="11" t="s">
        <v>190</v>
      </c>
      <c r="B43" s="11" t="s">
        <v>191</v>
      </c>
      <c r="C43" s="11" t="s">
        <v>117</v>
      </c>
      <c r="D43" s="11" t="s">
        <v>160</v>
      </c>
      <c r="E43" s="10" t="s">
        <v>118</v>
      </c>
      <c r="F43" s="10" t="s">
        <v>192</v>
      </c>
      <c r="G43" s="10" t="s">
        <v>193</v>
      </c>
      <c r="H43" s="16"/>
      <c r="I43" s="16"/>
      <c r="J43" s="18">
        <v>18</v>
      </c>
    </row>
    <row r="44" spans="1:10" s="15" customFormat="1" ht="48.75">
      <c r="A44" s="13" t="s">
        <v>194</v>
      </c>
      <c r="B44" s="13" t="s">
        <v>195</v>
      </c>
      <c r="C44" s="13" t="s">
        <v>117</v>
      </c>
      <c r="D44" s="13" t="s">
        <v>160</v>
      </c>
      <c r="E44" s="14" t="s">
        <v>118</v>
      </c>
      <c r="F44" s="14" t="s">
        <v>196</v>
      </c>
      <c r="G44" s="14" t="s">
        <v>197</v>
      </c>
      <c r="H44" s="40" t="s">
        <v>170</v>
      </c>
      <c r="I44" s="25" t="s">
        <v>198</v>
      </c>
      <c r="J44" s="37"/>
    </row>
    <row r="45" spans="1:10" s="15" customFormat="1" ht="32.25">
      <c r="A45" s="19" t="s">
        <v>199</v>
      </c>
      <c r="B45" s="19" t="s">
        <v>200</v>
      </c>
      <c r="C45" s="19" t="s">
        <v>117</v>
      </c>
      <c r="D45" s="19" t="s">
        <v>160</v>
      </c>
      <c r="E45" s="20" t="s">
        <v>118</v>
      </c>
      <c r="F45" s="20" t="s">
        <v>201</v>
      </c>
      <c r="G45" s="20" t="s">
        <v>202</v>
      </c>
      <c r="H45" s="21" t="s">
        <v>51</v>
      </c>
      <c r="I45" s="17"/>
      <c r="J45" s="38"/>
    </row>
    <row r="46" spans="1:10" s="30" customFormat="1">
      <c r="A46" s="26" t="s">
        <v>203</v>
      </c>
      <c r="B46" s="26"/>
      <c r="C46" s="26"/>
      <c r="D46" s="26"/>
      <c r="E46" s="27"/>
      <c r="F46" s="28"/>
      <c r="G46" s="28"/>
      <c r="H46" s="29"/>
      <c r="I46" s="29"/>
      <c r="J46" s="34">
        <f>SUM(J47:J54)</f>
        <v>0</v>
      </c>
    </row>
    <row r="47" spans="1:10" s="15" customFormat="1" ht="32.25">
      <c r="A47" s="19" t="s">
        <v>204</v>
      </c>
      <c r="B47" s="19" t="s">
        <v>205</v>
      </c>
      <c r="C47" s="19" t="s">
        <v>117</v>
      </c>
      <c r="D47" s="19" t="s">
        <v>206</v>
      </c>
      <c r="E47" s="20" t="s">
        <v>118</v>
      </c>
      <c r="F47" s="20" t="s">
        <v>207</v>
      </c>
      <c r="G47" s="20" t="s">
        <v>208</v>
      </c>
      <c r="H47" s="21" t="s">
        <v>51</v>
      </c>
      <c r="I47" s="17"/>
      <c r="J47" s="38"/>
    </row>
    <row r="48" spans="1:10" s="15" customFormat="1" ht="32.25">
      <c r="A48" s="19" t="s">
        <v>209</v>
      </c>
      <c r="B48" s="19" t="s">
        <v>210</v>
      </c>
      <c r="C48" s="19" t="s">
        <v>117</v>
      </c>
      <c r="D48" s="19" t="s">
        <v>206</v>
      </c>
      <c r="E48" s="20" t="s">
        <v>118</v>
      </c>
      <c r="F48" s="20" t="s">
        <v>211</v>
      </c>
      <c r="G48" s="20" t="s">
        <v>212</v>
      </c>
      <c r="H48" s="21" t="s">
        <v>51</v>
      </c>
      <c r="I48" s="17"/>
      <c r="J48" s="38"/>
    </row>
    <row r="49" spans="1:10" s="15" customFormat="1" ht="48.75">
      <c r="A49" s="19" t="s">
        <v>213</v>
      </c>
      <c r="B49" s="19" t="s">
        <v>214</v>
      </c>
      <c r="C49" s="19" t="s">
        <v>117</v>
      </c>
      <c r="D49" s="19" t="s">
        <v>206</v>
      </c>
      <c r="E49" s="20" t="s">
        <v>118</v>
      </c>
      <c r="F49" s="20" t="s">
        <v>215</v>
      </c>
      <c r="G49" s="20" t="s">
        <v>216</v>
      </c>
      <c r="H49" s="21" t="s">
        <v>51</v>
      </c>
      <c r="I49" s="17"/>
      <c r="J49" s="38"/>
    </row>
    <row r="50" spans="1:10" s="15" customFormat="1" ht="32.25">
      <c r="A50" s="19" t="s">
        <v>217</v>
      </c>
      <c r="B50" s="19" t="s">
        <v>218</v>
      </c>
      <c r="C50" s="19" t="s">
        <v>117</v>
      </c>
      <c r="D50" s="19" t="s">
        <v>206</v>
      </c>
      <c r="E50" s="20" t="s">
        <v>118</v>
      </c>
      <c r="F50" s="20" t="s">
        <v>219</v>
      </c>
      <c r="G50" s="20" t="s">
        <v>220</v>
      </c>
      <c r="H50" s="21" t="s">
        <v>51</v>
      </c>
      <c r="I50" s="17"/>
      <c r="J50" s="38"/>
    </row>
    <row r="51" spans="1:10" s="15" customFormat="1" ht="16.5">
      <c r="A51" s="19" t="s">
        <v>221</v>
      </c>
      <c r="B51" s="19" t="s">
        <v>222</v>
      </c>
      <c r="C51" s="19" t="s">
        <v>117</v>
      </c>
      <c r="D51" s="19" t="s">
        <v>206</v>
      </c>
      <c r="E51" s="20" t="s">
        <v>118</v>
      </c>
      <c r="F51" s="20" t="s">
        <v>223</v>
      </c>
      <c r="G51" s="20" t="s">
        <v>224</v>
      </c>
      <c r="H51" s="21" t="s">
        <v>51</v>
      </c>
      <c r="I51" s="17"/>
      <c r="J51" s="38"/>
    </row>
    <row r="52" spans="1:10" s="15" customFormat="1" ht="48.75">
      <c r="A52" s="19" t="s">
        <v>225</v>
      </c>
      <c r="B52" s="19" t="s">
        <v>226</v>
      </c>
      <c r="C52" s="19" t="s">
        <v>117</v>
      </c>
      <c r="D52" s="19" t="s">
        <v>206</v>
      </c>
      <c r="E52" s="20" t="s">
        <v>118</v>
      </c>
      <c r="F52" s="20" t="s">
        <v>227</v>
      </c>
      <c r="G52" s="20" t="s">
        <v>228</v>
      </c>
      <c r="H52" s="21" t="s">
        <v>51</v>
      </c>
      <c r="I52" s="17"/>
      <c r="J52" s="38"/>
    </row>
    <row r="53" spans="1:10" s="15" customFormat="1" ht="32.25">
      <c r="A53" s="19" t="s">
        <v>229</v>
      </c>
      <c r="B53" s="19" t="s">
        <v>230</v>
      </c>
      <c r="C53" s="19" t="s">
        <v>117</v>
      </c>
      <c r="D53" s="19" t="s">
        <v>206</v>
      </c>
      <c r="E53" s="20" t="s">
        <v>118</v>
      </c>
      <c r="F53" s="20" t="s">
        <v>231</v>
      </c>
      <c r="G53" s="20" t="s">
        <v>232</v>
      </c>
      <c r="H53" s="21" t="s">
        <v>51</v>
      </c>
      <c r="I53" s="17"/>
      <c r="J53" s="38"/>
    </row>
    <row r="54" spans="1:10" s="15" customFormat="1" ht="32.25">
      <c r="A54" s="19" t="s">
        <v>233</v>
      </c>
      <c r="B54" s="19" t="s">
        <v>234</v>
      </c>
      <c r="C54" s="19" t="s">
        <v>117</v>
      </c>
      <c r="D54" s="19" t="s">
        <v>206</v>
      </c>
      <c r="E54" s="20" t="s">
        <v>118</v>
      </c>
      <c r="F54" s="20" t="s">
        <v>235</v>
      </c>
      <c r="G54" s="20" t="s">
        <v>232</v>
      </c>
      <c r="H54" s="21" t="s">
        <v>51</v>
      </c>
      <c r="I54" s="17"/>
      <c r="J54" s="38"/>
    </row>
    <row r="55" spans="1:10" s="30" customFormat="1">
      <c r="A55" s="26" t="s">
        <v>236</v>
      </c>
      <c r="B55" s="26"/>
      <c r="C55" s="26"/>
      <c r="D55" s="26"/>
      <c r="E55" s="27"/>
      <c r="F55" s="28"/>
      <c r="G55" s="28"/>
      <c r="H55" s="29"/>
      <c r="I55" s="29"/>
      <c r="J55" s="34">
        <f>SUM(J56:J57)</f>
        <v>0</v>
      </c>
    </row>
    <row r="56" spans="1:10" s="15" customFormat="1" ht="32.25">
      <c r="A56" s="19" t="s">
        <v>237</v>
      </c>
      <c r="B56" s="19" t="s">
        <v>238</v>
      </c>
      <c r="C56" s="19" t="s">
        <v>117</v>
      </c>
      <c r="D56" s="19" t="s">
        <v>239</v>
      </c>
      <c r="E56" s="20" t="s">
        <v>118</v>
      </c>
      <c r="F56" s="20" t="s">
        <v>240</v>
      </c>
      <c r="G56" s="20" t="s">
        <v>241</v>
      </c>
      <c r="H56" s="21" t="s">
        <v>51</v>
      </c>
      <c r="I56" s="17"/>
      <c r="J56" s="38"/>
    </row>
    <row r="57" spans="1:10" s="15" customFormat="1" ht="48.75">
      <c r="A57" s="19" t="s">
        <v>242</v>
      </c>
      <c r="B57" s="19" t="s">
        <v>243</v>
      </c>
      <c r="C57" s="19" t="s">
        <v>117</v>
      </c>
      <c r="D57" s="19" t="s">
        <v>239</v>
      </c>
      <c r="E57" s="20" t="s">
        <v>118</v>
      </c>
      <c r="F57" s="20" t="s">
        <v>244</v>
      </c>
      <c r="G57" s="20" t="s">
        <v>245</v>
      </c>
      <c r="H57" s="21" t="s">
        <v>51</v>
      </c>
      <c r="I57" s="17"/>
      <c r="J57" s="38"/>
    </row>
    <row r="58" spans="1:10" s="30" customFormat="1">
      <c r="A58" s="26" t="s">
        <v>246</v>
      </c>
      <c r="B58" s="26"/>
      <c r="C58" s="26"/>
      <c r="D58" s="26"/>
      <c r="E58" s="27"/>
      <c r="F58" s="28"/>
      <c r="G58" s="28"/>
      <c r="H58" s="29"/>
      <c r="I58" s="29"/>
      <c r="J58" s="34">
        <f>SUM(J59:J68)</f>
        <v>40</v>
      </c>
    </row>
    <row r="59" spans="1:10" ht="32.25">
      <c r="A59" s="11" t="s">
        <v>247</v>
      </c>
      <c r="B59" s="11" t="s">
        <v>248</v>
      </c>
      <c r="C59" s="11" t="s">
        <v>249</v>
      </c>
      <c r="D59" s="11" t="s">
        <v>250</v>
      </c>
      <c r="E59" s="10" t="s">
        <v>118</v>
      </c>
      <c r="F59" s="10" t="s">
        <v>251</v>
      </c>
      <c r="G59" s="10" t="s">
        <v>252</v>
      </c>
      <c r="H59" s="16"/>
      <c r="I59" s="16"/>
      <c r="J59" s="18">
        <v>6</v>
      </c>
    </row>
    <row r="60" spans="1:10" ht="32.25">
      <c r="A60" s="11" t="s">
        <v>253</v>
      </c>
      <c r="B60" s="11" t="s">
        <v>254</v>
      </c>
      <c r="C60" s="11" t="s">
        <v>249</v>
      </c>
      <c r="D60" s="11" t="s">
        <v>250</v>
      </c>
      <c r="E60" s="10" t="s">
        <v>118</v>
      </c>
      <c r="F60" s="10" t="s">
        <v>255</v>
      </c>
      <c r="G60" s="10" t="s">
        <v>252</v>
      </c>
      <c r="H60" s="16"/>
      <c r="I60" s="16"/>
      <c r="J60" s="18">
        <v>5</v>
      </c>
    </row>
    <row r="61" spans="1:10" ht="16.5">
      <c r="A61" s="11" t="s">
        <v>256</v>
      </c>
      <c r="B61" s="11" t="s">
        <v>257</v>
      </c>
      <c r="C61" s="11" t="s">
        <v>117</v>
      </c>
      <c r="D61" s="11" t="s">
        <v>250</v>
      </c>
      <c r="E61" s="10" t="s">
        <v>118</v>
      </c>
      <c r="F61" s="10" t="s">
        <v>258</v>
      </c>
      <c r="G61" s="10" t="s">
        <v>259</v>
      </c>
      <c r="H61" s="16"/>
      <c r="I61" s="16"/>
      <c r="J61" s="18">
        <v>10</v>
      </c>
    </row>
    <row r="62" spans="1:10" ht="16.5">
      <c r="A62" s="11" t="s">
        <v>260</v>
      </c>
      <c r="B62" s="11" t="s">
        <v>261</v>
      </c>
      <c r="C62" s="11" t="s">
        <v>117</v>
      </c>
      <c r="D62" s="11" t="s">
        <v>250</v>
      </c>
      <c r="E62" s="10" t="s">
        <v>118</v>
      </c>
      <c r="F62" s="10" t="s">
        <v>262</v>
      </c>
      <c r="G62" s="10" t="s">
        <v>95</v>
      </c>
      <c r="H62" s="16"/>
      <c r="I62" s="16"/>
      <c r="J62" s="18">
        <v>5</v>
      </c>
    </row>
    <row r="63" spans="1:10" ht="32.25">
      <c r="A63" s="11" t="s">
        <v>263</v>
      </c>
      <c r="B63" s="11" t="s">
        <v>264</v>
      </c>
      <c r="C63" s="11" t="s">
        <v>117</v>
      </c>
      <c r="D63" s="11" t="s">
        <v>250</v>
      </c>
      <c r="E63" s="10" t="s">
        <v>118</v>
      </c>
      <c r="F63" s="10" t="s">
        <v>265</v>
      </c>
      <c r="G63" s="10" t="s">
        <v>266</v>
      </c>
      <c r="H63" s="16"/>
      <c r="I63" s="16"/>
      <c r="J63" s="18">
        <v>4</v>
      </c>
    </row>
    <row r="64" spans="1:10" ht="48.75">
      <c r="A64" s="11" t="s">
        <v>267</v>
      </c>
      <c r="B64" s="11" t="s">
        <v>268</v>
      </c>
      <c r="C64" s="11" t="s">
        <v>117</v>
      </c>
      <c r="D64" s="11" t="s">
        <v>250</v>
      </c>
      <c r="E64" s="10" t="s">
        <v>118</v>
      </c>
      <c r="F64" s="10" t="s">
        <v>269</v>
      </c>
      <c r="G64" s="10" t="s">
        <v>270</v>
      </c>
      <c r="H64" s="16"/>
      <c r="I64" s="17"/>
      <c r="J64" s="38">
        <v>6</v>
      </c>
    </row>
    <row r="65" spans="1:10" ht="16.5">
      <c r="A65" s="11" t="s">
        <v>271</v>
      </c>
      <c r="B65" s="11" t="s">
        <v>272</v>
      </c>
      <c r="C65" s="11" t="s">
        <v>117</v>
      </c>
      <c r="D65" s="11" t="s">
        <v>250</v>
      </c>
      <c r="E65" s="10" t="s">
        <v>118</v>
      </c>
      <c r="F65" s="10" t="s">
        <v>273</v>
      </c>
      <c r="G65" s="10" t="s">
        <v>274</v>
      </c>
      <c r="H65" s="16"/>
      <c r="I65" s="16"/>
      <c r="J65" s="18">
        <v>4</v>
      </c>
    </row>
    <row r="66" spans="1:10" s="15" customFormat="1" ht="16.5">
      <c r="A66" s="19" t="s">
        <v>275</v>
      </c>
      <c r="B66" s="19" t="s">
        <v>276</v>
      </c>
      <c r="C66" s="19" t="s">
        <v>117</v>
      </c>
      <c r="D66" s="19" t="s">
        <v>250</v>
      </c>
      <c r="E66" s="20" t="s">
        <v>118</v>
      </c>
      <c r="F66" s="20" t="s">
        <v>277</v>
      </c>
      <c r="G66" s="20" t="s">
        <v>259</v>
      </c>
      <c r="H66" s="21" t="s">
        <v>51</v>
      </c>
      <c r="I66" s="17"/>
      <c r="J66" s="38"/>
    </row>
    <row r="67" spans="1:10" s="15" customFormat="1" ht="32.25">
      <c r="A67" s="19" t="s">
        <v>278</v>
      </c>
      <c r="B67" s="19" t="s">
        <v>279</v>
      </c>
      <c r="C67" s="19" t="s">
        <v>117</v>
      </c>
      <c r="D67" s="19" t="s">
        <v>250</v>
      </c>
      <c r="E67" s="20" t="s">
        <v>118</v>
      </c>
      <c r="F67" s="20" t="s">
        <v>280</v>
      </c>
      <c r="G67" s="20" t="s">
        <v>281</v>
      </c>
      <c r="H67" s="21" t="s">
        <v>51</v>
      </c>
      <c r="I67" s="17"/>
      <c r="J67" s="38"/>
    </row>
    <row r="68" spans="1:10" s="15" customFormat="1" ht="48.75">
      <c r="A68" s="19" t="s">
        <v>282</v>
      </c>
      <c r="B68" s="19" t="s">
        <v>283</v>
      </c>
      <c r="C68" s="19" t="s">
        <v>117</v>
      </c>
      <c r="D68" s="19" t="s">
        <v>250</v>
      </c>
      <c r="E68" s="20" t="s">
        <v>118</v>
      </c>
      <c r="F68" s="20" t="s">
        <v>284</v>
      </c>
      <c r="G68" s="20" t="s">
        <v>285</v>
      </c>
      <c r="H68" s="21" t="s">
        <v>51</v>
      </c>
      <c r="I68" s="17"/>
      <c r="J68" s="38"/>
    </row>
    <row r="69" spans="1:10" s="30" customFormat="1">
      <c r="A69" s="26" t="s">
        <v>286</v>
      </c>
      <c r="B69" s="26"/>
      <c r="C69" s="26"/>
      <c r="D69" s="26"/>
      <c r="E69" s="27"/>
      <c r="F69" s="28"/>
      <c r="G69" s="28"/>
      <c r="H69" s="29"/>
      <c r="I69" s="29"/>
      <c r="J69" s="34">
        <f>SUM(J70:J71)</f>
        <v>0</v>
      </c>
    </row>
    <row r="70" spans="1:10" s="15" customFormat="1" ht="16.5">
      <c r="A70" s="19" t="s">
        <v>287</v>
      </c>
      <c r="B70" s="19" t="s">
        <v>288</v>
      </c>
      <c r="C70" s="19" t="s">
        <v>289</v>
      </c>
      <c r="D70" s="19" t="s">
        <v>290</v>
      </c>
      <c r="E70" s="20" t="s">
        <v>85</v>
      </c>
      <c r="F70" s="20" t="s">
        <v>291</v>
      </c>
      <c r="G70" s="20" t="s">
        <v>292</v>
      </c>
      <c r="H70" s="21" t="s">
        <v>51</v>
      </c>
      <c r="I70" s="17"/>
      <c r="J70" s="38"/>
    </row>
    <row r="71" spans="1:10" s="15" customFormat="1" ht="16.5">
      <c r="A71" s="19" t="s">
        <v>293</v>
      </c>
      <c r="B71" s="19" t="s">
        <v>294</v>
      </c>
      <c r="C71" s="19" t="s">
        <v>84</v>
      </c>
      <c r="D71" s="19" t="s">
        <v>290</v>
      </c>
      <c r="E71" s="20" t="s">
        <v>85</v>
      </c>
      <c r="F71" s="20" t="s">
        <v>295</v>
      </c>
      <c r="G71" s="20" t="s">
        <v>292</v>
      </c>
      <c r="H71" s="21" t="s">
        <v>51</v>
      </c>
      <c r="I71" s="17"/>
      <c r="J71" s="38"/>
    </row>
    <row r="72" spans="1:10" s="30" customFormat="1">
      <c r="A72" s="26" t="s">
        <v>296</v>
      </c>
      <c r="B72" s="26"/>
      <c r="C72" s="26"/>
      <c r="D72" s="26"/>
      <c r="E72" s="27"/>
      <c r="F72" s="28"/>
      <c r="G72" s="28"/>
      <c r="H72" s="29"/>
      <c r="I72" s="29"/>
      <c r="J72" s="34">
        <f>SUM(J73:J80)</f>
        <v>36</v>
      </c>
    </row>
    <row r="73" spans="1:10" s="15" customFormat="1" ht="32.25">
      <c r="A73" s="13" t="s">
        <v>297</v>
      </c>
      <c r="B73" s="13" t="s">
        <v>298</v>
      </c>
      <c r="C73" s="13" t="s">
        <v>299</v>
      </c>
      <c r="D73" s="13" t="s">
        <v>300</v>
      </c>
      <c r="E73" s="14" t="s">
        <v>41</v>
      </c>
      <c r="F73" s="14" t="s">
        <v>301</v>
      </c>
      <c r="G73" s="14" t="s">
        <v>302</v>
      </c>
      <c r="H73" s="17"/>
      <c r="I73" s="17"/>
      <c r="J73" s="38">
        <v>6</v>
      </c>
    </row>
    <row r="74" spans="1:10" s="15" customFormat="1" ht="32.25">
      <c r="A74" s="13" t="s">
        <v>303</v>
      </c>
      <c r="B74" s="13" t="s">
        <v>304</v>
      </c>
      <c r="C74" s="13" t="s">
        <v>305</v>
      </c>
      <c r="D74" s="13" t="s">
        <v>300</v>
      </c>
      <c r="E74" s="14" t="s">
        <v>41</v>
      </c>
      <c r="F74" s="14" t="s">
        <v>306</v>
      </c>
      <c r="G74" s="14" t="s">
        <v>307</v>
      </c>
      <c r="H74" s="17"/>
      <c r="I74" s="17"/>
      <c r="J74" s="38">
        <v>5</v>
      </c>
    </row>
    <row r="75" spans="1:10" s="15" customFormat="1" ht="48.75">
      <c r="A75" s="13" t="s">
        <v>308</v>
      </c>
      <c r="B75" s="13" t="s">
        <v>309</v>
      </c>
      <c r="C75" s="13" t="s">
        <v>84</v>
      </c>
      <c r="D75" s="13" t="s">
        <v>300</v>
      </c>
      <c r="E75" s="14" t="s">
        <v>85</v>
      </c>
      <c r="F75" s="14" t="s">
        <v>310</v>
      </c>
      <c r="G75" s="14" t="s">
        <v>311</v>
      </c>
      <c r="H75" s="17"/>
      <c r="I75" s="17"/>
      <c r="J75" s="38">
        <v>7</v>
      </c>
    </row>
    <row r="76" spans="1:10" s="15" customFormat="1" ht="16.5">
      <c r="A76" s="13" t="s">
        <v>312</v>
      </c>
      <c r="B76" s="13" t="s">
        <v>313</v>
      </c>
      <c r="C76" s="13" t="s">
        <v>84</v>
      </c>
      <c r="D76" s="13" t="s">
        <v>300</v>
      </c>
      <c r="E76" s="14" t="s">
        <v>85</v>
      </c>
      <c r="F76" s="14" t="s">
        <v>314</v>
      </c>
      <c r="G76" s="14" t="s">
        <v>311</v>
      </c>
      <c r="H76" s="17"/>
      <c r="I76" s="17"/>
      <c r="J76" s="38">
        <v>5</v>
      </c>
    </row>
    <row r="77" spans="1:10" s="15" customFormat="1" ht="32.25">
      <c r="A77" s="19" t="s">
        <v>315</v>
      </c>
      <c r="B77" s="19" t="s">
        <v>316</v>
      </c>
      <c r="C77" s="19" t="s">
        <v>84</v>
      </c>
      <c r="D77" s="19" t="s">
        <v>300</v>
      </c>
      <c r="E77" s="20" t="s">
        <v>85</v>
      </c>
      <c r="F77" s="20" t="s">
        <v>317</v>
      </c>
      <c r="G77" s="20" t="s">
        <v>318</v>
      </c>
      <c r="H77" s="21" t="s">
        <v>51</v>
      </c>
      <c r="I77" s="17"/>
      <c r="J77" s="38"/>
    </row>
    <row r="78" spans="1:10" s="15" customFormat="1" ht="32.25">
      <c r="A78" s="13" t="s">
        <v>319</v>
      </c>
      <c r="B78" s="13" t="s">
        <v>320</v>
      </c>
      <c r="C78" s="13" t="s">
        <v>84</v>
      </c>
      <c r="D78" s="13" t="s">
        <v>300</v>
      </c>
      <c r="E78" s="14" t="s">
        <v>85</v>
      </c>
      <c r="F78" s="14" t="s">
        <v>321</v>
      </c>
      <c r="G78" s="14" t="s">
        <v>322</v>
      </c>
      <c r="H78" s="17"/>
      <c r="I78" s="17"/>
      <c r="J78" s="38">
        <v>5</v>
      </c>
    </row>
    <row r="79" spans="1:10" s="15" customFormat="1" ht="32.25">
      <c r="A79" s="13" t="s">
        <v>323</v>
      </c>
      <c r="B79" s="13" t="s">
        <v>324</v>
      </c>
      <c r="C79" s="13" t="s">
        <v>84</v>
      </c>
      <c r="D79" s="13" t="s">
        <v>300</v>
      </c>
      <c r="E79" s="14" t="s">
        <v>85</v>
      </c>
      <c r="F79" s="14" t="s">
        <v>325</v>
      </c>
      <c r="G79" s="14" t="s">
        <v>326</v>
      </c>
      <c r="H79" s="17"/>
      <c r="I79" s="17"/>
      <c r="J79" s="38">
        <v>8</v>
      </c>
    </row>
    <row r="80" spans="1:10" s="15" customFormat="1" ht="32.25">
      <c r="A80" s="19" t="s">
        <v>327</v>
      </c>
      <c r="B80" s="19" t="s">
        <v>328</v>
      </c>
      <c r="C80" s="19" t="s">
        <v>84</v>
      </c>
      <c r="D80" s="19" t="s">
        <v>300</v>
      </c>
      <c r="E80" s="20" t="s">
        <v>85</v>
      </c>
      <c r="F80" s="20" t="s">
        <v>329</v>
      </c>
      <c r="G80" s="20" t="s">
        <v>330</v>
      </c>
      <c r="H80" s="21" t="s">
        <v>51</v>
      </c>
      <c r="I80" s="17"/>
      <c r="J80" s="38"/>
    </row>
    <row r="81" spans="1:10" s="30" customFormat="1">
      <c r="A81" s="26" t="s">
        <v>331</v>
      </c>
      <c r="B81" s="26"/>
      <c r="C81" s="26"/>
      <c r="D81" s="26"/>
      <c r="E81" s="27"/>
      <c r="F81" s="28"/>
      <c r="G81" s="28"/>
      <c r="H81" s="29"/>
      <c r="I81" s="29"/>
      <c r="J81" s="34">
        <f>SUM(J82:J84)</f>
        <v>0</v>
      </c>
    </row>
    <row r="82" spans="1:10" s="15" customFormat="1" ht="48.75">
      <c r="A82" s="19" t="s">
        <v>332</v>
      </c>
      <c r="B82" s="19" t="s">
        <v>333</v>
      </c>
      <c r="C82" s="19" t="s">
        <v>334</v>
      </c>
      <c r="D82" s="19" t="s">
        <v>335</v>
      </c>
      <c r="E82" s="20" t="s">
        <v>85</v>
      </c>
      <c r="F82" s="20" t="s">
        <v>336</v>
      </c>
      <c r="G82" s="20" t="s">
        <v>337</v>
      </c>
      <c r="H82" s="21" t="s">
        <v>51</v>
      </c>
      <c r="I82" s="23" t="s">
        <v>338</v>
      </c>
      <c r="J82" s="37"/>
    </row>
    <row r="83" spans="1:10" s="15" customFormat="1" ht="32.25">
      <c r="A83" s="19" t="s">
        <v>339</v>
      </c>
      <c r="B83" s="19" t="s">
        <v>340</v>
      </c>
      <c r="C83" s="19" t="s">
        <v>334</v>
      </c>
      <c r="D83" s="19" t="s">
        <v>335</v>
      </c>
      <c r="E83" s="20" t="s">
        <v>85</v>
      </c>
      <c r="F83" s="20" t="s">
        <v>341</v>
      </c>
      <c r="G83" s="20" t="s">
        <v>342</v>
      </c>
      <c r="H83" s="21" t="s">
        <v>51</v>
      </c>
      <c r="I83" s="23" t="s">
        <v>338</v>
      </c>
      <c r="J83" s="37"/>
    </row>
    <row r="84" spans="1:10" s="15" customFormat="1" ht="48.75">
      <c r="A84" s="19" t="s">
        <v>343</v>
      </c>
      <c r="B84" s="19" t="s">
        <v>344</v>
      </c>
      <c r="C84" s="19" t="s">
        <v>345</v>
      </c>
      <c r="D84" s="19" t="s">
        <v>346</v>
      </c>
      <c r="E84" s="20" t="s">
        <v>118</v>
      </c>
      <c r="F84" s="20" t="s">
        <v>347</v>
      </c>
      <c r="G84" s="20" t="s">
        <v>348</v>
      </c>
      <c r="H84" s="21" t="s">
        <v>51</v>
      </c>
      <c r="I84" s="17"/>
      <c r="J84" s="38"/>
    </row>
    <row r="85" spans="1:10" s="30" customFormat="1">
      <c r="A85" s="26" t="s">
        <v>349</v>
      </c>
      <c r="B85" s="26"/>
      <c r="C85" s="26"/>
      <c r="D85" s="26"/>
      <c r="E85" s="27"/>
      <c r="F85" s="28"/>
      <c r="G85" s="28"/>
      <c r="H85" s="29"/>
      <c r="I85" s="29"/>
      <c r="J85" s="34">
        <f>SUM(J86:J89)</f>
        <v>0</v>
      </c>
    </row>
    <row r="86" spans="1:10" s="15" customFormat="1" ht="48.75">
      <c r="A86" s="19" t="s">
        <v>350</v>
      </c>
      <c r="B86" s="19" t="s">
        <v>351</v>
      </c>
      <c r="C86" s="19" t="s">
        <v>352</v>
      </c>
      <c r="D86" s="19" t="s">
        <v>353</v>
      </c>
      <c r="E86" s="20" t="s">
        <v>85</v>
      </c>
      <c r="F86" s="20" t="s">
        <v>354</v>
      </c>
      <c r="G86" s="20" t="s">
        <v>355</v>
      </c>
      <c r="H86" s="21" t="s">
        <v>51</v>
      </c>
      <c r="I86" s="17"/>
      <c r="J86" s="38"/>
    </row>
    <row r="87" spans="1:10" s="15" customFormat="1" ht="32.25">
      <c r="A87" s="19" t="s">
        <v>356</v>
      </c>
      <c r="B87" s="19" t="s">
        <v>357</v>
      </c>
      <c r="C87" s="19" t="s">
        <v>334</v>
      </c>
      <c r="D87" s="19" t="s">
        <v>353</v>
      </c>
      <c r="E87" s="20" t="s">
        <v>85</v>
      </c>
      <c r="F87" s="20" t="s">
        <v>358</v>
      </c>
      <c r="G87" s="20" t="s">
        <v>355</v>
      </c>
      <c r="H87" s="21" t="s">
        <v>51</v>
      </c>
      <c r="I87" s="17"/>
      <c r="J87" s="38"/>
    </row>
    <row r="88" spans="1:10" s="15" customFormat="1" ht="32.25">
      <c r="A88" s="19" t="s">
        <v>359</v>
      </c>
      <c r="B88" s="19" t="s">
        <v>360</v>
      </c>
      <c r="C88" s="19" t="s">
        <v>289</v>
      </c>
      <c r="D88" s="19" t="s">
        <v>353</v>
      </c>
      <c r="E88" s="20" t="s">
        <v>85</v>
      </c>
      <c r="F88" s="20" t="s">
        <v>361</v>
      </c>
      <c r="G88" s="20" t="s">
        <v>330</v>
      </c>
      <c r="H88" s="21" t="s">
        <v>51</v>
      </c>
      <c r="I88" s="17"/>
      <c r="J88" s="38"/>
    </row>
    <row r="89" spans="1:10" s="15" customFormat="1" ht="48.75">
      <c r="A89" s="19" t="s">
        <v>362</v>
      </c>
      <c r="B89" s="19" t="s">
        <v>363</v>
      </c>
      <c r="C89" s="19" t="s">
        <v>106</v>
      </c>
      <c r="D89" s="19" t="s">
        <v>353</v>
      </c>
      <c r="E89" s="20" t="s">
        <v>108</v>
      </c>
      <c r="F89" s="20" t="s">
        <v>364</v>
      </c>
      <c r="G89" s="20" t="s">
        <v>365</v>
      </c>
      <c r="H89" s="21" t="s">
        <v>51</v>
      </c>
      <c r="I89" s="17"/>
      <c r="J89" s="38"/>
    </row>
    <row r="90" spans="1:10" s="30" customFormat="1">
      <c r="A90" s="26" t="s">
        <v>366</v>
      </c>
      <c r="B90" s="26"/>
      <c r="C90" s="26"/>
      <c r="D90" s="26"/>
      <c r="E90" s="27"/>
      <c r="F90" s="28"/>
      <c r="G90" s="28"/>
      <c r="H90" s="29"/>
      <c r="I90" s="29"/>
      <c r="J90" s="34">
        <f>SUM(J91:J107)</f>
        <v>135</v>
      </c>
    </row>
    <row r="91" spans="1:10" s="15" customFormat="1" ht="48.75">
      <c r="A91" s="13" t="s">
        <v>367</v>
      </c>
      <c r="B91" s="13" t="s">
        <v>368</v>
      </c>
      <c r="C91" s="13" t="s">
        <v>289</v>
      </c>
      <c r="D91" s="13" t="s">
        <v>369</v>
      </c>
      <c r="E91" s="14" t="s">
        <v>85</v>
      </c>
      <c r="F91" s="14" t="s">
        <v>370</v>
      </c>
      <c r="G91" s="14" t="s">
        <v>371</v>
      </c>
      <c r="H91" s="17"/>
      <c r="I91" s="17"/>
      <c r="J91" s="38">
        <v>8</v>
      </c>
    </row>
    <row r="92" spans="1:10" s="15" customFormat="1" ht="48.75">
      <c r="A92" s="13" t="s">
        <v>372</v>
      </c>
      <c r="B92" s="13" t="s">
        <v>373</v>
      </c>
      <c r="C92" s="13" t="s">
        <v>106</v>
      </c>
      <c r="D92" s="13" t="s">
        <v>369</v>
      </c>
      <c r="E92" s="14" t="s">
        <v>108</v>
      </c>
      <c r="F92" s="14" t="s">
        <v>374</v>
      </c>
      <c r="G92" s="14" t="s">
        <v>371</v>
      </c>
      <c r="H92" s="17"/>
      <c r="I92" s="17"/>
      <c r="J92" s="38">
        <v>5</v>
      </c>
    </row>
    <row r="93" spans="1:10" s="15" customFormat="1" ht="32.25">
      <c r="A93" s="13" t="s">
        <v>375</v>
      </c>
      <c r="B93" s="13" t="s">
        <v>376</v>
      </c>
      <c r="C93" s="13" t="s">
        <v>289</v>
      </c>
      <c r="D93" s="13" t="s">
        <v>369</v>
      </c>
      <c r="E93" s="14" t="s">
        <v>85</v>
      </c>
      <c r="F93" s="14" t="s">
        <v>377</v>
      </c>
      <c r="G93" s="14" t="s">
        <v>371</v>
      </c>
      <c r="H93" s="17"/>
      <c r="I93" s="17"/>
      <c r="J93" s="38">
        <v>5</v>
      </c>
    </row>
    <row r="94" spans="1:10" s="15" customFormat="1" ht="32.25">
      <c r="A94" s="13" t="s">
        <v>378</v>
      </c>
      <c r="B94" s="13" t="s">
        <v>379</v>
      </c>
      <c r="C94" s="13" t="s">
        <v>289</v>
      </c>
      <c r="D94" s="13" t="s">
        <v>369</v>
      </c>
      <c r="E94" s="14" t="s">
        <v>85</v>
      </c>
      <c r="F94" s="14" t="s">
        <v>380</v>
      </c>
      <c r="G94" s="14" t="s">
        <v>381</v>
      </c>
      <c r="H94" s="17"/>
      <c r="I94" s="17"/>
      <c r="J94" s="38">
        <v>9</v>
      </c>
    </row>
    <row r="95" spans="1:10" s="15" customFormat="1" ht="32.25">
      <c r="A95" s="13" t="s">
        <v>382</v>
      </c>
      <c r="B95" s="13" t="s">
        <v>383</v>
      </c>
      <c r="C95" s="13" t="s">
        <v>289</v>
      </c>
      <c r="D95" s="13" t="s">
        <v>369</v>
      </c>
      <c r="E95" s="14" t="s">
        <v>85</v>
      </c>
      <c r="F95" s="14" t="s">
        <v>384</v>
      </c>
      <c r="G95" s="14" t="s">
        <v>381</v>
      </c>
      <c r="H95" s="17"/>
      <c r="I95" s="17"/>
      <c r="J95" s="38">
        <v>6</v>
      </c>
    </row>
    <row r="96" spans="1:10" s="15" customFormat="1" ht="32.25">
      <c r="A96" s="13" t="s">
        <v>385</v>
      </c>
      <c r="B96" s="13" t="s">
        <v>386</v>
      </c>
      <c r="C96" s="13" t="s">
        <v>289</v>
      </c>
      <c r="D96" s="13" t="s">
        <v>369</v>
      </c>
      <c r="E96" s="14" t="s">
        <v>85</v>
      </c>
      <c r="F96" s="14" t="s">
        <v>387</v>
      </c>
      <c r="G96" s="14" t="s">
        <v>388</v>
      </c>
      <c r="H96" s="17"/>
      <c r="I96" s="17"/>
      <c r="J96" s="38">
        <v>8</v>
      </c>
    </row>
    <row r="97" spans="1:10" s="15" customFormat="1" ht="32.25">
      <c r="A97" s="13" t="s">
        <v>389</v>
      </c>
      <c r="B97" s="13" t="s">
        <v>390</v>
      </c>
      <c r="C97" s="13" t="s">
        <v>289</v>
      </c>
      <c r="D97" s="13" t="s">
        <v>369</v>
      </c>
      <c r="E97" s="14" t="s">
        <v>85</v>
      </c>
      <c r="F97" s="14" t="s">
        <v>391</v>
      </c>
      <c r="G97" s="14" t="s">
        <v>388</v>
      </c>
      <c r="H97" s="17"/>
      <c r="I97" s="17"/>
      <c r="J97" s="38">
        <v>6</v>
      </c>
    </row>
    <row r="98" spans="1:10" s="15" customFormat="1" ht="48.75">
      <c r="A98" s="13" t="s">
        <v>392</v>
      </c>
      <c r="B98" s="13" t="s">
        <v>393</v>
      </c>
      <c r="C98" s="13" t="s">
        <v>289</v>
      </c>
      <c r="D98" s="13" t="s">
        <v>369</v>
      </c>
      <c r="E98" s="14" t="s">
        <v>85</v>
      </c>
      <c r="F98" s="14" t="s">
        <v>394</v>
      </c>
      <c r="G98" s="14" t="s">
        <v>395</v>
      </c>
      <c r="H98" s="17"/>
      <c r="I98" s="17"/>
      <c r="J98" s="38">
        <v>16</v>
      </c>
    </row>
    <row r="99" spans="1:10" s="15" customFormat="1" ht="32.25">
      <c r="A99" s="13" t="s">
        <v>396</v>
      </c>
      <c r="B99" s="13" t="s">
        <v>397</v>
      </c>
      <c r="C99" s="13" t="s">
        <v>289</v>
      </c>
      <c r="D99" s="13" t="s">
        <v>369</v>
      </c>
      <c r="E99" s="14" t="s">
        <v>85</v>
      </c>
      <c r="F99" s="14" t="s">
        <v>398</v>
      </c>
      <c r="G99" s="14" t="s">
        <v>399</v>
      </c>
      <c r="H99" s="17"/>
      <c r="I99" s="17"/>
      <c r="J99" s="38">
        <v>5</v>
      </c>
    </row>
    <row r="100" spans="1:10" s="15" customFormat="1" ht="64.5">
      <c r="A100" s="13" t="s">
        <v>400</v>
      </c>
      <c r="B100" s="13" t="s">
        <v>401</v>
      </c>
      <c r="C100" s="13" t="s">
        <v>289</v>
      </c>
      <c r="D100" s="13" t="s">
        <v>369</v>
      </c>
      <c r="E100" s="14" t="s">
        <v>85</v>
      </c>
      <c r="F100" s="14" t="s">
        <v>402</v>
      </c>
      <c r="G100" s="14" t="s">
        <v>403</v>
      </c>
      <c r="H100" s="17"/>
      <c r="I100" s="17"/>
      <c r="J100" s="38">
        <v>8</v>
      </c>
    </row>
    <row r="101" spans="1:10" s="15" customFormat="1" ht="32.25">
      <c r="A101" s="13" t="s">
        <v>404</v>
      </c>
      <c r="B101" s="13" t="s">
        <v>405</v>
      </c>
      <c r="C101" s="13" t="s">
        <v>289</v>
      </c>
      <c r="D101" s="13" t="s">
        <v>369</v>
      </c>
      <c r="E101" s="14" t="s">
        <v>85</v>
      </c>
      <c r="F101" s="14" t="s">
        <v>406</v>
      </c>
      <c r="G101" s="14" t="s">
        <v>407</v>
      </c>
      <c r="H101" s="17"/>
      <c r="I101" s="17"/>
      <c r="J101" s="38">
        <v>4</v>
      </c>
    </row>
    <row r="102" spans="1:10" s="15" customFormat="1" ht="48.75">
      <c r="A102" s="13" t="s">
        <v>408</v>
      </c>
      <c r="B102" s="13" t="s">
        <v>409</v>
      </c>
      <c r="C102" s="13" t="s">
        <v>289</v>
      </c>
      <c r="D102" s="13" t="s">
        <v>369</v>
      </c>
      <c r="E102" s="14" t="s">
        <v>85</v>
      </c>
      <c r="F102" s="14" t="s">
        <v>410</v>
      </c>
      <c r="G102" s="14" t="s">
        <v>411</v>
      </c>
      <c r="H102" s="17"/>
      <c r="I102" s="17"/>
      <c r="J102" s="38">
        <v>12</v>
      </c>
    </row>
    <row r="103" spans="1:10" s="15" customFormat="1" ht="48.75">
      <c r="A103" s="13" t="s">
        <v>412</v>
      </c>
      <c r="B103" s="13" t="s">
        <v>413</v>
      </c>
      <c r="C103" s="13" t="s">
        <v>289</v>
      </c>
      <c r="D103" s="13" t="s">
        <v>369</v>
      </c>
      <c r="E103" s="14" t="s">
        <v>85</v>
      </c>
      <c r="F103" s="14" t="s">
        <v>414</v>
      </c>
      <c r="G103" s="14" t="s">
        <v>415</v>
      </c>
      <c r="H103" s="17"/>
      <c r="I103" s="17"/>
      <c r="J103" s="38">
        <v>8</v>
      </c>
    </row>
    <row r="104" spans="1:10" s="15" customFormat="1" ht="32.25">
      <c r="A104" s="13" t="s">
        <v>416</v>
      </c>
      <c r="B104" s="13" t="s">
        <v>417</v>
      </c>
      <c r="C104" s="13" t="s">
        <v>84</v>
      </c>
      <c r="D104" s="13" t="s">
        <v>369</v>
      </c>
      <c r="E104" s="14" t="s">
        <v>85</v>
      </c>
      <c r="F104" s="14" t="s">
        <v>418</v>
      </c>
      <c r="G104" s="14" t="s">
        <v>419</v>
      </c>
      <c r="H104" s="17"/>
      <c r="I104" s="17"/>
      <c r="J104" s="38">
        <v>5</v>
      </c>
    </row>
    <row r="105" spans="1:10" s="15" customFormat="1" ht="48.75">
      <c r="A105" s="13" t="s">
        <v>420</v>
      </c>
      <c r="B105" s="13" t="s">
        <v>421</v>
      </c>
      <c r="C105" s="13" t="s">
        <v>84</v>
      </c>
      <c r="D105" s="13" t="s">
        <v>369</v>
      </c>
      <c r="E105" s="14" t="s">
        <v>85</v>
      </c>
      <c r="F105" s="14" t="s">
        <v>422</v>
      </c>
      <c r="G105" s="14" t="s">
        <v>423</v>
      </c>
      <c r="H105" s="17"/>
      <c r="I105" s="17"/>
      <c r="J105" s="38">
        <v>5</v>
      </c>
    </row>
    <row r="106" spans="1:10" s="15" customFormat="1" ht="48.75">
      <c r="A106" s="13" t="s">
        <v>424</v>
      </c>
      <c r="B106" s="13" t="s">
        <v>425</v>
      </c>
      <c r="C106" s="13" t="s">
        <v>84</v>
      </c>
      <c r="D106" s="13" t="s">
        <v>369</v>
      </c>
      <c r="E106" s="14" t="s">
        <v>85</v>
      </c>
      <c r="F106" s="14" t="s">
        <v>426</v>
      </c>
      <c r="G106" s="14" t="s">
        <v>427</v>
      </c>
      <c r="H106" s="17"/>
      <c r="I106" s="17"/>
      <c r="J106" s="38">
        <v>5</v>
      </c>
    </row>
    <row r="107" spans="1:10" s="15" customFormat="1" ht="64.5">
      <c r="A107" s="13" t="s">
        <v>428</v>
      </c>
      <c r="B107" s="13" t="s">
        <v>429</v>
      </c>
      <c r="C107" s="13" t="s">
        <v>430</v>
      </c>
      <c r="D107" s="13" t="s">
        <v>369</v>
      </c>
      <c r="E107" s="14" t="s">
        <v>118</v>
      </c>
      <c r="F107" s="14" t="s">
        <v>431</v>
      </c>
      <c r="G107" s="14" t="s">
        <v>432</v>
      </c>
      <c r="H107" s="17"/>
      <c r="I107" s="17"/>
      <c r="J107" s="38">
        <v>20</v>
      </c>
    </row>
    <row r="108" spans="1:10" s="30" customFormat="1">
      <c r="A108" s="26" t="s">
        <v>433</v>
      </c>
      <c r="B108" s="26"/>
      <c r="C108" s="26"/>
      <c r="D108" s="26"/>
      <c r="E108" s="27"/>
      <c r="F108" s="28"/>
      <c r="G108" s="28"/>
      <c r="H108" s="29"/>
      <c r="I108" s="29"/>
      <c r="J108" s="34">
        <f>SUM(J109:J111)</f>
        <v>0</v>
      </c>
    </row>
    <row r="109" spans="1:10" s="15" customFormat="1" ht="32.25">
      <c r="A109" s="19" t="s">
        <v>434</v>
      </c>
      <c r="B109" s="19" t="s">
        <v>435</v>
      </c>
      <c r="C109" s="19" t="s">
        <v>289</v>
      </c>
      <c r="D109" s="19" t="s">
        <v>436</v>
      </c>
      <c r="E109" s="20" t="s">
        <v>85</v>
      </c>
      <c r="F109" s="20" t="s">
        <v>437</v>
      </c>
      <c r="G109" s="20" t="s">
        <v>438</v>
      </c>
      <c r="H109" s="21" t="s">
        <v>51</v>
      </c>
      <c r="I109" s="17"/>
      <c r="J109" s="38"/>
    </row>
    <row r="110" spans="1:10" s="15" customFormat="1" ht="32.25">
      <c r="A110" s="19" t="s">
        <v>439</v>
      </c>
      <c r="B110" s="19" t="s">
        <v>440</v>
      </c>
      <c r="C110" s="19" t="s">
        <v>289</v>
      </c>
      <c r="D110" s="19" t="s">
        <v>436</v>
      </c>
      <c r="E110" s="20" t="s">
        <v>85</v>
      </c>
      <c r="F110" s="20" t="s">
        <v>441</v>
      </c>
      <c r="G110" s="20" t="s">
        <v>438</v>
      </c>
      <c r="H110" s="21" t="s">
        <v>51</v>
      </c>
      <c r="I110" s="17"/>
      <c r="J110" s="38"/>
    </row>
    <row r="111" spans="1:10" s="15" customFormat="1" ht="32.25">
      <c r="A111" s="19" t="s">
        <v>442</v>
      </c>
      <c r="B111" s="19" t="s">
        <v>443</v>
      </c>
      <c r="C111" s="19" t="s">
        <v>444</v>
      </c>
      <c r="D111" s="19" t="s">
        <v>436</v>
      </c>
      <c r="E111" s="20" t="s">
        <v>85</v>
      </c>
      <c r="F111" s="20" t="s">
        <v>445</v>
      </c>
      <c r="G111" s="20" t="s">
        <v>446</v>
      </c>
      <c r="H111" s="21" t="s">
        <v>51</v>
      </c>
      <c r="I111" s="17"/>
      <c r="J111" s="38"/>
    </row>
    <row r="112" spans="1:10" s="30" customFormat="1">
      <c r="A112" s="26" t="s">
        <v>447</v>
      </c>
      <c r="B112" s="26"/>
      <c r="C112" s="26"/>
      <c r="D112" s="26"/>
      <c r="E112" s="27"/>
      <c r="F112" s="28"/>
      <c r="G112" s="28"/>
      <c r="H112" s="29"/>
      <c r="I112" s="29"/>
      <c r="J112" s="34">
        <f>SUM(J113:J117)</f>
        <v>0</v>
      </c>
    </row>
    <row r="113" spans="1:10" s="15" customFormat="1" ht="48.75">
      <c r="A113" s="19" t="s">
        <v>448</v>
      </c>
      <c r="B113" s="19" t="s">
        <v>449</v>
      </c>
      <c r="C113" s="19" t="s">
        <v>106</v>
      </c>
      <c r="D113" s="19" t="s">
        <v>450</v>
      </c>
      <c r="E113" s="20" t="s">
        <v>108</v>
      </c>
      <c r="F113" s="20" t="s">
        <v>451</v>
      </c>
      <c r="G113" s="20" t="s">
        <v>452</v>
      </c>
      <c r="H113" s="21" t="s">
        <v>51</v>
      </c>
      <c r="I113" s="17"/>
      <c r="J113" s="38"/>
    </row>
    <row r="114" spans="1:10" s="15" customFormat="1" ht="32.25">
      <c r="A114" s="19" t="s">
        <v>453</v>
      </c>
      <c r="B114" s="19" t="s">
        <v>454</v>
      </c>
      <c r="C114" s="19" t="s">
        <v>106</v>
      </c>
      <c r="D114" s="19" t="s">
        <v>450</v>
      </c>
      <c r="E114" s="20" t="s">
        <v>108</v>
      </c>
      <c r="F114" s="20" t="s">
        <v>455</v>
      </c>
      <c r="G114" s="20" t="s">
        <v>456</v>
      </c>
      <c r="H114" s="21" t="s">
        <v>51</v>
      </c>
      <c r="I114" s="17"/>
      <c r="J114" s="38"/>
    </row>
    <row r="115" spans="1:10" s="15" customFormat="1" ht="32.25">
      <c r="A115" s="19" t="s">
        <v>457</v>
      </c>
      <c r="B115" s="19" t="s">
        <v>458</v>
      </c>
      <c r="C115" s="19" t="s">
        <v>106</v>
      </c>
      <c r="D115" s="19" t="s">
        <v>450</v>
      </c>
      <c r="E115" s="20" t="s">
        <v>108</v>
      </c>
      <c r="F115" s="20" t="s">
        <v>459</v>
      </c>
      <c r="G115" s="20" t="s">
        <v>460</v>
      </c>
      <c r="H115" s="21" t="s">
        <v>51</v>
      </c>
      <c r="I115" s="17"/>
      <c r="J115" s="38"/>
    </row>
    <row r="116" spans="1:10" s="15" customFormat="1" ht="64.5">
      <c r="A116" s="19" t="s">
        <v>461</v>
      </c>
      <c r="B116" s="19" t="s">
        <v>462</v>
      </c>
      <c r="C116" s="19" t="s">
        <v>463</v>
      </c>
      <c r="D116" s="19" t="s">
        <v>450</v>
      </c>
      <c r="E116" s="20" t="s">
        <v>41</v>
      </c>
      <c r="F116" s="20" t="s">
        <v>464</v>
      </c>
      <c r="G116" s="20" t="s">
        <v>465</v>
      </c>
      <c r="H116" s="21" t="s">
        <v>51</v>
      </c>
      <c r="I116" s="17"/>
      <c r="J116" s="38"/>
    </row>
    <row r="117" spans="1:10" s="15" customFormat="1" ht="64.5">
      <c r="A117" s="19" t="s">
        <v>466</v>
      </c>
      <c r="B117" s="19" t="s">
        <v>467</v>
      </c>
      <c r="C117" s="19" t="s">
        <v>468</v>
      </c>
      <c r="D117" s="19" t="s">
        <v>450</v>
      </c>
      <c r="E117" s="20" t="s">
        <v>41</v>
      </c>
      <c r="F117" s="20" t="s">
        <v>469</v>
      </c>
      <c r="G117" s="20" t="s">
        <v>456</v>
      </c>
      <c r="H117" s="21" t="s">
        <v>51</v>
      </c>
      <c r="I117" s="17"/>
      <c r="J117" s="38"/>
    </row>
    <row r="118" spans="1:10" s="30" customFormat="1">
      <c r="A118" s="26" t="s">
        <v>470</v>
      </c>
      <c r="B118" s="26"/>
      <c r="C118" s="26"/>
      <c r="D118" s="26"/>
      <c r="E118" s="27"/>
      <c r="F118" s="28"/>
      <c r="G118" s="28"/>
      <c r="H118" s="29"/>
      <c r="I118" s="29"/>
      <c r="J118" s="34">
        <f>SUM(J119:J125)</f>
        <v>40</v>
      </c>
    </row>
    <row r="119" spans="1:10" s="15" customFormat="1" ht="32.25">
      <c r="A119" s="13" t="s">
        <v>471</v>
      </c>
      <c r="B119" s="13" t="s">
        <v>472</v>
      </c>
      <c r="C119" s="13" t="s">
        <v>289</v>
      </c>
      <c r="D119" s="13" t="s">
        <v>473</v>
      </c>
      <c r="E119" s="14" t="s">
        <v>85</v>
      </c>
      <c r="F119" s="14" t="s">
        <v>474</v>
      </c>
      <c r="G119" s="14" t="s">
        <v>475</v>
      </c>
      <c r="H119" s="17"/>
      <c r="I119" s="17"/>
      <c r="J119" s="38">
        <v>20</v>
      </c>
    </row>
    <row r="120" spans="1:10" s="15" customFormat="1" ht="32.25">
      <c r="A120" s="13" t="s">
        <v>476</v>
      </c>
      <c r="B120" s="13" t="s">
        <v>477</v>
      </c>
      <c r="C120" s="13" t="s">
        <v>289</v>
      </c>
      <c r="D120" s="13" t="s">
        <v>473</v>
      </c>
      <c r="E120" s="14" t="s">
        <v>85</v>
      </c>
      <c r="F120" s="14" t="s">
        <v>478</v>
      </c>
      <c r="G120" s="14" t="s">
        <v>475</v>
      </c>
      <c r="H120" s="17"/>
      <c r="I120" s="17"/>
      <c r="J120" s="38">
        <v>6</v>
      </c>
    </row>
    <row r="121" spans="1:10" s="15" customFormat="1" ht="32.25">
      <c r="A121" s="19" t="s">
        <v>479</v>
      </c>
      <c r="B121" s="19" t="s">
        <v>480</v>
      </c>
      <c r="C121" s="19" t="s">
        <v>289</v>
      </c>
      <c r="D121" s="19" t="s">
        <v>473</v>
      </c>
      <c r="E121" s="20" t="s">
        <v>85</v>
      </c>
      <c r="F121" s="20" t="s">
        <v>481</v>
      </c>
      <c r="G121" s="20" t="s">
        <v>482</v>
      </c>
      <c r="H121" s="21" t="s">
        <v>51</v>
      </c>
      <c r="I121" s="17"/>
      <c r="J121" s="38"/>
    </row>
    <row r="122" spans="1:10" s="15" customFormat="1" ht="32.25">
      <c r="A122" s="19" t="s">
        <v>483</v>
      </c>
      <c r="B122" s="19" t="s">
        <v>484</v>
      </c>
      <c r="C122" s="19" t="s">
        <v>106</v>
      </c>
      <c r="D122" s="19" t="s">
        <v>473</v>
      </c>
      <c r="E122" s="20" t="s">
        <v>108</v>
      </c>
      <c r="F122" s="20" t="s">
        <v>485</v>
      </c>
      <c r="G122" s="20" t="s">
        <v>486</v>
      </c>
      <c r="H122" s="21" t="s">
        <v>51</v>
      </c>
      <c r="I122" s="17"/>
      <c r="J122" s="38"/>
    </row>
    <row r="123" spans="1:10" s="15" customFormat="1" ht="32.25">
      <c r="A123" s="19" t="s">
        <v>487</v>
      </c>
      <c r="B123" s="19" t="s">
        <v>488</v>
      </c>
      <c r="C123" s="19" t="s">
        <v>489</v>
      </c>
      <c r="D123" s="19" t="s">
        <v>473</v>
      </c>
      <c r="E123" s="20" t="s">
        <v>85</v>
      </c>
      <c r="F123" s="20" t="s">
        <v>490</v>
      </c>
      <c r="G123" s="20" t="s">
        <v>486</v>
      </c>
      <c r="H123" s="21" t="s">
        <v>51</v>
      </c>
      <c r="I123" s="17"/>
      <c r="J123" s="38"/>
    </row>
    <row r="124" spans="1:10" s="15" customFormat="1" ht="32.25">
      <c r="A124" s="19" t="s">
        <v>491</v>
      </c>
      <c r="B124" s="19" t="s">
        <v>492</v>
      </c>
      <c r="C124" s="19" t="s">
        <v>84</v>
      </c>
      <c r="D124" s="19" t="s">
        <v>473</v>
      </c>
      <c r="E124" s="20" t="s">
        <v>85</v>
      </c>
      <c r="F124" s="20" t="s">
        <v>493</v>
      </c>
      <c r="G124" s="20" t="s">
        <v>494</v>
      </c>
      <c r="H124" s="21" t="s">
        <v>51</v>
      </c>
      <c r="I124" s="17"/>
      <c r="J124" s="38"/>
    </row>
    <row r="125" spans="1:10" s="15" customFormat="1" ht="32.25">
      <c r="A125" s="13" t="s">
        <v>495</v>
      </c>
      <c r="B125" s="13" t="s">
        <v>496</v>
      </c>
      <c r="C125" s="13" t="s">
        <v>289</v>
      </c>
      <c r="D125" s="13" t="s">
        <v>497</v>
      </c>
      <c r="E125" s="14" t="s">
        <v>85</v>
      </c>
      <c r="F125" s="14" t="s">
        <v>498</v>
      </c>
      <c r="G125" s="14"/>
      <c r="H125" s="17"/>
      <c r="I125" s="17"/>
      <c r="J125" s="38">
        <v>14</v>
      </c>
    </row>
    <row r="126" spans="1:10" s="30" customFormat="1">
      <c r="A126" s="26" t="s">
        <v>499</v>
      </c>
      <c r="B126" s="26"/>
      <c r="C126" s="26"/>
      <c r="D126" s="26"/>
      <c r="E126" s="27"/>
      <c r="F126" s="28"/>
      <c r="G126" s="28"/>
      <c r="H126" s="29"/>
      <c r="I126" s="29"/>
      <c r="J126" s="34">
        <f>SUM(J127:J136)</f>
        <v>81</v>
      </c>
    </row>
    <row r="127" spans="1:10" s="15" customFormat="1" ht="81">
      <c r="A127" s="13" t="s">
        <v>500</v>
      </c>
      <c r="B127" s="13" t="s">
        <v>501</v>
      </c>
      <c r="C127" s="13" t="s">
        <v>289</v>
      </c>
      <c r="D127" s="13" t="s">
        <v>502</v>
      </c>
      <c r="E127" s="14" t="s">
        <v>85</v>
      </c>
      <c r="F127" s="14" t="s">
        <v>503</v>
      </c>
      <c r="G127" s="14" t="s">
        <v>504</v>
      </c>
      <c r="H127" s="17"/>
      <c r="I127" s="17"/>
      <c r="J127" s="38">
        <v>18</v>
      </c>
    </row>
    <row r="128" spans="1:10" s="15" customFormat="1" ht="48.75">
      <c r="A128" s="13" t="s">
        <v>505</v>
      </c>
      <c r="B128" s="13" t="s">
        <v>506</v>
      </c>
      <c r="C128" s="13" t="s">
        <v>507</v>
      </c>
      <c r="D128" s="13" t="s">
        <v>502</v>
      </c>
      <c r="E128" s="14" t="s">
        <v>41</v>
      </c>
      <c r="F128" s="14" t="s">
        <v>508</v>
      </c>
      <c r="G128" s="14" t="s">
        <v>509</v>
      </c>
      <c r="H128" s="17"/>
      <c r="I128" s="17"/>
      <c r="J128" s="38">
        <v>8</v>
      </c>
    </row>
    <row r="129" spans="1:10" s="15" customFormat="1" ht="48.75">
      <c r="A129" s="13" t="s">
        <v>510</v>
      </c>
      <c r="B129" s="13" t="s">
        <v>511</v>
      </c>
      <c r="C129" s="13" t="s">
        <v>507</v>
      </c>
      <c r="D129" s="13" t="s">
        <v>502</v>
      </c>
      <c r="E129" s="14" t="s">
        <v>41</v>
      </c>
      <c r="F129" s="14" t="s">
        <v>512</v>
      </c>
      <c r="G129" s="14" t="s">
        <v>513</v>
      </c>
      <c r="H129" s="17"/>
      <c r="I129" s="17"/>
      <c r="J129" s="38">
        <v>8</v>
      </c>
    </row>
    <row r="130" spans="1:10" s="15" customFormat="1" ht="32.25">
      <c r="A130" s="13" t="s">
        <v>514</v>
      </c>
      <c r="B130" s="13" t="s">
        <v>515</v>
      </c>
      <c r="C130" s="13" t="s">
        <v>289</v>
      </c>
      <c r="D130" s="13" t="s">
        <v>502</v>
      </c>
      <c r="E130" s="14" t="s">
        <v>85</v>
      </c>
      <c r="F130" s="14" t="s">
        <v>516</v>
      </c>
      <c r="G130" s="14" t="s">
        <v>517</v>
      </c>
      <c r="H130" s="17"/>
      <c r="I130" s="17"/>
      <c r="J130" s="38">
        <v>4</v>
      </c>
    </row>
    <row r="131" spans="1:10" s="15" customFormat="1" ht="32.25">
      <c r="A131" s="13" t="s">
        <v>518</v>
      </c>
      <c r="B131" s="13" t="s">
        <v>519</v>
      </c>
      <c r="C131" s="13" t="s">
        <v>520</v>
      </c>
      <c r="D131" s="13" t="s">
        <v>502</v>
      </c>
      <c r="E131" s="14" t="s">
        <v>118</v>
      </c>
      <c r="F131" s="14" t="s">
        <v>521</v>
      </c>
      <c r="G131" s="14" t="s">
        <v>522</v>
      </c>
      <c r="H131" s="17"/>
      <c r="I131" s="17"/>
      <c r="J131" s="38">
        <v>8</v>
      </c>
    </row>
    <row r="132" spans="1:10" s="15" customFormat="1" ht="80.25" customHeight="1">
      <c r="A132" s="13" t="s">
        <v>523</v>
      </c>
      <c r="B132" s="13" t="s">
        <v>524</v>
      </c>
      <c r="C132" s="13" t="s">
        <v>525</v>
      </c>
      <c r="D132" s="13" t="s">
        <v>502</v>
      </c>
      <c r="E132" s="14" t="s">
        <v>118</v>
      </c>
      <c r="F132" s="14" t="s">
        <v>526</v>
      </c>
      <c r="G132" s="14" t="s">
        <v>527</v>
      </c>
      <c r="H132" s="17"/>
      <c r="I132" s="17"/>
      <c r="J132" s="38">
        <v>10</v>
      </c>
    </row>
    <row r="133" spans="1:10" s="15" customFormat="1" ht="32.25">
      <c r="A133" s="13" t="s">
        <v>528</v>
      </c>
      <c r="B133" s="13" t="s">
        <v>529</v>
      </c>
      <c r="C133" s="13" t="s">
        <v>530</v>
      </c>
      <c r="D133" s="13" t="s">
        <v>502</v>
      </c>
      <c r="E133" s="14" t="s">
        <v>118</v>
      </c>
      <c r="F133" s="14" t="s">
        <v>531</v>
      </c>
      <c r="G133" s="14" t="s">
        <v>522</v>
      </c>
      <c r="H133" s="17"/>
      <c r="I133" s="17"/>
      <c r="J133" s="38">
        <v>8</v>
      </c>
    </row>
    <row r="134" spans="1:10" s="15" customFormat="1" ht="16.5">
      <c r="A134" s="13" t="s">
        <v>532</v>
      </c>
      <c r="B134" s="13" t="s">
        <v>533</v>
      </c>
      <c r="C134" s="13" t="s">
        <v>530</v>
      </c>
      <c r="D134" s="13" t="s">
        <v>502</v>
      </c>
      <c r="E134" s="14" t="s">
        <v>118</v>
      </c>
      <c r="F134" s="14" t="s">
        <v>534</v>
      </c>
      <c r="G134" s="14" t="s">
        <v>535</v>
      </c>
      <c r="H134" s="17"/>
      <c r="I134" s="17"/>
      <c r="J134" s="38">
        <v>5</v>
      </c>
    </row>
    <row r="135" spans="1:10" s="15" customFormat="1" ht="32.25">
      <c r="A135" s="13" t="s">
        <v>536</v>
      </c>
      <c r="B135" s="13" t="s">
        <v>537</v>
      </c>
      <c r="C135" s="13" t="s">
        <v>538</v>
      </c>
      <c r="D135" s="13" t="s">
        <v>502</v>
      </c>
      <c r="E135" s="14" t="s">
        <v>118</v>
      </c>
      <c r="F135" s="14" t="s">
        <v>539</v>
      </c>
      <c r="G135" s="14" t="s">
        <v>540</v>
      </c>
      <c r="H135" s="17"/>
      <c r="I135" s="17"/>
      <c r="J135" s="38">
        <v>6</v>
      </c>
    </row>
    <row r="136" spans="1:10" s="15" customFormat="1" ht="48.75">
      <c r="A136" s="13" t="s">
        <v>541</v>
      </c>
      <c r="B136" s="13" t="s">
        <v>542</v>
      </c>
      <c r="C136" s="13" t="s">
        <v>289</v>
      </c>
      <c r="D136" s="13" t="s">
        <v>502</v>
      </c>
      <c r="E136" s="14" t="s">
        <v>85</v>
      </c>
      <c r="F136" s="14" t="s">
        <v>543</v>
      </c>
      <c r="G136" s="14" t="s">
        <v>544</v>
      </c>
      <c r="H136" s="17"/>
      <c r="I136" s="17"/>
      <c r="J136" s="38">
        <v>6</v>
      </c>
    </row>
    <row r="137" spans="1:10" s="30" customFormat="1">
      <c r="A137" s="26" t="s">
        <v>545</v>
      </c>
      <c r="B137" s="26"/>
      <c r="C137" s="26"/>
      <c r="D137" s="26"/>
      <c r="E137" s="27"/>
      <c r="F137" s="28"/>
      <c r="G137" s="28"/>
      <c r="H137" s="29"/>
      <c r="I137" s="29"/>
      <c r="J137" s="34">
        <f>SUM(J138:J151)</f>
        <v>121</v>
      </c>
    </row>
    <row r="138" spans="1:10" s="15" customFormat="1" ht="64.5">
      <c r="A138" s="13" t="s">
        <v>546</v>
      </c>
      <c r="B138" s="13" t="s">
        <v>547</v>
      </c>
      <c r="C138" s="13" t="s">
        <v>530</v>
      </c>
      <c r="D138" s="13" t="s">
        <v>548</v>
      </c>
      <c r="E138" s="14" t="s">
        <v>118</v>
      </c>
      <c r="F138" s="14" t="s">
        <v>549</v>
      </c>
      <c r="G138" s="14" t="s">
        <v>550</v>
      </c>
      <c r="H138" s="17"/>
      <c r="I138" s="17"/>
      <c r="J138" s="38">
        <v>12</v>
      </c>
    </row>
    <row r="139" spans="1:10" s="15" customFormat="1" ht="48.75">
      <c r="A139" s="13" t="s">
        <v>551</v>
      </c>
      <c r="B139" s="13" t="s">
        <v>552</v>
      </c>
      <c r="C139" s="13" t="s">
        <v>525</v>
      </c>
      <c r="D139" s="13" t="s">
        <v>548</v>
      </c>
      <c r="E139" s="14" t="s">
        <v>118</v>
      </c>
      <c r="F139" s="14" t="s">
        <v>553</v>
      </c>
      <c r="G139" s="14" t="s">
        <v>554</v>
      </c>
      <c r="H139" s="17"/>
      <c r="I139" s="17"/>
      <c r="J139" s="38">
        <v>5</v>
      </c>
    </row>
    <row r="140" spans="1:10" s="15" customFormat="1" ht="32.25">
      <c r="A140" s="13" t="s">
        <v>555</v>
      </c>
      <c r="B140" s="13" t="s">
        <v>556</v>
      </c>
      <c r="C140" s="13" t="s">
        <v>530</v>
      </c>
      <c r="D140" s="13" t="s">
        <v>548</v>
      </c>
      <c r="E140" s="14" t="s">
        <v>118</v>
      </c>
      <c r="F140" s="14" t="s">
        <v>557</v>
      </c>
      <c r="G140" s="14" t="s">
        <v>558</v>
      </c>
      <c r="H140" s="17"/>
      <c r="I140" s="17"/>
      <c r="J140" s="38">
        <v>8</v>
      </c>
    </row>
    <row r="141" spans="1:10" s="15" customFormat="1" ht="48.75">
      <c r="A141" s="13" t="s">
        <v>559</v>
      </c>
      <c r="B141" s="13" t="s">
        <v>560</v>
      </c>
      <c r="C141" s="13" t="s">
        <v>561</v>
      </c>
      <c r="D141" s="13" t="s">
        <v>548</v>
      </c>
      <c r="E141" s="14" t="s">
        <v>41</v>
      </c>
      <c r="F141" s="14" t="s">
        <v>562</v>
      </c>
      <c r="G141" s="14" t="s">
        <v>563</v>
      </c>
      <c r="H141" s="17"/>
      <c r="I141" s="17"/>
      <c r="J141" s="38">
        <v>12</v>
      </c>
    </row>
    <row r="142" spans="1:10" s="15" customFormat="1" ht="48.75">
      <c r="A142" s="13" t="s">
        <v>564</v>
      </c>
      <c r="B142" s="13" t="s">
        <v>565</v>
      </c>
      <c r="C142" s="13" t="s">
        <v>566</v>
      </c>
      <c r="D142" s="13" t="s">
        <v>548</v>
      </c>
      <c r="E142" s="14" t="s">
        <v>118</v>
      </c>
      <c r="F142" s="14" t="s">
        <v>567</v>
      </c>
      <c r="G142" s="14" t="s">
        <v>568</v>
      </c>
      <c r="H142" s="17"/>
      <c r="I142" s="17"/>
      <c r="J142" s="38">
        <v>10</v>
      </c>
    </row>
    <row r="143" spans="1:10" s="15" customFormat="1" ht="16.5">
      <c r="A143" s="13" t="s">
        <v>569</v>
      </c>
      <c r="B143" s="13" t="s">
        <v>570</v>
      </c>
      <c r="C143" s="13" t="s">
        <v>566</v>
      </c>
      <c r="D143" s="13" t="s">
        <v>548</v>
      </c>
      <c r="E143" s="14" t="s">
        <v>118</v>
      </c>
      <c r="F143" s="14" t="s">
        <v>571</v>
      </c>
      <c r="G143" s="14" t="s">
        <v>572</v>
      </c>
      <c r="H143" s="17"/>
      <c r="I143" s="17"/>
      <c r="J143" s="38">
        <v>6</v>
      </c>
    </row>
    <row r="144" spans="1:10" s="15" customFormat="1" ht="32.25">
      <c r="A144" s="13" t="s">
        <v>573</v>
      </c>
      <c r="B144" s="13" t="s">
        <v>574</v>
      </c>
      <c r="C144" s="13" t="s">
        <v>566</v>
      </c>
      <c r="D144" s="13" t="s">
        <v>548</v>
      </c>
      <c r="E144" s="14" t="s">
        <v>118</v>
      </c>
      <c r="F144" s="14" t="s">
        <v>575</v>
      </c>
      <c r="G144" s="14" t="s">
        <v>576</v>
      </c>
      <c r="H144" s="17"/>
      <c r="I144" s="17"/>
      <c r="J144" s="38">
        <v>8</v>
      </c>
    </row>
    <row r="145" spans="1:10" s="15" customFormat="1" ht="48.75">
      <c r="A145" s="13" t="s">
        <v>577</v>
      </c>
      <c r="B145" s="13" t="s">
        <v>578</v>
      </c>
      <c r="C145" s="13" t="s">
        <v>566</v>
      </c>
      <c r="D145" s="13" t="s">
        <v>548</v>
      </c>
      <c r="E145" s="14" t="s">
        <v>118</v>
      </c>
      <c r="F145" s="14" t="s">
        <v>579</v>
      </c>
      <c r="G145" s="14" t="s">
        <v>580</v>
      </c>
      <c r="H145" s="17"/>
      <c r="I145" s="17"/>
      <c r="J145" s="38">
        <v>16</v>
      </c>
    </row>
    <row r="146" spans="1:10" s="15" customFormat="1" ht="32.25">
      <c r="A146" s="13" t="s">
        <v>581</v>
      </c>
      <c r="B146" s="13" t="s">
        <v>582</v>
      </c>
      <c r="C146" s="13" t="s">
        <v>289</v>
      </c>
      <c r="D146" s="13" t="s">
        <v>548</v>
      </c>
      <c r="E146" s="14" t="s">
        <v>85</v>
      </c>
      <c r="F146" s="14" t="s">
        <v>583</v>
      </c>
      <c r="G146" s="14" t="s">
        <v>584</v>
      </c>
      <c r="H146" s="17"/>
      <c r="I146" s="17"/>
      <c r="J146" s="38">
        <v>6</v>
      </c>
    </row>
    <row r="147" spans="1:10" s="15" customFormat="1" ht="16.5">
      <c r="A147" s="13" t="s">
        <v>585</v>
      </c>
      <c r="B147" s="13" t="s">
        <v>586</v>
      </c>
      <c r="C147" s="13" t="s">
        <v>289</v>
      </c>
      <c r="D147" s="13" t="s">
        <v>548</v>
      </c>
      <c r="E147" s="14" t="s">
        <v>85</v>
      </c>
      <c r="F147" s="14" t="s">
        <v>587</v>
      </c>
      <c r="G147" s="14" t="s">
        <v>584</v>
      </c>
      <c r="H147" s="17"/>
      <c r="I147" s="17"/>
      <c r="J147" s="38">
        <v>8</v>
      </c>
    </row>
    <row r="148" spans="1:10" s="15" customFormat="1" ht="16.5">
      <c r="A148" s="13" t="s">
        <v>588</v>
      </c>
      <c r="B148" s="13" t="s">
        <v>589</v>
      </c>
      <c r="C148" s="13" t="s">
        <v>289</v>
      </c>
      <c r="D148" s="13" t="s">
        <v>548</v>
      </c>
      <c r="E148" s="14" t="s">
        <v>85</v>
      </c>
      <c r="F148" s="14" t="s">
        <v>590</v>
      </c>
      <c r="G148" s="14" t="s">
        <v>584</v>
      </c>
      <c r="H148" s="17"/>
      <c r="I148" s="17"/>
      <c r="J148" s="38">
        <v>8</v>
      </c>
    </row>
    <row r="149" spans="1:10" s="15" customFormat="1" ht="32.25">
      <c r="A149" s="13" t="s">
        <v>591</v>
      </c>
      <c r="B149" s="13" t="s">
        <v>592</v>
      </c>
      <c r="C149" s="13" t="s">
        <v>566</v>
      </c>
      <c r="D149" s="13" t="s">
        <v>548</v>
      </c>
      <c r="E149" s="14" t="s">
        <v>118</v>
      </c>
      <c r="F149" s="14" t="s">
        <v>593</v>
      </c>
      <c r="G149" s="14" t="s">
        <v>576</v>
      </c>
      <c r="H149" s="17"/>
      <c r="I149" s="17"/>
      <c r="J149" s="38">
        <v>8</v>
      </c>
    </row>
    <row r="150" spans="1:10" s="15" customFormat="1" ht="64.5">
      <c r="A150" s="13" t="s">
        <v>594</v>
      </c>
      <c r="B150" s="13" t="s">
        <v>595</v>
      </c>
      <c r="C150" s="13" t="s">
        <v>566</v>
      </c>
      <c r="D150" s="13" t="s">
        <v>548</v>
      </c>
      <c r="E150" s="14" t="s">
        <v>118</v>
      </c>
      <c r="F150" s="14" t="s">
        <v>596</v>
      </c>
      <c r="G150" s="14" t="s">
        <v>597</v>
      </c>
      <c r="H150" s="17"/>
      <c r="I150" s="17"/>
      <c r="J150" s="38">
        <v>6</v>
      </c>
    </row>
    <row r="151" spans="1:10" s="15" customFormat="1" ht="64.5">
      <c r="A151" s="13" t="s">
        <v>598</v>
      </c>
      <c r="B151" s="13" t="s">
        <v>599</v>
      </c>
      <c r="C151" s="13" t="s">
        <v>106</v>
      </c>
      <c r="D151" s="13" t="s">
        <v>548</v>
      </c>
      <c r="E151" s="14" t="s">
        <v>108</v>
      </c>
      <c r="F151" s="14" t="s">
        <v>600</v>
      </c>
      <c r="G151" s="14" t="s">
        <v>601</v>
      </c>
      <c r="H151" s="17"/>
      <c r="I151" s="17"/>
      <c r="J151" s="38">
        <v>8</v>
      </c>
    </row>
    <row r="152" spans="1:10" s="32" customFormat="1">
      <c r="A152" s="26" t="s">
        <v>602</v>
      </c>
      <c r="B152" s="26"/>
      <c r="C152" s="26"/>
      <c r="D152" s="26"/>
      <c r="E152" s="28"/>
      <c r="F152" s="28"/>
      <c r="G152" s="28"/>
      <c r="H152" s="31"/>
      <c r="I152" s="29"/>
      <c r="J152" s="34">
        <f>SUM(J153:J155)</f>
        <v>22</v>
      </c>
    </row>
    <row r="153" spans="1:10" s="15" customFormat="1" ht="32.25">
      <c r="A153" s="13" t="s">
        <v>603</v>
      </c>
      <c r="B153" s="13" t="s">
        <v>604</v>
      </c>
      <c r="C153" s="13" t="s">
        <v>520</v>
      </c>
      <c r="D153" s="13" t="s">
        <v>605</v>
      </c>
      <c r="E153" s="14" t="s">
        <v>118</v>
      </c>
      <c r="F153" s="14" t="s">
        <v>606</v>
      </c>
      <c r="G153" s="14" t="s">
        <v>607</v>
      </c>
      <c r="H153" s="17"/>
      <c r="I153" s="17"/>
      <c r="J153" s="38">
        <v>12</v>
      </c>
    </row>
    <row r="154" spans="1:10" s="15" customFormat="1" ht="32.25">
      <c r="A154" s="19" t="s">
        <v>608</v>
      </c>
      <c r="B154" s="19" t="s">
        <v>609</v>
      </c>
      <c r="C154" s="19" t="s">
        <v>520</v>
      </c>
      <c r="D154" s="19" t="s">
        <v>605</v>
      </c>
      <c r="E154" s="20" t="s">
        <v>118</v>
      </c>
      <c r="F154" s="20" t="s">
        <v>610</v>
      </c>
      <c r="G154" s="20" t="s">
        <v>611</v>
      </c>
      <c r="H154" s="21" t="s">
        <v>51</v>
      </c>
      <c r="I154" s="17"/>
      <c r="J154" s="38"/>
    </row>
    <row r="155" spans="1:10" s="15" customFormat="1" ht="32.25">
      <c r="A155" s="13" t="s">
        <v>612</v>
      </c>
      <c r="B155" s="13" t="s">
        <v>613</v>
      </c>
      <c r="C155" s="13" t="s">
        <v>614</v>
      </c>
      <c r="D155" s="13" t="s">
        <v>605</v>
      </c>
      <c r="E155" s="14" t="s">
        <v>41</v>
      </c>
      <c r="F155" s="14" t="s">
        <v>615</v>
      </c>
      <c r="G155" s="14" t="s">
        <v>616</v>
      </c>
      <c r="H155" s="17"/>
      <c r="I155" s="17"/>
      <c r="J155" s="38">
        <v>10</v>
      </c>
    </row>
    <row r="156" spans="1:10" s="32" customFormat="1">
      <c r="A156" s="26" t="s">
        <v>617</v>
      </c>
      <c r="B156" s="26"/>
      <c r="C156" s="26"/>
      <c r="D156" s="26"/>
      <c r="E156" s="28"/>
      <c r="F156" s="28"/>
      <c r="G156" s="28"/>
      <c r="H156" s="31"/>
      <c r="I156" s="29"/>
      <c r="J156" s="34">
        <f>SUM(J157:J163)</f>
        <v>10</v>
      </c>
    </row>
    <row r="157" spans="1:10" s="15" customFormat="1" ht="48.75">
      <c r="A157" s="19" t="s">
        <v>618</v>
      </c>
      <c r="B157" s="19" t="s">
        <v>619</v>
      </c>
      <c r="C157" s="19" t="s">
        <v>525</v>
      </c>
      <c r="D157" s="19" t="s">
        <v>620</v>
      </c>
      <c r="E157" s="20" t="s">
        <v>118</v>
      </c>
      <c r="F157" s="20" t="s">
        <v>621</v>
      </c>
      <c r="G157" s="20" t="s">
        <v>622</v>
      </c>
      <c r="H157" s="21" t="s">
        <v>51</v>
      </c>
      <c r="I157" s="17"/>
      <c r="J157" s="38"/>
    </row>
    <row r="158" spans="1:10" s="15" customFormat="1" ht="32.25">
      <c r="A158" s="19" t="s">
        <v>623</v>
      </c>
      <c r="B158" s="19" t="s">
        <v>624</v>
      </c>
      <c r="C158" s="19" t="s">
        <v>106</v>
      </c>
      <c r="D158" s="19" t="s">
        <v>620</v>
      </c>
      <c r="E158" s="20" t="s">
        <v>108</v>
      </c>
      <c r="F158" s="20" t="s">
        <v>625</v>
      </c>
      <c r="G158" s="20" t="s">
        <v>626</v>
      </c>
      <c r="H158" s="21" t="s">
        <v>51</v>
      </c>
      <c r="I158" s="23" t="s">
        <v>338</v>
      </c>
      <c r="J158" s="37">
        <v>5</v>
      </c>
    </row>
    <row r="159" spans="1:10" s="15" customFormat="1" ht="32.25">
      <c r="A159" s="19" t="s">
        <v>627</v>
      </c>
      <c r="B159" s="19" t="s">
        <v>628</v>
      </c>
      <c r="C159" s="19" t="s">
        <v>629</v>
      </c>
      <c r="D159" s="19" t="s">
        <v>620</v>
      </c>
      <c r="E159" s="20" t="s">
        <v>118</v>
      </c>
      <c r="F159" s="20" t="s">
        <v>630</v>
      </c>
      <c r="G159" s="20" t="s">
        <v>631</v>
      </c>
      <c r="H159" s="21" t="s">
        <v>51</v>
      </c>
      <c r="I159" s="17"/>
      <c r="J159" s="38"/>
    </row>
    <row r="160" spans="1:10" s="15" customFormat="1" ht="32.25">
      <c r="A160" s="19" t="s">
        <v>632</v>
      </c>
      <c r="B160" s="19" t="s">
        <v>633</v>
      </c>
      <c r="C160" s="19" t="s">
        <v>629</v>
      </c>
      <c r="D160" s="19" t="s">
        <v>620</v>
      </c>
      <c r="E160" s="20" t="s">
        <v>118</v>
      </c>
      <c r="F160" s="20" t="s">
        <v>634</v>
      </c>
      <c r="G160" s="20" t="s">
        <v>635</v>
      </c>
      <c r="H160" s="21" t="s">
        <v>51</v>
      </c>
      <c r="I160" s="17"/>
      <c r="J160" s="38"/>
    </row>
    <row r="161" spans="1:10" s="15" customFormat="1" ht="32.25">
      <c r="A161" s="19" t="s">
        <v>636</v>
      </c>
      <c r="B161" s="19" t="s">
        <v>637</v>
      </c>
      <c r="C161" s="19" t="s">
        <v>106</v>
      </c>
      <c r="D161" s="19" t="s">
        <v>620</v>
      </c>
      <c r="E161" s="20" t="s">
        <v>108</v>
      </c>
      <c r="F161" s="20" t="s">
        <v>638</v>
      </c>
      <c r="G161" s="20" t="s">
        <v>639</v>
      </c>
      <c r="H161" s="21" t="s">
        <v>51</v>
      </c>
      <c r="I161" s="17"/>
      <c r="J161" s="38"/>
    </row>
    <row r="162" spans="1:10" s="15" customFormat="1" ht="32.25">
      <c r="A162" s="19" t="s">
        <v>640</v>
      </c>
      <c r="B162" s="19" t="s">
        <v>641</v>
      </c>
      <c r="C162" s="19" t="s">
        <v>629</v>
      </c>
      <c r="D162" s="19" t="s">
        <v>620</v>
      </c>
      <c r="E162" s="20" t="s">
        <v>118</v>
      </c>
      <c r="F162" s="20" t="s">
        <v>642</v>
      </c>
      <c r="G162" s="20" t="s">
        <v>643</v>
      </c>
      <c r="H162" s="21" t="s">
        <v>51</v>
      </c>
      <c r="I162" s="17"/>
      <c r="J162" s="38"/>
    </row>
    <row r="163" spans="1:10" s="15" customFormat="1" ht="32.25">
      <c r="A163" s="19" t="s">
        <v>644</v>
      </c>
      <c r="B163" s="19" t="s">
        <v>624</v>
      </c>
      <c r="C163" s="19" t="s">
        <v>106</v>
      </c>
      <c r="D163" s="19" t="s">
        <v>620</v>
      </c>
      <c r="E163" s="20" t="s">
        <v>108</v>
      </c>
      <c r="F163" s="20" t="s">
        <v>645</v>
      </c>
      <c r="G163" s="20" t="s">
        <v>646</v>
      </c>
      <c r="H163" s="21" t="s">
        <v>51</v>
      </c>
      <c r="I163" s="23" t="s">
        <v>338</v>
      </c>
      <c r="J163" s="37">
        <v>5</v>
      </c>
    </row>
    <row r="164" spans="1:10" s="32" customFormat="1">
      <c r="A164" s="26" t="s">
        <v>647</v>
      </c>
      <c r="B164" s="26"/>
      <c r="C164" s="26"/>
      <c r="D164" s="26"/>
      <c r="E164" s="28"/>
      <c r="F164" s="28"/>
      <c r="G164" s="28"/>
      <c r="H164" s="31"/>
      <c r="I164" s="29"/>
      <c r="J164" s="34">
        <f>SUM(J165:J170)</f>
        <v>0</v>
      </c>
    </row>
    <row r="165" spans="1:10" s="15" customFormat="1" ht="48.75">
      <c r="A165" s="19" t="s">
        <v>648</v>
      </c>
      <c r="B165" s="19" t="s">
        <v>649</v>
      </c>
      <c r="C165" s="19" t="s">
        <v>334</v>
      </c>
      <c r="D165" s="19" t="s">
        <v>650</v>
      </c>
      <c r="E165" s="20" t="s">
        <v>85</v>
      </c>
      <c r="F165" s="20" t="s">
        <v>651</v>
      </c>
      <c r="G165" s="20" t="s">
        <v>616</v>
      </c>
      <c r="H165" s="21" t="s">
        <v>51</v>
      </c>
      <c r="I165" s="17"/>
      <c r="J165" s="38"/>
    </row>
    <row r="166" spans="1:10" s="15" customFormat="1" ht="32.25">
      <c r="A166" s="19" t="s">
        <v>652</v>
      </c>
      <c r="B166" s="19" t="s">
        <v>653</v>
      </c>
      <c r="C166" s="19" t="s">
        <v>84</v>
      </c>
      <c r="D166" s="19" t="s">
        <v>650</v>
      </c>
      <c r="E166" s="20" t="s">
        <v>85</v>
      </c>
      <c r="F166" s="20" t="s">
        <v>654</v>
      </c>
      <c r="G166" s="20" t="s">
        <v>655</v>
      </c>
      <c r="H166" s="21" t="s">
        <v>51</v>
      </c>
      <c r="I166" s="17"/>
      <c r="J166" s="38"/>
    </row>
    <row r="167" spans="1:10" s="15" customFormat="1" ht="32.25">
      <c r="A167" s="19" t="s">
        <v>656</v>
      </c>
      <c r="B167" s="19" t="s">
        <v>657</v>
      </c>
      <c r="C167" s="19" t="s">
        <v>84</v>
      </c>
      <c r="D167" s="19" t="s">
        <v>650</v>
      </c>
      <c r="E167" s="20" t="s">
        <v>85</v>
      </c>
      <c r="F167" s="20" t="s">
        <v>658</v>
      </c>
      <c r="G167" s="20" t="s">
        <v>659</v>
      </c>
      <c r="H167" s="21" t="s">
        <v>51</v>
      </c>
      <c r="I167" s="17"/>
      <c r="J167" s="38"/>
    </row>
    <row r="168" spans="1:10" s="15" customFormat="1" ht="48.75">
      <c r="A168" s="19" t="s">
        <v>660</v>
      </c>
      <c r="B168" s="19" t="s">
        <v>661</v>
      </c>
      <c r="C168" s="19" t="s">
        <v>84</v>
      </c>
      <c r="D168" s="19" t="s">
        <v>650</v>
      </c>
      <c r="E168" s="20" t="s">
        <v>85</v>
      </c>
      <c r="F168" s="20" t="s">
        <v>662</v>
      </c>
      <c r="G168" s="20" t="s">
        <v>663</v>
      </c>
      <c r="H168" s="21" t="s">
        <v>51</v>
      </c>
      <c r="I168" s="17"/>
      <c r="J168" s="38"/>
    </row>
    <row r="169" spans="1:10" s="15" customFormat="1" ht="48.75">
      <c r="A169" s="19" t="s">
        <v>664</v>
      </c>
      <c r="B169" s="19" t="s">
        <v>665</v>
      </c>
      <c r="C169" s="19" t="s">
        <v>666</v>
      </c>
      <c r="D169" s="19" t="s">
        <v>650</v>
      </c>
      <c r="E169" s="20" t="s">
        <v>667</v>
      </c>
      <c r="F169" s="20" t="s">
        <v>668</v>
      </c>
      <c r="G169" s="20" t="s">
        <v>669</v>
      </c>
      <c r="H169" s="21" t="s">
        <v>51</v>
      </c>
      <c r="I169" s="17"/>
      <c r="J169" s="38"/>
    </row>
    <row r="170" spans="1:10" s="15" customFormat="1" ht="48.75">
      <c r="A170" s="19" t="s">
        <v>670</v>
      </c>
      <c r="B170" s="19" t="s">
        <v>671</v>
      </c>
      <c r="C170" s="19" t="s">
        <v>84</v>
      </c>
      <c r="D170" s="19" t="s">
        <v>650</v>
      </c>
      <c r="E170" s="20" t="s">
        <v>85</v>
      </c>
      <c r="F170" s="20" t="s">
        <v>672</v>
      </c>
      <c r="G170" s="20" t="s">
        <v>673</v>
      </c>
      <c r="H170" s="21" t="s">
        <v>51</v>
      </c>
      <c r="I170" s="17"/>
      <c r="J170" s="38"/>
    </row>
    <row r="171" spans="1:10" s="32" customFormat="1">
      <c r="A171" s="26" t="s">
        <v>674</v>
      </c>
      <c r="B171" s="26"/>
      <c r="C171" s="26"/>
      <c r="D171" s="26"/>
      <c r="E171" s="28"/>
      <c r="F171" s="28"/>
      <c r="G171" s="28"/>
      <c r="H171" s="31"/>
      <c r="I171" s="29"/>
      <c r="J171" s="34">
        <f>SUM(J172:J174)</f>
        <v>22</v>
      </c>
    </row>
    <row r="172" spans="1:10" s="15" customFormat="1" ht="48.75">
      <c r="A172" s="19" t="s">
        <v>675</v>
      </c>
      <c r="B172" s="19" t="s">
        <v>676</v>
      </c>
      <c r="C172" s="19" t="s">
        <v>525</v>
      </c>
      <c r="D172" s="19" t="s">
        <v>677</v>
      </c>
      <c r="E172" s="20" t="s">
        <v>118</v>
      </c>
      <c r="F172" s="20" t="s">
        <v>678</v>
      </c>
      <c r="G172" s="20" t="s">
        <v>679</v>
      </c>
      <c r="H172" s="21" t="s">
        <v>51</v>
      </c>
      <c r="I172" s="23" t="s">
        <v>338</v>
      </c>
      <c r="J172" s="37">
        <v>22</v>
      </c>
    </row>
    <row r="173" spans="1:10" s="15" customFormat="1" ht="32.25">
      <c r="A173" s="19" t="s">
        <v>680</v>
      </c>
      <c r="B173" s="19" t="s">
        <v>681</v>
      </c>
      <c r="C173" s="19" t="s">
        <v>520</v>
      </c>
      <c r="D173" s="19" t="s">
        <v>677</v>
      </c>
      <c r="E173" s="20" t="s">
        <v>118</v>
      </c>
      <c r="F173" s="20" t="s">
        <v>682</v>
      </c>
      <c r="G173" s="20" t="s">
        <v>683</v>
      </c>
      <c r="H173" s="21" t="s">
        <v>51</v>
      </c>
      <c r="I173" s="17"/>
      <c r="J173" s="38"/>
    </row>
    <row r="174" spans="1:10" s="15" customFormat="1" ht="32.25">
      <c r="A174" s="19" t="s">
        <v>684</v>
      </c>
      <c r="B174" s="19" t="s">
        <v>685</v>
      </c>
      <c r="C174" s="19" t="s">
        <v>117</v>
      </c>
      <c r="D174" s="19" t="s">
        <v>677</v>
      </c>
      <c r="E174" s="20" t="s">
        <v>118</v>
      </c>
      <c r="F174" s="20" t="s">
        <v>686</v>
      </c>
      <c r="G174" s="20" t="s">
        <v>687</v>
      </c>
      <c r="H174" s="21" t="s">
        <v>51</v>
      </c>
      <c r="I174" s="17"/>
      <c r="J174" s="38"/>
    </row>
    <row r="175" spans="1:10" s="32" customFormat="1">
      <c r="A175" s="26" t="s">
        <v>688</v>
      </c>
      <c r="B175" s="26"/>
      <c r="C175" s="26"/>
      <c r="D175" s="26"/>
      <c r="E175" s="28"/>
      <c r="F175" s="28"/>
      <c r="G175" s="28"/>
      <c r="H175" s="31"/>
      <c r="I175" s="29"/>
      <c r="J175" s="34">
        <f>SUM(J176:J177)</f>
        <v>22</v>
      </c>
    </row>
    <row r="176" spans="1:10" s="15" customFormat="1" ht="64.5">
      <c r="A176" s="13" t="s">
        <v>689</v>
      </c>
      <c r="B176" s="13" t="s">
        <v>690</v>
      </c>
      <c r="C176" s="13" t="s">
        <v>691</v>
      </c>
      <c r="D176" s="13" t="s">
        <v>692</v>
      </c>
      <c r="E176" s="14" t="s">
        <v>118</v>
      </c>
      <c r="F176" s="14" t="s">
        <v>693</v>
      </c>
      <c r="G176" s="14" t="s">
        <v>694</v>
      </c>
      <c r="H176" s="17"/>
      <c r="I176" s="17"/>
      <c r="J176" s="38">
        <v>14</v>
      </c>
    </row>
    <row r="177" spans="1:10" s="15" customFormat="1" ht="64.5">
      <c r="A177" s="13" t="s">
        <v>695</v>
      </c>
      <c r="B177" s="13" t="s">
        <v>696</v>
      </c>
      <c r="C177" s="13" t="s">
        <v>697</v>
      </c>
      <c r="D177" s="13" t="s">
        <v>692</v>
      </c>
      <c r="E177" s="14" t="s">
        <v>41</v>
      </c>
      <c r="F177" s="14" t="s">
        <v>698</v>
      </c>
      <c r="G177" s="14" t="s">
        <v>699</v>
      </c>
      <c r="H177" s="17"/>
      <c r="I177" s="17"/>
      <c r="J177" s="38">
        <v>8</v>
      </c>
    </row>
    <row r="178" spans="1:10" s="30" customFormat="1">
      <c r="A178" s="26" t="s">
        <v>700</v>
      </c>
      <c r="B178" s="26"/>
      <c r="C178" s="26"/>
      <c r="D178" s="26"/>
      <c r="E178" s="28"/>
      <c r="F178" s="28"/>
      <c r="G178" s="28"/>
      <c r="H178" s="31"/>
      <c r="I178" s="29"/>
      <c r="J178" s="34">
        <f>SUM(J179:J184)</f>
        <v>78</v>
      </c>
    </row>
    <row r="179" spans="1:10" ht="48.75">
      <c r="A179" s="13" t="s">
        <v>701</v>
      </c>
      <c r="B179" s="13" t="s">
        <v>702</v>
      </c>
      <c r="C179" t="s">
        <v>289</v>
      </c>
      <c r="D179" s="13" t="s">
        <v>703</v>
      </c>
      <c r="E179" s="14" t="s">
        <v>85</v>
      </c>
      <c r="F179" s="14" t="s">
        <v>704</v>
      </c>
      <c r="G179" s="14" t="s">
        <v>705</v>
      </c>
      <c r="H179" s="17"/>
      <c r="I179" s="17"/>
      <c r="J179" s="38">
        <v>10</v>
      </c>
    </row>
    <row r="180" spans="1:10" ht="48.75">
      <c r="A180" s="13" t="s">
        <v>706</v>
      </c>
      <c r="B180" s="13" t="s">
        <v>707</v>
      </c>
      <c r="C180" s="13" t="s">
        <v>289</v>
      </c>
      <c r="D180" s="13" t="s">
        <v>703</v>
      </c>
      <c r="E180" s="14" t="s">
        <v>85</v>
      </c>
      <c r="F180" s="14" t="s">
        <v>708</v>
      </c>
      <c r="G180" s="14" t="s">
        <v>709</v>
      </c>
      <c r="H180" s="17"/>
      <c r="I180" s="17"/>
      <c r="J180" s="38">
        <v>10</v>
      </c>
    </row>
    <row r="181" spans="1:10" ht="48.75">
      <c r="A181" s="13" t="s">
        <v>710</v>
      </c>
      <c r="B181" s="13" t="s">
        <v>711</v>
      </c>
      <c r="C181" s="13" t="s">
        <v>289</v>
      </c>
      <c r="D181" s="13" t="s">
        <v>703</v>
      </c>
      <c r="E181" s="14" t="s">
        <v>85</v>
      </c>
      <c r="F181" s="14" t="s">
        <v>712</v>
      </c>
      <c r="G181" s="14" t="s">
        <v>713</v>
      </c>
      <c r="H181" s="17"/>
      <c r="I181" s="17"/>
      <c r="J181" s="38">
        <v>8</v>
      </c>
    </row>
    <row r="182" spans="1:10" ht="48.75">
      <c r="A182" s="13" t="s">
        <v>714</v>
      </c>
      <c r="B182" s="13" t="s">
        <v>715</v>
      </c>
      <c r="C182" s="13" t="s">
        <v>289</v>
      </c>
      <c r="D182" s="13" t="s">
        <v>703</v>
      </c>
      <c r="E182" s="14" t="s">
        <v>85</v>
      </c>
      <c r="F182" s="14" t="s">
        <v>716</v>
      </c>
      <c r="G182" s="14" t="s">
        <v>717</v>
      </c>
      <c r="H182" s="17"/>
      <c r="I182" s="17"/>
      <c r="J182" s="38">
        <v>10</v>
      </c>
    </row>
    <row r="183" spans="1:10" ht="64.5">
      <c r="A183" s="13" t="s">
        <v>718</v>
      </c>
      <c r="B183" s="13" t="s">
        <v>289</v>
      </c>
      <c r="C183" s="13" t="s">
        <v>289</v>
      </c>
      <c r="D183" s="13" t="s">
        <v>703</v>
      </c>
      <c r="E183" s="14" t="s">
        <v>85</v>
      </c>
      <c r="F183" s="14" t="s">
        <v>719</v>
      </c>
      <c r="G183" s="14" t="s">
        <v>720</v>
      </c>
      <c r="H183" s="17"/>
      <c r="I183" s="17"/>
      <c r="J183" s="38">
        <v>12</v>
      </c>
    </row>
    <row r="184" spans="1:10" ht="64.5">
      <c r="A184" s="13" t="s">
        <v>721</v>
      </c>
      <c r="B184" s="13" t="s">
        <v>722</v>
      </c>
      <c r="C184" s="13" t="s">
        <v>117</v>
      </c>
      <c r="D184" s="13" t="s">
        <v>703</v>
      </c>
      <c r="E184" s="14" t="s">
        <v>118</v>
      </c>
      <c r="F184" s="14" t="s">
        <v>723</v>
      </c>
      <c r="G184" s="14" t="s">
        <v>724</v>
      </c>
      <c r="H184" s="17"/>
      <c r="I184" s="17"/>
      <c r="J184" s="38">
        <v>28</v>
      </c>
    </row>
    <row r="185" spans="1:10">
      <c r="A185" s="26" t="s">
        <v>725</v>
      </c>
      <c r="B185" s="26"/>
      <c r="C185" s="26"/>
      <c r="D185" s="26"/>
      <c r="E185" s="28"/>
      <c r="F185" s="28"/>
      <c r="G185" s="28"/>
      <c r="H185" s="31"/>
      <c r="I185" s="29"/>
      <c r="J185" s="34">
        <f>SUM(J186:J191)</f>
        <v>0</v>
      </c>
    </row>
    <row r="186" spans="1:10" ht="48.75">
      <c r="A186" s="13" t="s">
        <v>726</v>
      </c>
      <c r="B186" s="13" t="s">
        <v>727</v>
      </c>
      <c r="C186" s="13" t="s">
        <v>289</v>
      </c>
      <c r="D186" s="13" t="s">
        <v>728</v>
      </c>
      <c r="E186" s="14" t="s">
        <v>85</v>
      </c>
      <c r="F186" s="14" t="s">
        <v>729</v>
      </c>
      <c r="G186" s="14"/>
      <c r="H186" s="17"/>
      <c r="I186" s="17"/>
      <c r="J186" s="38"/>
    </row>
    <row r="187" spans="1:10" ht="64.5">
      <c r="A187" s="13" t="s">
        <v>730</v>
      </c>
      <c r="B187" s="13" t="s">
        <v>731</v>
      </c>
      <c r="C187" s="13" t="s">
        <v>732</v>
      </c>
      <c r="D187" s="13" t="s">
        <v>728</v>
      </c>
      <c r="E187" s="14" t="s">
        <v>41</v>
      </c>
      <c r="F187" s="14" t="s">
        <v>733</v>
      </c>
      <c r="G187" s="14"/>
      <c r="H187" s="17"/>
      <c r="I187" s="17"/>
      <c r="J187" s="38"/>
    </row>
    <row r="190" spans="1:10">
      <c r="A190" s="5"/>
    </row>
    <row r="199" spans="1:1">
      <c r="A199" s="5"/>
    </row>
    <row r="207" spans="1:1">
      <c r="A207" s="5"/>
    </row>
    <row r="215" spans="1:1">
      <c r="A215" s="5"/>
    </row>
  </sheetData>
  <autoFilter ref="A1:I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E1" sqref="E1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734</v>
      </c>
      <c r="H1" s="2" t="s">
        <v>30</v>
      </c>
    </row>
    <row r="2" spans="1:8" s="3" customFormat="1" ht="15.75" customHeight="1">
      <c r="A2" s="3" t="s">
        <v>36</v>
      </c>
      <c r="G2" s="1"/>
      <c r="H2" s="1"/>
    </row>
    <row r="3" spans="1:8" ht="31.5">
      <c r="A3" t="s">
        <v>735</v>
      </c>
      <c r="B3" t="s">
        <v>736</v>
      </c>
      <c r="C3" t="s">
        <v>39</v>
      </c>
      <c r="D3" t="s">
        <v>40</v>
      </c>
      <c r="E3" t="s">
        <v>737</v>
      </c>
      <c r="F3" t="s">
        <v>738</v>
      </c>
      <c r="G3" s="2" t="s">
        <v>739</v>
      </c>
      <c r="H3" s="2" t="s">
        <v>41</v>
      </c>
    </row>
    <row r="4" spans="1:8" s="3" customFormat="1" ht="15.75" customHeight="1">
      <c r="A4" s="3" t="s">
        <v>157</v>
      </c>
      <c r="G4" s="1"/>
      <c r="H4" s="1"/>
    </row>
    <row r="5" spans="1:8">
      <c r="A5" t="s">
        <v>740</v>
      </c>
      <c r="B5" t="s">
        <v>741</v>
      </c>
      <c r="C5" t="s">
        <v>117</v>
      </c>
      <c r="D5" t="s">
        <v>160</v>
      </c>
      <c r="E5" t="s">
        <v>742</v>
      </c>
      <c r="F5" t="s">
        <v>743</v>
      </c>
      <c r="G5" s="2" t="s">
        <v>744</v>
      </c>
      <c r="H5" s="2" t="s">
        <v>118</v>
      </c>
    </row>
    <row r="6" spans="1:8" ht="31.5">
      <c r="A6" t="s">
        <v>745</v>
      </c>
      <c r="B6" t="s">
        <v>746</v>
      </c>
      <c r="C6" t="s">
        <v>747</v>
      </c>
      <c r="D6" t="s">
        <v>160</v>
      </c>
      <c r="E6" t="s">
        <v>748</v>
      </c>
      <c r="F6" t="s">
        <v>749</v>
      </c>
      <c r="G6" s="2" t="s">
        <v>750</v>
      </c>
      <c r="H6" s="2" t="s">
        <v>118</v>
      </c>
    </row>
    <row r="7" spans="1:8" s="3" customFormat="1" ht="15.75" customHeight="1">
      <c r="A7" s="3" t="s">
        <v>751</v>
      </c>
      <c r="G7" s="1"/>
      <c r="H7" s="1"/>
    </row>
    <row r="8" spans="1:8" ht="47.25">
      <c r="A8" t="s">
        <v>752</v>
      </c>
      <c r="B8" t="s">
        <v>753</v>
      </c>
      <c r="C8" t="s">
        <v>117</v>
      </c>
      <c r="D8" t="s">
        <v>754</v>
      </c>
      <c r="E8" t="s">
        <v>755</v>
      </c>
      <c r="F8" t="s">
        <v>756</v>
      </c>
      <c r="G8" s="2" t="s">
        <v>757</v>
      </c>
      <c r="H8" s="2" t="s">
        <v>118</v>
      </c>
    </row>
    <row r="9" spans="1:8" ht="31.5">
      <c r="A9" t="s">
        <v>758</v>
      </c>
      <c r="B9" t="s">
        <v>759</v>
      </c>
      <c r="C9" t="s">
        <v>117</v>
      </c>
      <c r="D9" t="s">
        <v>754</v>
      </c>
      <c r="E9" t="s">
        <v>760</v>
      </c>
      <c r="F9" t="s">
        <v>761</v>
      </c>
      <c r="G9" s="2" t="s">
        <v>762</v>
      </c>
      <c r="H9" s="2" t="s">
        <v>118</v>
      </c>
    </row>
    <row r="10" spans="1:8" ht="31.5">
      <c r="A10" t="s">
        <v>763</v>
      </c>
      <c r="B10" t="s">
        <v>764</v>
      </c>
      <c r="C10" t="s">
        <v>117</v>
      </c>
      <c r="D10" t="s">
        <v>754</v>
      </c>
      <c r="E10" t="s">
        <v>765</v>
      </c>
      <c r="F10" t="s">
        <v>761</v>
      </c>
      <c r="G10" s="2" t="s">
        <v>762</v>
      </c>
      <c r="H10" s="2" t="s">
        <v>118</v>
      </c>
    </row>
    <row r="11" spans="1:8" ht="31.5">
      <c r="A11" t="s">
        <v>766</v>
      </c>
      <c r="B11" t="s">
        <v>767</v>
      </c>
      <c r="C11" t="s">
        <v>117</v>
      </c>
      <c r="D11" t="s">
        <v>754</v>
      </c>
      <c r="E11" t="s">
        <v>768</v>
      </c>
      <c r="F11" t="s">
        <v>761</v>
      </c>
      <c r="G11" s="2" t="s">
        <v>762</v>
      </c>
      <c r="H11" s="2" t="s">
        <v>118</v>
      </c>
    </row>
    <row r="12" spans="1:8" ht="31.5">
      <c r="A12" t="s">
        <v>769</v>
      </c>
      <c r="B12" t="s">
        <v>770</v>
      </c>
      <c r="C12" t="s">
        <v>117</v>
      </c>
      <c r="D12" t="s">
        <v>754</v>
      </c>
      <c r="E12" t="s">
        <v>771</v>
      </c>
      <c r="F12" t="s">
        <v>761</v>
      </c>
      <c r="G12" s="2" t="s">
        <v>762</v>
      </c>
      <c r="H12" s="2" t="s">
        <v>118</v>
      </c>
    </row>
    <row r="13" spans="1:8" ht="31.5">
      <c r="A13" t="s">
        <v>772</v>
      </c>
      <c r="B13" t="s">
        <v>773</v>
      </c>
      <c r="C13" t="s">
        <v>117</v>
      </c>
      <c r="D13" t="s">
        <v>754</v>
      </c>
      <c r="E13" t="s">
        <v>774</v>
      </c>
      <c r="F13" t="s">
        <v>775</v>
      </c>
      <c r="G13" s="2" t="s">
        <v>762</v>
      </c>
      <c r="H13" s="2" t="s">
        <v>118</v>
      </c>
    </row>
    <row r="14" spans="1:8" ht="31.5">
      <c r="A14" t="s">
        <v>776</v>
      </c>
      <c r="B14" t="s">
        <v>777</v>
      </c>
      <c r="C14" t="s">
        <v>117</v>
      </c>
      <c r="D14" t="s">
        <v>754</v>
      </c>
      <c r="E14" t="s">
        <v>778</v>
      </c>
      <c r="F14" t="s">
        <v>761</v>
      </c>
      <c r="G14" s="2" t="s">
        <v>762</v>
      </c>
      <c r="H14" s="2" t="s">
        <v>118</v>
      </c>
    </row>
    <row r="15" spans="1:8" ht="31.5">
      <c r="A15" t="s">
        <v>779</v>
      </c>
      <c r="B15" t="s">
        <v>780</v>
      </c>
      <c r="C15" t="s">
        <v>117</v>
      </c>
      <c r="D15" t="s">
        <v>754</v>
      </c>
      <c r="E15" t="s">
        <v>781</v>
      </c>
      <c r="F15" t="s">
        <v>761</v>
      </c>
      <c r="G15" s="2" t="s">
        <v>762</v>
      </c>
      <c r="H15" s="2" t="s">
        <v>118</v>
      </c>
    </row>
    <row r="16" spans="1:8" ht="31.5">
      <c r="A16" t="s">
        <v>782</v>
      </c>
      <c r="B16" t="s">
        <v>783</v>
      </c>
      <c r="C16" t="s">
        <v>117</v>
      </c>
      <c r="D16" t="s">
        <v>754</v>
      </c>
      <c r="E16" t="s">
        <v>784</v>
      </c>
      <c r="F16" t="s">
        <v>761</v>
      </c>
      <c r="G16" s="2" t="s">
        <v>762</v>
      </c>
      <c r="H16" s="2" t="s">
        <v>118</v>
      </c>
    </row>
    <row r="17" spans="1:8" ht="31.5">
      <c r="A17" t="s">
        <v>785</v>
      </c>
      <c r="B17" t="s">
        <v>786</v>
      </c>
      <c r="C17" t="s">
        <v>117</v>
      </c>
      <c r="D17" t="s">
        <v>754</v>
      </c>
      <c r="E17" t="s">
        <v>787</v>
      </c>
      <c r="F17" t="s">
        <v>761</v>
      </c>
      <c r="G17" s="2" t="s">
        <v>762</v>
      </c>
      <c r="H17" s="2" t="s">
        <v>118</v>
      </c>
    </row>
    <row r="18" spans="1:8" ht="31.5">
      <c r="A18" t="s">
        <v>788</v>
      </c>
      <c r="B18" t="s">
        <v>789</v>
      </c>
      <c r="C18" t="s">
        <v>117</v>
      </c>
      <c r="D18" t="s">
        <v>754</v>
      </c>
      <c r="E18" t="s">
        <v>790</v>
      </c>
      <c r="F18" t="s">
        <v>791</v>
      </c>
      <c r="G18" s="2" t="s">
        <v>792</v>
      </c>
      <c r="H18" s="2" t="s">
        <v>118</v>
      </c>
    </row>
    <row r="19" spans="1:8" ht="31.5">
      <c r="A19" t="s">
        <v>793</v>
      </c>
      <c r="B19" t="s">
        <v>794</v>
      </c>
      <c r="C19" t="s">
        <v>117</v>
      </c>
      <c r="D19" t="s">
        <v>754</v>
      </c>
      <c r="E19" t="s">
        <v>795</v>
      </c>
      <c r="F19" t="s">
        <v>796</v>
      </c>
      <c r="G19" s="2" t="s">
        <v>797</v>
      </c>
      <c r="H19" s="2" t="s">
        <v>118</v>
      </c>
    </row>
    <row r="20" spans="1:8" ht="31.5">
      <c r="A20" t="s">
        <v>798</v>
      </c>
      <c r="B20" t="s">
        <v>799</v>
      </c>
      <c r="C20" t="s">
        <v>117</v>
      </c>
      <c r="D20" t="s">
        <v>754</v>
      </c>
      <c r="E20" t="s">
        <v>800</v>
      </c>
      <c r="F20" t="s">
        <v>761</v>
      </c>
      <c r="G20" s="2" t="s">
        <v>797</v>
      </c>
      <c r="H20" s="2" t="s">
        <v>118</v>
      </c>
    </row>
    <row r="21" spans="1:8" ht="31.5">
      <c r="A21" t="s">
        <v>801</v>
      </c>
      <c r="B21" t="s">
        <v>802</v>
      </c>
      <c r="C21" t="s">
        <v>117</v>
      </c>
      <c r="D21" t="s">
        <v>754</v>
      </c>
      <c r="E21" t="s">
        <v>803</v>
      </c>
      <c r="F21" t="s">
        <v>804</v>
      </c>
      <c r="G21" s="2" t="s">
        <v>805</v>
      </c>
      <c r="H21" s="2" t="s">
        <v>118</v>
      </c>
    </row>
    <row r="22" spans="1:8" ht="31.5">
      <c r="A22" t="s">
        <v>806</v>
      </c>
      <c r="B22" t="s">
        <v>807</v>
      </c>
      <c r="C22" t="s">
        <v>117</v>
      </c>
      <c r="D22" t="s">
        <v>754</v>
      </c>
      <c r="E22" t="s">
        <v>808</v>
      </c>
      <c r="F22" t="s">
        <v>809</v>
      </c>
      <c r="G22" s="2" t="s">
        <v>810</v>
      </c>
      <c r="H22" s="2" t="s">
        <v>118</v>
      </c>
    </row>
    <row r="23" spans="1:8" s="3" customFormat="1" ht="15.75" customHeight="1">
      <c r="A23" s="3" t="s">
        <v>811</v>
      </c>
      <c r="G23" s="1"/>
      <c r="H23" s="1"/>
    </row>
    <row r="24" spans="1:8" s="3" customFormat="1" ht="16.5" customHeight="1">
      <c r="A24" t="s">
        <v>812</v>
      </c>
      <c r="B24" t="s">
        <v>813</v>
      </c>
      <c r="C24" t="s">
        <v>289</v>
      </c>
      <c r="D24" t="s">
        <v>814</v>
      </c>
      <c r="E24" s="2" t="s">
        <v>85</v>
      </c>
      <c r="F24" t="s">
        <v>815</v>
      </c>
      <c r="G24" t="s">
        <v>816</v>
      </c>
      <c r="H24" s="2"/>
    </row>
    <row r="25" spans="1:8" ht="47.25">
      <c r="A25" t="s">
        <v>817</v>
      </c>
      <c r="B25" t="s">
        <v>818</v>
      </c>
      <c r="C25" t="s">
        <v>289</v>
      </c>
      <c r="D25" t="s">
        <v>814</v>
      </c>
      <c r="E25" t="s">
        <v>819</v>
      </c>
      <c r="F25" t="s">
        <v>820</v>
      </c>
      <c r="G25" s="2" t="s">
        <v>821</v>
      </c>
      <c r="H25" s="2" t="s">
        <v>85</v>
      </c>
    </row>
    <row r="26" spans="1:8" ht="31.5">
      <c r="A26" t="s">
        <v>822</v>
      </c>
      <c r="B26" t="s">
        <v>823</v>
      </c>
      <c r="C26" t="s">
        <v>106</v>
      </c>
      <c r="D26" t="s">
        <v>814</v>
      </c>
      <c r="E26" t="s">
        <v>824</v>
      </c>
      <c r="F26" t="s">
        <v>825</v>
      </c>
      <c r="G26" s="2" t="s">
        <v>826</v>
      </c>
      <c r="H26" s="2" t="s">
        <v>108</v>
      </c>
    </row>
    <row r="27" spans="1:8" ht="31.5">
      <c r="A27" t="s">
        <v>827</v>
      </c>
      <c r="B27" t="s">
        <v>828</v>
      </c>
      <c r="C27" t="s">
        <v>289</v>
      </c>
      <c r="D27" t="s">
        <v>814</v>
      </c>
      <c r="E27" t="s">
        <v>829</v>
      </c>
      <c r="F27" t="s">
        <v>830</v>
      </c>
      <c r="G27" s="2" t="s">
        <v>831</v>
      </c>
      <c r="H27" s="2" t="s">
        <v>85</v>
      </c>
    </row>
    <row r="28" spans="1:8" ht="31.5">
      <c r="A28" t="s">
        <v>832</v>
      </c>
      <c r="B28" t="s">
        <v>833</v>
      </c>
      <c r="C28" t="s">
        <v>84</v>
      </c>
      <c r="D28" t="s">
        <v>814</v>
      </c>
      <c r="E28" t="s">
        <v>834</v>
      </c>
      <c r="F28" t="s">
        <v>835</v>
      </c>
      <c r="G28" s="2" t="s">
        <v>836</v>
      </c>
      <c r="H28" s="2" t="s">
        <v>85</v>
      </c>
    </row>
    <row r="29" spans="1:8" ht="31.5">
      <c r="A29" t="s">
        <v>837</v>
      </c>
      <c r="B29" t="s">
        <v>838</v>
      </c>
      <c r="C29" t="s">
        <v>84</v>
      </c>
      <c r="D29" t="s">
        <v>814</v>
      </c>
      <c r="E29" t="s">
        <v>839</v>
      </c>
      <c r="F29" t="s">
        <v>840</v>
      </c>
      <c r="G29" s="2" t="s">
        <v>841</v>
      </c>
      <c r="H29" s="2" t="s">
        <v>85</v>
      </c>
    </row>
    <row r="30" spans="1:8" s="3" customFormat="1" ht="15.75" customHeight="1">
      <c r="A30" s="3" t="s">
        <v>366</v>
      </c>
      <c r="G30" s="1"/>
      <c r="H30" s="1"/>
    </row>
    <row r="31" spans="1:8" ht="31.5">
      <c r="A31" t="s">
        <v>842</v>
      </c>
      <c r="B31" t="s">
        <v>843</v>
      </c>
      <c r="C31" t="s">
        <v>84</v>
      </c>
      <c r="D31" t="s">
        <v>369</v>
      </c>
      <c r="E31" t="s">
        <v>844</v>
      </c>
      <c r="F31" t="s">
        <v>845</v>
      </c>
      <c r="G31" s="2" t="s">
        <v>846</v>
      </c>
      <c r="H31" s="2" t="s">
        <v>85</v>
      </c>
    </row>
    <row r="32" spans="1:8" ht="63">
      <c r="A32" t="s">
        <v>847</v>
      </c>
      <c r="B32" t="s">
        <v>848</v>
      </c>
      <c r="C32" t="s">
        <v>289</v>
      </c>
      <c r="D32" t="s">
        <v>369</v>
      </c>
      <c r="E32" t="s">
        <v>849</v>
      </c>
      <c r="F32" t="s">
        <v>850</v>
      </c>
      <c r="G32" s="2" t="s">
        <v>851</v>
      </c>
      <c r="H32" s="2" t="s">
        <v>85</v>
      </c>
    </row>
    <row r="33" spans="1:8" ht="47.25">
      <c r="A33" t="s">
        <v>852</v>
      </c>
      <c r="B33" t="s">
        <v>853</v>
      </c>
      <c r="C33" t="s">
        <v>84</v>
      </c>
      <c r="D33" t="s">
        <v>369</v>
      </c>
      <c r="E33" t="s">
        <v>854</v>
      </c>
      <c r="F33" t="s">
        <v>855</v>
      </c>
      <c r="G33" s="2" t="s">
        <v>856</v>
      </c>
      <c r="H33" s="2" t="s">
        <v>85</v>
      </c>
    </row>
    <row r="34" spans="1:8" s="3" customFormat="1" ht="15.75" customHeight="1">
      <c r="A34" s="3" t="s">
        <v>447</v>
      </c>
      <c r="G34" s="1"/>
      <c r="H34" s="1"/>
    </row>
    <row r="35" spans="1:8" ht="31.5">
      <c r="A35" t="s">
        <v>857</v>
      </c>
      <c r="B35" t="s">
        <v>858</v>
      </c>
      <c r="C35" t="s">
        <v>106</v>
      </c>
      <c r="D35" t="s">
        <v>450</v>
      </c>
      <c r="E35" t="s">
        <v>859</v>
      </c>
      <c r="F35" t="s">
        <v>860</v>
      </c>
      <c r="G35" s="2" t="s">
        <v>861</v>
      </c>
      <c r="H35" s="2" t="s">
        <v>108</v>
      </c>
    </row>
    <row r="36" spans="1:8">
      <c r="A36" t="s">
        <v>862</v>
      </c>
      <c r="B36" t="s">
        <v>863</v>
      </c>
      <c r="C36" t="s">
        <v>444</v>
      </c>
      <c r="D36" t="s">
        <v>450</v>
      </c>
      <c r="E36" t="s">
        <v>864</v>
      </c>
      <c r="F36" t="s">
        <v>865</v>
      </c>
      <c r="G36" s="2" t="s">
        <v>866</v>
      </c>
      <c r="H36" s="2" t="s">
        <v>85</v>
      </c>
    </row>
    <row r="37" spans="1:8" ht="31.5">
      <c r="A37" t="s">
        <v>867</v>
      </c>
      <c r="B37" t="s">
        <v>868</v>
      </c>
      <c r="C37" t="s">
        <v>869</v>
      </c>
      <c r="D37" t="s">
        <v>450</v>
      </c>
      <c r="E37" t="s">
        <v>870</v>
      </c>
      <c r="F37" t="s">
        <v>871</v>
      </c>
      <c r="G37" s="2" t="s">
        <v>872</v>
      </c>
      <c r="H37" s="2" t="s">
        <v>41</v>
      </c>
    </row>
    <row r="38" spans="1:8" s="3" customFormat="1" ht="15.75" customHeight="1">
      <c r="A38" s="3" t="s">
        <v>470</v>
      </c>
      <c r="G38" s="1"/>
      <c r="H38" s="1"/>
    </row>
    <row r="39" spans="1:8" ht="31.5">
      <c r="A39" t="s">
        <v>873</v>
      </c>
      <c r="B39" t="s">
        <v>874</v>
      </c>
      <c r="C39" t="s">
        <v>289</v>
      </c>
      <c r="D39" t="s">
        <v>473</v>
      </c>
      <c r="E39" t="s">
        <v>875</v>
      </c>
      <c r="F39" t="s">
        <v>876</v>
      </c>
      <c r="G39" s="2" t="s">
        <v>877</v>
      </c>
      <c r="H39" s="2" t="s">
        <v>85</v>
      </c>
    </row>
    <row r="40" spans="1:8" ht="31.5">
      <c r="A40" t="s">
        <v>878</v>
      </c>
      <c r="B40" t="s">
        <v>879</v>
      </c>
      <c r="C40" t="s">
        <v>84</v>
      </c>
      <c r="D40" t="s">
        <v>473</v>
      </c>
      <c r="E40" t="s">
        <v>880</v>
      </c>
      <c r="F40" t="s">
        <v>881</v>
      </c>
      <c r="G40" s="2" t="s">
        <v>882</v>
      </c>
      <c r="H40" s="2" t="s">
        <v>85</v>
      </c>
    </row>
    <row r="41" spans="1:8" s="3" customFormat="1" ht="15.75" customHeight="1">
      <c r="A41" s="3" t="s">
        <v>545</v>
      </c>
      <c r="G41" s="1"/>
      <c r="H41" s="1"/>
    </row>
    <row r="42" spans="1:8" ht="47.25">
      <c r="A42" t="s">
        <v>883</v>
      </c>
      <c r="B42" t="s">
        <v>884</v>
      </c>
      <c r="C42" t="s">
        <v>566</v>
      </c>
      <c r="D42" t="s">
        <v>548</v>
      </c>
      <c r="E42" t="s">
        <v>885</v>
      </c>
      <c r="F42" t="s">
        <v>886</v>
      </c>
      <c r="G42" s="2" t="s">
        <v>887</v>
      </c>
      <c r="H42" s="2" t="s">
        <v>118</v>
      </c>
    </row>
    <row r="43" spans="1:8" ht="47.25">
      <c r="A43" t="s">
        <v>888</v>
      </c>
      <c r="B43" t="s">
        <v>889</v>
      </c>
      <c r="C43" t="s">
        <v>566</v>
      </c>
      <c r="D43" t="s">
        <v>548</v>
      </c>
      <c r="E43" t="s">
        <v>890</v>
      </c>
      <c r="F43" t="s">
        <v>891</v>
      </c>
      <c r="G43" s="2" t="s">
        <v>892</v>
      </c>
      <c r="H43" s="2" t="s">
        <v>118</v>
      </c>
    </row>
    <row r="44" spans="1:8" s="3" customFormat="1" ht="15.75" customHeight="1">
      <c r="A44" s="3" t="s">
        <v>602</v>
      </c>
      <c r="G44" s="1"/>
      <c r="H44" s="1"/>
    </row>
    <row r="45" spans="1:8" ht="31.5">
      <c r="A45" t="s">
        <v>893</v>
      </c>
      <c r="B45" t="s">
        <v>894</v>
      </c>
      <c r="C45" t="s">
        <v>614</v>
      </c>
      <c r="D45" t="s">
        <v>605</v>
      </c>
      <c r="E45" t="s">
        <v>895</v>
      </c>
      <c r="F45" t="s">
        <v>896</v>
      </c>
      <c r="G45" s="2" t="s">
        <v>897</v>
      </c>
      <c r="H45" s="2" t="s">
        <v>41</v>
      </c>
    </row>
    <row r="46" spans="1:8" ht="47.25">
      <c r="A46" t="s">
        <v>898</v>
      </c>
      <c r="B46" t="s">
        <v>899</v>
      </c>
      <c r="C46" t="s">
        <v>520</v>
      </c>
      <c r="D46" t="s">
        <v>605</v>
      </c>
      <c r="E46" t="s">
        <v>900</v>
      </c>
      <c r="F46" t="s">
        <v>901</v>
      </c>
      <c r="G46" s="2" t="s">
        <v>902</v>
      </c>
      <c r="H46" s="2" t="s">
        <v>118</v>
      </c>
    </row>
    <row r="47" spans="1:8">
      <c r="A47" t="s">
        <v>903</v>
      </c>
      <c r="B47" t="s">
        <v>904</v>
      </c>
      <c r="C47" t="s">
        <v>84</v>
      </c>
      <c r="D47" t="s">
        <v>605</v>
      </c>
      <c r="E47" t="s">
        <v>905</v>
      </c>
      <c r="F47" t="s">
        <v>906</v>
      </c>
      <c r="G47" s="2" t="s">
        <v>907</v>
      </c>
      <c r="H47" s="2" t="s">
        <v>85</v>
      </c>
    </row>
    <row r="48" spans="1:8">
      <c r="A48" t="s">
        <v>908</v>
      </c>
      <c r="B48" t="s">
        <v>909</v>
      </c>
      <c r="C48" t="s">
        <v>910</v>
      </c>
      <c r="D48" t="s">
        <v>605</v>
      </c>
      <c r="E48" t="s">
        <v>911</v>
      </c>
      <c r="F48" t="s">
        <v>912</v>
      </c>
      <c r="G48" s="2" t="s">
        <v>913</v>
      </c>
      <c r="H48" s="2" t="s">
        <v>118</v>
      </c>
    </row>
    <row r="49" spans="1:8">
      <c r="A49" t="s">
        <v>914</v>
      </c>
      <c r="B49" t="s">
        <v>915</v>
      </c>
      <c r="C49" t="s">
        <v>117</v>
      </c>
      <c r="D49" t="s">
        <v>605</v>
      </c>
      <c r="E49" t="s">
        <v>916</v>
      </c>
      <c r="F49" t="s">
        <v>917</v>
      </c>
      <c r="G49" s="2" t="s">
        <v>918</v>
      </c>
      <c r="H49" s="2" t="s">
        <v>118</v>
      </c>
    </row>
    <row r="50" spans="1:8" s="3" customFormat="1" ht="15.75" customHeight="1">
      <c r="A50" s="3" t="s">
        <v>647</v>
      </c>
      <c r="G50" s="1"/>
      <c r="H50" s="1"/>
    </row>
    <row r="51" spans="1:8" ht="31.5">
      <c r="A51" t="s">
        <v>919</v>
      </c>
      <c r="B51" t="s">
        <v>920</v>
      </c>
      <c r="C51" t="s">
        <v>666</v>
      </c>
      <c r="D51" t="s">
        <v>650</v>
      </c>
      <c r="E51" t="s">
        <v>921</v>
      </c>
      <c r="F51" t="s">
        <v>922</v>
      </c>
      <c r="G51" s="2" t="s">
        <v>923</v>
      </c>
      <c r="H51" s="2" t="s">
        <v>667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selection activeCell="C40" sqref="C40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924</v>
      </c>
      <c r="H1" s="2" t="s">
        <v>30</v>
      </c>
    </row>
    <row r="2" spans="1:8">
      <c r="A2" s="3" t="s">
        <v>925</v>
      </c>
      <c r="B2" s="3"/>
      <c r="C2" s="3"/>
      <c r="D2" s="3"/>
      <c r="E2" s="3"/>
      <c r="F2" s="3"/>
      <c r="G2" s="3"/>
      <c r="H2" s="2"/>
    </row>
    <row r="3" spans="1:8" ht="31.5">
      <c r="A3" t="s">
        <v>926</v>
      </c>
      <c r="B3" t="s">
        <v>927</v>
      </c>
      <c r="C3" t="s">
        <v>106</v>
      </c>
      <c r="D3" t="s">
        <v>928</v>
      </c>
      <c r="E3" t="s">
        <v>929</v>
      </c>
      <c r="F3" t="s">
        <v>930</v>
      </c>
      <c r="G3" t="s">
        <v>931</v>
      </c>
      <c r="H3" s="2" t="s">
        <v>108</v>
      </c>
    </row>
    <row r="4" spans="1:8">
      <c r="A4" t="s">
        <v>932</v>
      </c>
      <c r="B4" t="s">
        <v>933</v>
      </c>
      <c r="C4" t="s">
        <v>117</v>
      </c>
      <c r="D4" t="s">
        <v>928</v>
      </c>
      <c r="E4" t="s">
        <v>934</v>
      </c>
      <c r="F4" t="s">
        <v>935</v>
      </c>
      <c r="G4" t="s">
        <v>936</v>
      </c>
      <c r="H4" s="2" t="s">
        <v>118</v>
      </c>
    </row>
    <row r="5" spans="1:8">
      <c r="A5" t="s">
        <v>937</v>
      </c>
      <c r="B5" t="s">
        <v>938</v>
      </c>
      <c r="C5" t="s">
        <v>117</v>
      </c>
      <c r="D5" t="s">
        <v>928</v>
      </c>
      <c r="E5" t="s">
        <v>939</v>
      </c>
      <c r="F5" t="s">
        <v>940</v>
      </c>
      <c r="G5" t="s">
        <v>936</v>
      </c>
      <c r="H5" s="2" t="s">
        <v>118</v>
      </c>
    </row>
    <row r="6" spans="1:8">
      <c r="A6" t="s">
        <v>941</v>
      </c>
      <c r="B6" t="s">
        <v>942</v>
      </c>
      <c r="C6" t="s">
        <v>117</v>
      </c>
      <c r="D6" t="s">
        <v>928</v>
      </c>
      <c r="E6" t="s">
        <v>943</v>
      </c>
      <c r="F6" t="s">
        <v>944</v>
      </c>
      <c r="G6" t="s">
        <v>936</v>
      </c>
      <c r="H6" s="2" t="s">
        <v>118</v>
      </c>
    </row>
    <row r="7" spans="1:8">
      <c r="A7" s="3" t="s">
        <v>157</v>
      </c>
      <c r="B7" s="3"/>
      <c r="C7" s="3"/>
      <c r="D7" s="3"/>
      <c r="E7" s="3"/>
      <c r="F7" s="3"/>
      <c r="G7" s="3"/>
      <c r="H7" s="2"/>
    </row>
    <row r="8" spans="1:8">
      <c r="A8" t="s">
        <v>945</v>
      </c>
      <c r="B8" t="s">
        <v>946</v>
      </c>
      <c r="C8" t="s">
        <v>117</v>
      </c>
      <c r="D8" t="s">
        <v>160</v>
      </c>
      <c r="E8" t="s">
        <v>947</v>
      </c>
      <c r="F8" t="s">
        <v>948</v>
      </c>
      <c r="G8" t="s">
        <v>949</v>
      </c>
      <c r="H8" s="2" t="s">
        <v>118</v>
      </c>
    </row>
    <row r="9" spans="1:8">
      <c r="G9" s="2"/>
    </row>
    <row r="10" spans="1:8">
      <c r="G10" s="2"/>
    </row>
    <row r="11" spans="1:8">
      <c r="G11" s="2"/>
    </row>
    <row r="12" spans="1:8">
      <c r="G12" s="2"/>
    </row>
    <row r="13" spans="1:8">
      <c r="G13" s="2"/>
    </row>
    <row r="14" spans="1:8">
      <c r="G14" s="2"/>
    </row>
    <row r="15" spans="1:8">
      <c r="G15" s="2"/>
    </row>
    <row r="16" spans="1:8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  <row r="22" spans="7:7">
      <c r="G22" s="2"/>
    </row>
    <row r="23" spans="7:7">
      <c r="G23" s="2"/>
    </row>
    <row r="24" spans="7:7">
      <c r="G24" s="2"/>
    </row>
    <row r="25" spans="7:7">
      <c r="G25" s="2"/>
    </row>
    <row r="26" spans="7:7">
      <c r="G26" s="2"/>
    </row>
    <row r="27" spans="7:7">
      <c r="G27" s="2"/>
    </row>
    <row r="28" spans="7:7">
      <c r="G28" s="2"/>
    </row>
    <row r="29" spans="7:7">
      <c r="G29" s="2"/>
    </row>
    <row r="30" spans="7:7">
      <c r="G30" s="2"/>
    </row>
    <row r="31" spans="7:7">
      <c r="G31" s="2"/>
    </row>
    <row r="32" spans="7:7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37" spans="7:7">
      <c r="G37" s="2"/>
    </row>
    <row r="38" spans="7:7">
      <c r="G38" s="2"/>
    </row>
    <row r="39" spans="7:7">
      <c r="G39" s="2"/>
    </row>
    <row r="40" spans="7:7">
      <c r="G40" s="2"/>
    </row>
    <row r="41" spans="7:7">
      <c r="G41" s="2"/>
    </row>
    <row r="42" spans="7:7">
      <c r="G42" s="2"/>
    </row>
    <row r="43" spans="7:7">
      <c r="G43" s="2"/>
    </row>
    <row r="44" spans="7:7">
      <c r="G44" s="2"/>
    </row>
    <row r="45" spans="7:7">
      <c r="G45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K82" sqref="K82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t="s">
        <v>30</v>
      </c>
    </row>
    <row r="2" spans="1:7">
      <c r="A2" t="s">
        <v>950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591A69FDD1044BE298EB952D21E4F" ma:contentTypeVersion="14" ma:contentTypeDescription="Create a new document." ma:contentTypeScope="" ma:versionID="0c97d78586ee01c4ce33740129e97979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139e1a7cd34384b8752e24cd132b3f37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F47513-BA43-4039-A4AE-52F40213109E}"/>
</file>

<file path=customXml/itemProps2.xml><?xml version="1.0" encoding="utf-8"?>
<ds:datastoreItem xmlns:ds="http://schemas.openxmlformats.org/officeDocument/2006/customXml" ds:itemID="{D76DF877-7C83-4DA5-9AF8-F64EDF1E93FA}"/>
</file>

<file path=customXml/itemProps3.xml><?xml version="1.0" encoding="utf-8"?>
<ds:datastoreItem xmlns:ds="http://schemas.openxmlformats.org/officeDocument/2006/customXml" ds:itemID="{BF37AF0A-F51F-4981-898B-793582DCD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Valero Gonzalez, Xavier (Madrid)</dc:creator>
  <cp:keywords/>
  <dc:description/>
  <cp:lastModifiedBy>Tran Dang Minh Quan</cp:lastModifiedBy>
  <cp:revision>0</cp:revision>
  <dcterms:created xsi:type="dcterms:W3CDTF">2026-09-06T15:05:00Z</dcterms:created>
  <dcterms:modified xsi:type="dcterms:W3CDTF">2026-09-18T10:19:59Z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  <property fmtid="{D5CDD505-2E9C-101B-9397-08002B2CF9AE}" pid="3" name="MediaServiceImageTags">
    <vt:lpwstr/>
  </property>
  <property fmtid="{D5CDD505-2E9C-101B-9397-08002B2CF9AE}" pid="4" name="ICV">
    <vt:lpwstr>63770C4A100C46588DBAC21F01490833_12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